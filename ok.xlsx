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tail1-Nguyễn Ngọc Tân-G008@gd" sheetId="1" r:id="rId5"/>
    <sheet state="hidden" name="Performance Report" sheetId="2" r:id="rId6"/>
    <sheet state="visible" name="SN02" sheetId="3" r:id="rId7"/>
  </sheets>
  <definedNames>
    <definedName hidden="1" localSheetId="1" name="_xlnm._FilterDatabase">'Performance Report'!$A$14:$AK$45</definedName>
    <definedName hidden="1" localSheetId="2" name="_xlnm._FilterDatabase">'SN02'!$B$2:$K$4378</definedName>
  </definedNames>
  <calcPr/>
</workbook>
</file>

<file path=xl/sharedStrings.xml><?xml version="1.0" encoding="utf-8"?>
<sst xmlns="http://schemas.openxmlformats.org/spreadsheetml/2006/main" count="6150" uniqueCount="1903">
  <si>
    <t>#</t>
  </si>
  <si>
    <t>Full Name</t>
  </si>
  <si>
    <t>User name</t>
  </si>
  <si>
    <t>Team ID</t>
  </si>
  <si>
    <t>Ngày</t>
  </si>
  <si>
    <t>UID</t>
  </si>
  <si>
    <t>Task Link</t>
  </si>
  <si>
    <t>Status</t>
  </si>
  <si>
    <t>Feedback (optional)</t>
  </si>
  <si>
    <t># checklist</t>
  </si>
  <si>
    <t>decision</t>
  </si>
  <si>
    <t>trace_id</t>
  </si>
  <si>
    <t>Nguyễn Ngọc Tân</t>
  </si>
  <si>
    <t>G008@gdsonline.tech</t>
  </si>
  <si>
    <t>SN02</t>
  </si>
  <si>
    <t>29/12</t>
  </si>
  <si>
    <t>d92f8aef-fe99-4941-9929-b67c99c3cb02</t>
  </si>
  <si>
    <t>https://webolmo-data-snorkel.allen.ai/20251219_snorkel_batch010__llm_navqa_popular_websites__98</t>
  </si>
  <si>
    <t>Submission</t>
  </si>
  <si>
    <t>ACCEPT</t>
  </si>
  <si>
    <t>20251219_snorkel_batch010__llm_navqa_popular_websites__98</t>
  </si>
  <si>
    <t>65d83709-fd59-4c32-bf89-a41e329ca499</t>
  </si>
  <si>
    <t>https://webolmo-data-snorkel.allen.ai/20251219_snorkel_batch006__llm_navqa_onlinemind2web_websites__103</t>
  </si>
  <si>
    <t>20251219_snorkel_batch006__llm_navqa_onlinemind2web_websites__103</t>
  </si>
  <si>
    <t>60f081c5-75f9-4d2f-b086-06d47b46e1a8</t>
  </si>
  <si>
    <t>https://webolmo-data-snorkel.allen.ai/20251219_snorkel_batch009__llm_navqa_popular_websites__127</t>
  </si>
  <si>
    <t>20251219_snorkel_batch009__llm_navqa_popular_websites__127</t>
  </si>
  <si>
    <t>30/12</t>
  </si>
  <si>
    <t>091a355d-3828-4238-b9fb-71198f49eb5f</t>
  </si>
  <si>
    <t>https://webolmo-data-snorkel.allen.ai/20251219_snorkel_batch002__llm_navqa_webvoyager_websites__76</t>
  </si>
  <si>
    <t>20251219_snorkel_batch002__llm_navqa_webvoyager_websites__76</t>
  </si>
  <si>
    <t>0c6a73a9-e58a-43bd-8d7c-f33e2138eb67</t>
  </si>
  <si>
    <t>https://webolmo-data-snorkel.allen.ai/20251219_snorkel_batch003__llm_navqa_popular_websites__29</t>
  </si>
  <si>
    <t>20251219_snorkel_batch003__llm_navqa_popular_websites__29</t>
  </si>
  <si>
    <t>c6ca2943-db46-4ae3-bbc8-799015466b82</t>
  </si>
  <si>
    <t>https://webolmo-data-snorkel.allen.ai/20251219_snorkel_batch006__llm_navqa_onlinemind2web_websites__25</t>
  </si>
  <si>
    <t>không tìm thấy sách yêu cầu</t>
  </si>
  <si>
    <t>20251219_snorkel_batch006__llm_navqa_onlinemind2web_websites__25</t>
  </si>
  <si>
    <t>31/12</t>
  </si>
  <si>
    <t>df409c1b-16f2-4319-9ad3-6688229d1821</t>
  </si>
  <si>
    <t>https://webolmo-data-snorkel.allen.ai/20251121_snorkel_batch001__webvoyager_like__475</t>
  </si>
  <si>
    <t>20251121_snorkel_batch001__webvoyager_like__475</t>
  </si>
  <si>
    <t>d3b619c0-7751-461e-a0e7-5297a417377b</t>
  </si>
  <si>
    <t>https://webolmo-data-snorkel.allen.ai/20251219_snorkel_batch007__llm_navqa_webvoyager_websites__149</t>
  </si>
  <si>
    <t>20251219_snorkel_batch007__llm_navqa_webvoyager_websites__149</t>
  </si>
  <si>
    <t>6f2e4a6a-0fac-4b4c-8b8a-576a04c2e538</t>
  </si>
  <si>
    <t>https://webolmo-data-snorkel.allen.ai/20251126_snorkel_batch011__llm_step_webvoyager_websites__0</t>
  </si>
  <si>
    <t>20251126_snorkel_batch011__llm_step_webvoyager_websites__0</t>
  </si>
  <si>
    <t>7a4462f8-19bb-4ea3-a14d-bd63c8d62191</t>
  </si>
  <si>
    <t>https://webolmo-data-snorkel.allen.ai/20251126_snorkel_batch014__llm_step_popular_websites__6</t>
  </si>
  <si>
    <t>20251126_snorkel_batch014__llm_step_popular_websites__6</t>
  </si>
  <si>
    <t>af046b40-3693-4e31-bf8d-77b752fec8d5</t>
  </si>
  <si>
    <t>https://webolmo-data-snorkel.allen.ai/20251126_snorkel_batch012__llm_step_onlinemind2web_websites__39</t>
  </si>
  <si>
    <t>20251126_snorkel_batch012__llm_step_onlinemind2web_websites__39</t>
  </si>
  <si>
    <t>27e4ccb3-cdbb-4b45-8cbe-161395bf6af2</t>
  </si>
  <si>
    <t>https://webolmo-data-snorkel.allen.ai/20251126_snorkel_batch011__llm_step_popular_websites__32</t>
  </si>
  <si>
    <t>không có kết quả tìm kiếm</t>
  </si>
  <si>
    <t>20251126_snorkel_batch011__llm_step_popular_websites__32</t>
  </si>
  <si>
    <t>f42c83ac-fb69-47d9-a384-07d6c1bd5d6c</t>
  </si>
  <si>
    <t>https://webolmo-data-snorkel.allen.ai/20251126_snorkel_batch020__llm_step_popular_websites__100</t>
  </si>
  <si>
    <t xml:space="preserve">tìm thấy kết quả nhưng không có filter </t>
  </si>
  <si>
    <t>20251126_snorkel_batch020__llm_step_popular_websites__100</t>
  </si>
  <si>
    <t>280abf7f-3499-4dee-9040-a839788eb8e2</t>
  </si>
  <si>
    <t>https://webolmo-data-snorkel.allen.ai/20251126_snorkel_batch012__llm_step_webvoyager_websites__9</t>
  </si>
  <si>
    <t>20251126_snorkel_batch012__llm_step_webvoyager_websites__9</t>
  </si>
  <si>
    <t>7f271ea1-a019-462a-9ec7-87b592b4090f</t>
  </si>
  <si>
    <t>https://webolmo-data-snorkel.allen.ai/20251126_snorkel_batch014__llm_step_webvoyager_websites__75</t>
  </si>
  <si>
    <t>20251126_snorkel_batch014__llm_step_webvoyager_websites__75</t>
  </si>
  <si>
    <t>06c08730-29ee-42d1-90cc-cbcd042777d1</t>
  </si>
  <si>
    <t>https://webolmo-data-snorkel.allen.ai/20260107_snorkel_batch003_step_tasks__career_job_search__18</t>
  </si>
  <si>
    <t>không có bộ lọc</t>
  </si>
  <si>
    <t>20260107_snorkel_batch003_step_tasks__career_job_search__18</t>
  </si>
  <si>
    <t>3ee07b7e-3dbf-448b-9f78-86e4de6eb21e</t>
  </si>
  <si>
    <t>https://webolmo-data-snorkel.allen.ai/20251219_snorkel_batch008__llm_navqa_webvoyager_websites__24</t>
  </si>
  <si>
    <t>20251219_snorkel_batch008__llm_navqa_webvoyager_websites__24</t>
  </si>
  <si>
    <t>fdc22f07-fcd8-417e-b37c-e121615b49d9</t>
  </si>
  <si>
    <t>https://webolmo-data-snorkel.allen.ai/20260107_snorkel_batch001_step_tasks__general_news_nav__14</t>
  </si>
  <si>
    <t>20260107_snorkel_batch001_step_tasks__general_news_nav__14</t>
  </si>
  <si>
    <t>84d5e7c7-604e-4895-a571-3a401dbd2c04</t>
  </si>
  <si>
    <t>https://webolmo-data-snorkel.allen.ai/20260107_snorkel_batch003_step_tasks__food_recipes__13</t>
  </si>
  <si>
    <t>20260107_snorkel_batch003_step_tasks__food_recipes__13</t>
  </si>
  <si>
    <t>9ebccd3b-aacc-40da-a325-d367bc81666b</t>
  </si>
  <si>
    <t>https://webolmo-data-snorkel.allen.ai/20260107_snorkel_batch003_step_tasks__shopping_search_and_add_to_cart__23</t>
  </si>
  <si>
    <t>20260107_snorkel_batch003_step_tasks__shopping_search_and_add_to_cart__23</t>
  </si>
  <si>
    <t>f1f15dbe-9796-45f4-a8e4-1fbe562a555c</t>
  </si>
  <si>
    <t>https://webolmo-data-snorkel.allen.ai/20260107_snorkel_batch003_step_tasks__career_company_research__39</t>
  </si>
  <si>
    <t xml:space="preserve">không tìm thấy kết quả theo yêu cầu </t>
  </si>
  <si>
    <t>20260107_snorkel_batch003_step_tasks__career_company_research__39</t>
  </si>
  <si>
    <t>5e990f64-c0ce-411e-b950-4401618dcc85</t>
  </si>
  <si>
    <t>https://webolmo-data-snorkel.allen.ai/20251126_snorkel_batch013__llm_step_onlinemind2web_websites__26</t>
  </si>
  <si>
    <t>20251126_snorkel_batch013__llm_step_onlinemind2web_websites__26</t>
  </si>
  <si>
    <t>6b3d31c2-c1c4-4c10-87a3-6e2b77ba89b3</t>
  </si>
  <si>
    <t>https://webolmo-data-snorkel.allen.ai/20260107_snorkel_batch002_step_tasks__maps_route_planning__21</t>
  </si>
  <si>
    <t>20260107_snorkel_batch002_step_tasks__maps_route_planning__21</t>
  </si>
  <si>
    <t>48bab6a9-7701-443b-8cd8-6ee56c5896ac</t>
  </si>
  <si>
    <t>https://webolmo-data-snorkel.allen.ai/20260107_snorkel_batch002_step_tasks__maps_nearby__18</t>
  </si>
  <si>
    <t>20260107_snorkel_batch002_step_tasks__maps_nearby__18</t>
  </si>
  <si>
    <t>159d9367-b9ef-49fd-9a5c-a937f6dcd09b</t>
  </si>
  <si>
    <t>https://webolmo-data-snorkel.allen.ai/20260107_snorkel_batch001_step_tasks__general_news_nav__3</t>
  </si>
  <si>
    <t>20260107_snorkel_batch001_step_tasks__general_news_nav__3</t>
  </si>
  <si>
    <t>dc41a5b5-7da5-4e1a-b301-d5bdad85d684</t>
  </si>
  <si>
    <t>https://webolmo-data-snorkel.allen.ai/20260107_snorkel_batch001_step_tasks__general_news_nav__29</t>
  </si>
  <si>
    <t>20260107_snorkel_batch001_step_tasks__general_news_nav__29</t>
  </si>
  <si>
    <t>13/01</t>
  </si>
  <si>
    <t>708e6fd4-f563-46f0-98a2-e5f52d46aa16</t>
  </si>
  <si>
    <t>https://webolmo-data-snorkel.allen.ai/20251126_snorkel_batch019__llm_step_popular_websites__86</t>
  </si>
  <si>
    <t>không có lọc danh mục theo yêu cầu</t>
  </si>
  <si>
    <t>20251126_snorkel_batch019__llm_step_popular_websites__86</t>
  </si>
  <si>
    <t>de8ab469-af67-4d1e-9a16-a942e61b316c</t>
  </si>
  <si>
    <t>https://webolmo-data-snorkel.allen.ai/20251126_snorkel_batch016__llm_step_popular_websites__152</t>
  </si>
  <si>
    <t>click vào kết quả mở tab mới</t>
  </si>
  <si>
    <t>20251126_snorkel_batch016__llm_step_popular_websites__152</t>
  </si>
  <si>
    <t>caf7b75d-a72d-4bee-bbd6-68e365e5d227</t>
  </si>
  <si>
    <t>https://webolmo-data-snorkel.allen.ai/20260107_snorkel_batch003_step_tasks__car_rental_search__7</t>
  </si>
  <si>
    <t>20260107_snorkel_batch003_step_tasks__car_rental_search__7</t>
  </si>
  <si>
    <t>33f5ef58-509f-4fbc-902c-10abbbd8854d</t>
  </si>
  <si>
    <t>https://webolmo-data-snorkel.allen.ai/20251210_snorkel_batch001__llm_step_onlinemind2web_websites__169</t>
  </si>
  <si>
    <t>mở tab mới khi click vào kết quả</t>
  </si>
  <si>
    <t>20251210_snorkel_batch001__llm_step_onlinemind2web_websites__169</t>
  </si>
  <si>
    <t>41310ae1-6690-4837-a2d5-aa333606472c</t>
  </si>
  <si>
    <t>https://webolmo-data-snorkel.allen.ai/20260107_snorkel_batch002_step_tasks__maps_route_planning__34</t>
  </si>
  <si>
    <t>20260107_snorkel_batch002_step_tasks__maps_route_planning__34</t>
  </si>
  <si>
    <t>1b5b5266-f4b1-4e20-812f-70eaa5e42c2e</t>
  </si>
  <si>
    <t>https://webolmo-data-snorkel.allen.ai/20260107_snorkel_batch001_step_tasks__maps_directions__4</t>
  </si>
  <si>
    <t>20260107_snorkel_batch001_step_tasks__maps_directions__4</t>
  </si>
  <si>
    <t>061d3e1d-7e8d-421f-b5fc-1f52b744ed76</t>
  </si>
  <si>
    <t>https://webolmo-data-snorkel.allen.ai/20260107_snorkel_batch002_step_tasks__maps_distance__12</t>
  </si>
  <si>
    <t>20260107_snorkel_batch002_step_tasks__maps_distance__12</t>
  </si>
  <si>
    <t>e06123de-8210-41d9-8f99-2d6fd6b5c042</t>
  </si>
  <si>
    <t>https://webolmo-data-snorkel.allen.ai/20260107_snorkel_batch002_step_tasks__maps_distance__20</t>
  </si>
  <si>
    <t>20260107_snorkel_batch002_step_tasks__maps_distance__20</t>
  </si>
  <si>
    <t>8f15136e-d714-42c9-b50c-496968c047f8</t>
  </si>
  <si>
    <t>https://webolmo-data-snorkel.allen.ai/20260107_snorkel_batch002_step_tasks__maps_route_planning__9</t>
  </si>
  <si>
    <t>20260107_snorkel_batch002_step_tasks__maps_route_planning__9</t>
  </si>
  <si>
    <t>14/01</t>
  </si>
  <si>
    <t>ed0db5df-8b88-4170-8e05-bd24822df7c6</t>
  </si>
  <si>
    <t>https://webolmo-data-snorkel.allen.ai/20251126_snorkel_batch016__llm_step_onlinemind2web_websites__18</t>
  </si>
  <si>
    <t>20251126_snorkel_batch016__llm_step_onlinemind2web_websites__18</t>
  </si>
  <si>
    <t>15/01</t>
  </si>
  <si>
    <t>717a9e03-666c-4956-aff6-9c55a6130c95</t>
  </si>
  <si>
    <t>https://webolmo-data-snorkel.allen.ai/20251210_snorkel_batch003__llm_step_webvoyager_websites__94</t>
  </si>
  <si>
    <t>20251210_snorkel_batch003__llm_step_webvoyager_websites__94</t>
  </si>
  <si>
    <t>e0689dac-6e1c-469a-aa23-c573262146cf</t>
  </si>
  <si>
    <t>https://webolmo-data-snorkel.allen.ai/20260113_snorkel_batch001_procedural__maps_visual_search__3</t>
  </si>
  <si>
    <t>không tìm thấy công viên gần nhất</t>
  </si>
  <si>
    <t>20260113_snorkel_batch001_procedural__maps_visual_search__3</t>
  </si>
  <si>
    <t>17/01</t>
  </si>
  <si>
    <t>ccd32613-811a-475f-a41c-60e7f449df1c</t>
  </si>
  <si>
    <t>https://webolmo-data-snorkel.allen.ai/20260113_snorkel_batch006_procedural__maps_nearby__7</t>
  </si>
  <si>
    <t>20260113_snorkel_batch006_procedural__maps_nearby__7</t>
  </si>
  <si>
    <t>012b1ec4-cb20-4915-a5c4-ff8e442732bb</t>
  </si>
  <si>
    <t>https://webolmo-data-snorkel.allen.ai/20251126_snorkel_batch019__llm_step_webvoyager_websites__99</t>
  </si>
  <si>
    <t>20251126_snorkel_batch019__llm_step_webvoyager_websites__99</t>
  </si>
  <si>
    <t>4b781490-e286-4687-9df4-6613beb11ee3</t>
  </si>
  <si>
    <t>https://webolmo-data-snorkel.allen.ai/20260113_snorkel_batch003_procedural__maps_distance__11</t>
  </si>
  <si>
    <t>20260113_snorkel_batch003_procedural__maps_distance__11</t>
  </si>
  <si>
    <t>TEAM</t>
  </si>
  <si>
    <t>SỐ ACC</t>
  </si>
  <si>
    <t>TỔNG TASK</t>
  </si>
  <si>
    <t>TRUNG BÌNH
Task / acc / ngày</t>
  </si>
  <si>
    <t>SỐ NGÀY</t>
  </si>
  <si>
    <t>Tuần 1</t>
  </si>
  <si>
    <t>Tuần 2</t>
  </si>
  <si>
    <t>Tuần 3</t>
  </si>
  <si>
    <t>Tuần 4</t>
  </si>
  <si>
    <t>24/12</t>
  </si>
  <si>
    <t>25/12</t>
  </si>
  <si>
    <t>26/12</t>
  </si>
  <si>
    <t>27/12</t>
  </si>
  <si>
    <t>28/12</t>
  </si>
  <si>
    <t>16/01</t>
  </si>
  <si>
    <t>18/01</t>
  </si>
  <si>
    <t>TỔNG</t>
  </si>
  <si>
    <t>SN01</t>
  </si>
  <si>
    <t>SN03</t>
  </si>
  <si>
    <t>SN04</t>
  </si>
  <si>
    <t>Tổng task</t>
  </si>
  <si>
    <t>Dương Xuân Hiếu</t>
  </si>
  <si>
    <t>G001@gdsonline.tech</t>
  </si>
  <si>
    <t>Bùi Văn Tú</t>
  </si>
  <si>
    <t>G002@gdsonline.tech</t>
  </si>
  <si>
    <t>Nguyễn Quang Quý</t>
  </si>
  <si>
    <t>G003@gdsonline.tech</t>
  </si>
  <si>
    <t>Cấn Tất Dương</t>
  </si>
  <si>
    <t>G004@gdsonline.tech</t>
  </si>
  <si>
    <t>Nông Văn Sâm</t>
  </si>
  <si>
    <t>G005@gdsonline.tech</t>
  </si>
  <si>
    <t>Nguyễn Minh Quang</t>
  </si>
  <si>
    <t>G006@gdsonline.tech</t>
  </si>
  <si>
    <t>Nguyễn Anh Đức</t>
  </si>
  <si>
    <t>G020@gdsonline.tech</t>
  </si>
  <si>
    <t>Dương Kim Nam</t>
  </si>
  <si>
    <t>G007@gdsonline.tech</t>
  </si>
  <si>
    <t>Đỗ Mạnh Tùng</t>
  </si>
  <si>
    <t>G009@gdsonline.tech</t>
  </si>
  <si>
    <t>Nguyễn Xuân Công</t>
  </si>
  <si>
    <t>G010@gdsonline.tech</t>
  </si>
  <si>
    <t>Phan Nguyễn Tuấn Minh</t>
  </si>
  <si>
    <t>G011@gdsonline.tech</t>
  </si>
  <si>
    <t>Nguyễn Ngọc Hân</t>
  </si>
  <si>
    <t>G012@gdsonline.tech</t>
  </si>
  <si>
    <t>Nguyễn Đức Ban</t>
  </si>
  <si>
    <t>G013@gdsonline.tech</t>
  </si>
  <si>
    <t>Đinh Thị Yến</t>
  </si>
  <si>
    <t>G015@gdsonline.tech</t>
  </si>
  <si>
    <t>QuynhTTN@ltsgroup.tech</t>
  </si>
  <si>
    <t>Bùi Thế Anh</t>
  </si>
  <si>
    <t>G016@gdsonline.tech</t>
  </si>
  <si>
    <t>Nguyễn Thị Phương Anh</t>
  </si>
  <si>
    <t>G017@gdsonline.tech</t>
  </si>
  <si>
    <t>Nguyễn Văn Hùng</t>
  </si>
  <si>
    <t>G018@gdsonline.tech</t>
  </si>
  <si>
    <t>Dương Văn Minh Duy</t>
  </si>
  <si>
    <t>G019@gdsonline.tech</t>
  </si>
  <si>
    <t>Nguyễn Hải Yến</t>
  </si>
  <si>
    <t>G021@gdsonline.tech</t>
  </si>
  <si>
    <t>Hoàng Mai Linh</t>
  </si>
  <si>
    <t>G022@gdsonline.tech</t>
  </si>
  <si>
    <t>Nguyễn Hoàng Anh</t>
  </si>
  <si>
    <t>G023@gdsonline.tech</t>
  </si>
  <si>
    <t>Cao Thị Ngọc Mai</t>
  </si>
  <si>
    <t>G024@gdsonline.tech</t>
  </si>
  <si>
    <t>Nguyễn Quang Vũ</t>
  </si>
  <si>
    <t>G025@gdsonline.tech</t>
  </si>
  <si>
    <t>Hoàng Ngọc Huyền</t>
  </si>
  <si>
    <t>G026@gdsonline.tech</t>
  </si>
  <si>
    <t>Nguyễn Quang Tuyên</t>
  </si>
  <si>
    <t>G014@gdsonline.tech</t>
  </si>
  <si>
    <t>Trần Quang Huy</t>
  </si>
  <si>
    <t>G027@gdsonline.tech</t>
  </si>
  <si>
    <t>Đặng Trần Thịnh</t>
  </si>
  <si>
    <t>G028@gdsonline.tech</t>
  </si>
  <si>
    <t>Not assigned yet</t>
  </si>
  <si>
    <t>G029@gdsonline.tech</t>
  </si>
  <si>
    <t>G030@gdsonline.tech</t>
  </si>
  <si>
    <t>Its123!@#</t>
  </si>
  <si>
    <t>a6fd26f4-5ebb-4c31-9867-6479e29546c0</t>
  </si>
  <si>
    <r>
      <rPr>
        <color rgb="FF1155CC"/>
        <u/>
      </rPr>
      <t>https://webolmo-data-snorkel.allen.ai/20251219_snorkel_batch008__llm_navqa_onlinemind2web_websites__138</t>
    </r>
  </si>
  <si>
    <t>Không thể qua được cookie để truy cập web</t>
  </si>
  <si>
    <t>118a6dbe-494b-4d8f-8962-0835f9e299c9</t>
  </si>
  <si>
    <t>https://webolmo-data-snorkel.allen.ai/20251219_snorkel_batch007__llm_navqa_onlinemind2web_websites__38</t>
  </si>
  <si>
    <t>Không có URL trong task extension</t>
  </si>
  <si>
    <t>51438813-1346-4d5c-9ed4-d9472a2f5385</t>
  </si>
  <si>
    <t>https://webolmo-data-snorkel.allen.ai/20251219_snorkel_batch002__llm_navqa_popular_websites__13</t>
  </si>
  <si>
    <t>8e17bf82-e59b-43d6-8a2d-638b59c2a14c</t>
  </si>
  <si>
    <t>https://webolmo-data-snorkel.allen.ai/20251219_snorkel_batch006__llm_navqa_popular_websites__139</t>
  </si>
  <si>
    <t>Không thể thực hiện do khi search bị mở sang tab mới</t>
  </si>
  <si>
    <t>76ed0682-534d-4e1e-8eb5-82c17a4b4527</t>
  </si>
  <si>
    <t>https://webolmo-data-snorkel.allen.ai/20251219_snorkel_batch010__llm_navqa_popular_websites__4</t>
  </si>
  <si>
    <t>Website phải xác nhận robot</t>
  </si>
  <si>
    <t>2c5a3f44-9665-457f-9fe6-d26a309ce070</t>
  </si>
  <si>
    <t>https://webolmo-data-snorkel.allen.ai/20251219_snorkel_batch009__llm_navqa_popular_websites__67</t>
  </si>
  <si>
    <t>df2d5a2d-9e76-49f0-a339-4953b8d277e9</t>
  </si>
  <si>
    <t>https://webolmo-data-snorkel.allen.ai/20251219_snorkel_batch010__llm_navqa_onlinemind2web_websites__131</t>
  </si>
  <si>
    <t>7ea34960-7d19-48b0-b7a0-ba42a968e633</t>
  </si>
  <si>
    <t>https://webolmo-data-snorkel.allen.ai/20251121_snorkel_batch001__webvoyager_like__254</t>
  </si>
  <si>
    <t>cb637057-a891-471f-9e4f-bc372ac0d8ac</t>
  </si>
  <si>
    <t>https://webolmo-data-snorkel.allen.ai/20251219_snorkel_batch006__llm_navqa_webvoyager_websites__42</t>
  </si>
  <si>
    <t>1de4f115-4086-4558-949a-88ae05bbcd56</t>
  </si>
  <si>
    <t>https://webolmo-data-snorkel.allen.ai/20251121_snorkel_batch001__webvoyager_like__373</t>
  </si>
  <si>
    <t>525a18a0-d411-409a-a236-6145ea694bac</t>
  </si>
  <si>
    <t>https://webolmo-data-snorkel.allen.ai/20251219_snorkel_batch001__llm_navqa_popular_websites__86</t>
  </si>
  <si>
    <t>4f08950e-da37-40c9-b8ca-ff8b2f1deede</t>
  </si>
  <si>
    <t>https://webolmo-data-snorkel.allen.ai/20251121_snorkel_batch001__webvoyager_like__385</t>
  </si>
  <si>
    <t>668dabf7-db3a-4637-944a-51ec23500ad6</t>
  </si>
  <si>
    <t>https://webolmo-data-snorkel.allen.ai/20251219_snorkel_batch008__llm_navqa_onlinemind2web_websites__68</t>
  </si>
  <si>
    <t>8892eb0c-d668-4d75-b6ac-f17371cccb0b</t>
  </si>
  <si>
    <t>https://webolmo-data-snorkel.allen.ai/20251219_snorkel_batch001__llm_navqa_webvoyager_websites__30</t>
  </si>
  <si>
    <t xml:space="preserve">Yêu cầu chưa rõ, yêu cầu tìm kiếm trên map là chưa đúng </t>
  </si>
  <si>
    <t>1cefbc26-471c-4414-84d9-51c4ebf151de</t>
  </si>
  <si>
    <t>https://webolmo-data-snorkel.allen.ai/20251219_snorkel_batch005__llm_navqa_onlinemind2web_websites__24</t>
  </si>
  <si>
    <t>10121b89-49cd-40f5-a287-4f3f4e0dafb8</t>
  </si>
  <si>
    <t>https://webolmo-data-snorkel.allen.ai/20251219_snorkel_batch002__llm_navqa_webvoyager_websites__50</t>
  </si>
  <si>
    <t>1783d104-cca7-4c9c-bfd2-18600e351e4b</t>
  </si>
  <si>
    <t>https://webolmo-data-snorkel.allen.ai/20251219_snorkel_batch003__llm_navqa_onlinemind2web_websites__11</t>
  </si>
  <si>
    <t>3abbfb49-18a1-451b-9f15-4f3db1e4bdd2</t>
  </si>
  <si>
    <t>https://webolmo-data-snorkel.allen.ai/20251219_snorkel_batch009__llm_navqa_webvoyager_websites__83</t>
  </si>
  <si>
    <t>b46b3264-e938-4054-aaae-d157a137ec3c</t>
  </si>
  <si>
    <t>https://webolmo-data-snorkel.allen.ai/20251219_snorkel_batch004__llm_navqa_webvoyager_websites__97</t>
  </si>
  <si>
    <t>3409498a-2f50-4226-8ce8-33f212a82cf3</t>
  </si>
  <si>
    <t>https://webolmo-data-snorkel.allen.ai/20251219_snorkel_batch004__llm_navqa_popular_websites__36</t>
  </si>
  <si>
    <t>d7897142-2d72-4ca1-86e0-819655f97ec2</t>
  </si>
  <si>
    <t>https://webolmo-data-snorkel.allen.ai/20251219_snorkel_batch004__llm_navqa_webvoyager_websites__65</t>
  </si>
  <si>
    <t>53656b7f-1b10-4361-b70f-2300ec724fd1</t>
  </si>
  <si>
    <t>https://webolmo-data-snorkel.allen.ai/20251219_snorkel_batch008__llm_navqa_onlinemind2web_websites__94</t>
  </si>
  <si>
    <t>09e6796a-551b-40fc-b1cc-8f58bc5d062e</t>
  </si>
  <si>
    <t>https://webolmo-data-snorkel.allen.ai/20251219_snorkel_batch004__llm_navqa_popular_websites__126</t>
  </si>
  <si>
    <t>564a277f-e3fe-4286-a00a-81c097113b66</t>
  </si>
  <si>
    <t>https://webolmo-data-snorkel.allen.ai/20251219_snorkel_batch010__llm_navqa_webvoyager_websites__14</t>
  </si>
  <si>
    <t>ef9c6c71-01fe-4125-9466-ec01cce9ba46</t>
  </si>
  <si>
    <t>https://webolmo-data-snorkel.allen.ai/20251219_snorkel_batch005__llm_navqa_onlinemind2web_websites__127</t>
  </si>
  <si>
    <t>d9fbf3ab-e456-4540-aa1b-b84ea4ddcb17</t>
  </si>
  <si>
    <t>https://webolmo-data-snorkel.allen.ai/20251219_snorkel_batch005__llm_navqa_popular_websites__42</t>
  </si>
  <si>
    <t>a4a5948d-f2a6-47d8-8c3c-1f0762b98b26</t>
  </si>
  <si>
    <t>https://webolmo-data-snorkel.allen.ai/20251219_snorkel_batch010__llm_navqa_popular_websites__7</t>
  </si>
  <si>
    <t>d1c3f09a-0193-44c4-b5fe-91dddd0fa688</t>
  </si>
  <si>
    <t>https://webolmo-data-snorkel.allen.ai/20251121_snorkel_batch001__webvoyager_like__299</t>
  </si>
  <si>
    <t>bc40bf3e-8d2a-4d4a-bd57-2b3be60d7f69</t>
  </si>
  <si>
    <t>https://webolmo-data-snorkel.allen.ai/20251219_snorkel_batch009__llm_navqa_popular_websites__18</t>
  </si>
  <si>
    <t>87a75ec3-9c3a-4f23-b2a7-4192b38153e1</t>
  </si>
  <si>
    <t>https://webolmo-data-snorkel.allen.ai/20251219_snorkel_batch009__llm_navqa_popular_websites__66</t>
  </si>
  <si>
    <t>87b585c9-92ab-43f4-a701-b985b11ecd21</t>
  </si>
  <si>
    <t>https://webolmo-data-snorkel.allen.ai/20251219_snorkel_batch010__llm_navqa_popular_websites__88</t>
  </si>
  <si>
    <t>65221cb0-f6a3-483b-9429-a9359353ea55</t>
  </si>
  <si>
    <t>https://webolmo-data-snorkel.allen.ai/20251126_snorkel_batch011__llm_step_onlinemind2web_websites__122</t>
  </si>
  <si>
    <t>02920d12-3e80-4434-9601-73961ef1ce31</t>
  </si>
  <si>
    <t>https://webolmo-data-snorkel.allen.ai/20251219_snorkel_batch010__llm_navqa_webvoyager_websites__141</t>
  </si>
  <si>
    <t>ab86e64e-f21c-4b08-a460-74e81e7fe427</t>
  </si>
  <si>
    <t>https://webolmo-data-snorkel.allen.ai/20251219_snorkel_batch005__llm_navqa_popular_websites__88</t>
  </si>
  <si>
    <t>03073b4a-3f96-452e-aa88-5ff0b00dc9b4</t>
  </si>
  <si>
    <t>https://webolmo-data-snorkel.allen.ai/20251219_snorkel_batch005__llm_navqa_webvoyager_websites__82</t>
  </si>
  <si>
    <t>b8d924ed-61d6-42d8-9451-f66716ee71eb</t>
  </si>
  <si>
    <t>https://webolmo-data-snorkel.allen.ai/20251219_snorkel_batch006__llm_navqa_popular_websites__128</t>
  </si>
  <si>
    <t>1cabba54-b7c9-49d3-8c8e-8ad383b9baff</t>
  </si>
  <si>
    <t>https://webolmo-data-snorkel.allen.ai/20251219_snorkel_batch003__llm_navqa_popular_websites__107</t>
  </si>
  <si>
    <t>a2250075-9085-421e-a8c6-121cb072ecc2</t>
  </si>
  <si>
    <t>https://webolmo-data-snorkel.allen.ai/20251219_snorkel_batch004__llm_navqa_onlinemind2web_websites__167</t>
  </si>
  <si>
    <t>7f18445a-ffab-4ef8-863a-4bd34f16292f</t>
  </si>
  <si>
    <t>https://webolmo-data-snorkel.allen.ai/20251219_snorkel_batch007__llm_navqa_popular_websites__41</t>
  </si>
  <si>
    <t>53442ce6-4a6e-4855-986a-8783af1d5af8</t>
  </si>
  <si>
    <t>https://webolmo-data-snorkel.allen.ai/20251219_snorkel_batch004__llm_navqa_webvoyager_websites__21</t>
  </si>
  <si>
    <t>fcb6d1d8-9d9e-4963-aa26-e580c0abf047</t>
  </si>
  <si>
    <t>https://webolmo-data-snorkel.allen.ai/20251219_snorkel_batch006__llm_navqa_webvoyager_websites__8</t>
  </si>
  <si>
    <t>52ca7cc5-8cbd-498a-9a36-4d7f04e393ce</t>
  </si>
  <si>
    <t>https://webolmo-data-snorkel.allen.ai/20251121_snorkel_batch001__webvoyager_like__455</t>
  </si>
  <si>
    <t>dd7c4d47-e324-45d2-9af6-2db33729eb75</t>
  </si>
  <si>
    <t>https://webolmo-data-snorkel.allen.ai/20251219_snorkel_batch006__llm_navqa_onlinemind2web_websites__88</t>
  </si>
  <si>
    <t>57c4115e-5c68-456c-a0bf-a8ba3d5cc057</t>
  </si>
  <si>
    <t>https://webolmo-data-snorkel.allen.ai/20251219_snorkel_batch002__llm_navqa_webvoyager_websites__156</t>
  </si>
  <si>
    <t>68d73d7a-a915-402d-ac8f-57f4c7fe461a</t>
  </si>
  <si>
    <t>https://webolmo-data-snorkel.allen.ai/20251121_snorkel_batch001__webvoyager_like__467</t>
  </si>
  <si>
    <t>0061049c-3598-4eb5-86cc-e041c56f0450</t>
  </si>
  <si>
    <t>https://webolmo-data-snorkel.allen.ai/20251219_snorkel_batch008__llm_navqa_webvoyager_websites__10</t>
  </si>
  <si>
    <t>a93a141d-7660-47a0-985b-789cc43a0e1a</t>
  </si>
  <si>
    <t>https://webolmo-data-snorkel.allen.ai/20251219_snorkel_batch010__llm_navqa_webvoyager_websites__147</t>
  </si>
  <si>
    <t>0b58b317-f41f-4df0-a9ba-cfb7e995ad5b</t>
  </si>
  <si>
    <t>https://webolmo-data-snorkel.allen.ai/20251219_snorkel_batch001__llm_navqa_popular_websites__103</t>
  </si>
  <si>
    <t>fa1cc8dd-0009-4bd4-bd78-ff9d86715649</t>
  </si>
  <si>
    <t>https://webolmo-data-snorkel.allen.ai/20251219_snorkel_batch004__llm_navqa_webvoyager_websites__137</t>
  </si>
  <si>
    <t>bd1c6ed0-ed03-4b32-8ee9-a43389dfa999</t>
  </si>
  <si>
    <t>https://webolmo-data-snorkel.allen.ai/20251219_snorkel_batch005__llm_navqa_popular_websites__118</t>
  </si>
  <si>
    <t>3babba1f-6999-45a1-a5bd-e6b4cc18bc2e</t>
  </si>
  <si>
    <t>https://webolmo-data-snorkel.allen.ai/20251219_snorkel_batch004__llm_navqa_webvoyager_websites__61</t>
  </si>
  <si>
    <t>24f8a41e-2821-4925-be72-59de43aad152</t>
  </si>
  <si>
    <t>https://webolmo-data-snorkel.allen.ai/20251219_snorkel_batch009__llm_navqa_onlinemind2web_websites__1</t>
  </si>
  <si>
    <t>b12ab80a-18c1-4600-96ab-fed01468b211</t>
  </si>
  <si>
    <t>https://webolmo-data-snorkel.allen.ai/20251219_snorkel_batch003__llm_navqa_popular_websites__101</t>
  </si>
  <si>
    <t>17174cfb-9429-4486-bb08-e38d41330563</t>
  </si>
  <si>
    <t>https://webolmo-data-snorkel.allen.ai/20251219_snorkel_batch002__llm_navqa_popular_websites__99</t>
  </si>
  <si>
    <t>73c178ee-9884-46d9-8c73-d6eb686cf2f4</t>
  </si>
  <si>
    <t>https://webolmo-data-snorkel.allen.ai/20251121_snorkel_batch001__webvoyager_like__424</t>
  </si>
  <si>
    <t>0b0dacc2-4da6-479a-ba87-19f5f1349bca</t>
  </si>
  <si>
    <t>https://webolmo-data-snorkel.allen.ai/20251219_snorkel_batch006__llm_navqa_webvoyager_websites__135</t>
  </si>
  <si>
    <t>246eea59-3433-4d8b-b0a3-c9da1113f4fa</t>
  </si>
  <si>
    <t>https://webolmo-data-snorkel.allen.ai/20251219_snorkel_batch002__llm_navqa_webvoyager_websites__96</t>
  </si>
  <si>
    <t>b299d357-a9f1-4ac1-b1eb-02ed17895d89</t>
  </si>
  <si>
    <t>https://webolmo-data-snorkel.allen.ai/20251219_snorkel_batch004__llm_navqa_webvoyager_websites__149</t>
  </si>
  <si>
    <t>6b8ca02d-ad92-41ed-aa17-92aee123eba1</t>
  </si>
  <si>
    <t>https://webolmo-data-snorkel.allen.ai/20251219_snorkel_batch008__llm_navqa_webvoyager_websites__87</t>
  </si>
  <si>
    <t>8016db02-2bf0-40db-8bab-9545fc01a3e2</t>
  </si>
  <si>
    <t>https://webolmo-data-snorkel.allen.ai/20251219_snorkel_batch006__llm_navqa_popular_websites__67</t>
  </si>
  <si>
    <t>Function search của website không hoạt động</t>
  </si>
  <si>
    <t>133605e0-0b51-40b7-a2d8-39b96fa9ff11</t>
  </si>
  <si>
    <t>https://webolmo-data-snorkel.allen.ai/20251219_snorkel_batch010__llm_navqa_webvoyager_websites__82</t>
  </si>
  <si>
    <t>Detail không xem được</t>
  </si>
  <si>
    <t>faff61ce-52ef-4858-bee1-d46c8e03e064</t>
  </si>
  <si>
    <t>https://webolmo-data-snorkel.allen.ai/20251219_snorkel_batch006__llm_navqa_popular_websites__140</t>
  </si>
  <si>
    <t>34dadd17-2815-476e-b85b-4b9c96a81926</t>
  </si>
  <si>
    <t>https://webolmo-data-snorkel.allen.ai/20251219_snorkel_batch010__llm_navqa_popular_websites__44</t>
  </si>
  <si>
    <t>3ffbccb1-7466-4d5b-b68b-8b48bccee0da</t>
  </si>
  <si>
    <t>https://webolmo-data-snorkel.allen.ai/20251219_snorkel_batch009__llm_navqa_onlinemind2web_websites__128</t>
  </si>
  <si>
    <t>ba59e8a9-2db5-4dd9-aa3d-aded211d708e</t>
  </si>
  <si>
    <t>https://webolmo-data-snorkel.allen.ai/20251219_snorkel_batch006__llm_navqa_webvoyager_websites__89</t>
  </si>
  <si>
    <t>88eac34d-a713-41be-a7ca-28537dfc6ec0</t>
  </si>
  <si>
    <t>https://webolmo-data-snorkel.allen.ai/20251219_snorkel_batch001__llm_navqa_popular_websites__47</t>
  </si>
  <si>
    <t>e884d325-aacd-4852-a585-47160c147480</t>
  </si>
  <si>
    <t>https://webolmo-data-snorkel.allen.ai/20251219_snorkel_batch005__llm_navqa_popular_websites__8</t>
  </si>
  <si>
    <t>93e06a32-fc3d-4d41-91fb-932ab69dfb93</t>
  </si>
  <si>
    <t>https://webolmo-data-snorkel.allen.ai/20251121_snorkel_batch001__webvoyager_like__222</t>
  </si>
  <si>
    <t>8b88a893-84eb-4b01-b6ef-dd07a0268ec9</t>
  </si>
  <si>
    <t>https://webolmo-data-snorkel.allen.ai/20251219_snorkel_batch009__llm_navqa_webvoyager_websites__7</t>
  </si>
  <si>
    <t>ab8c95bb-8384-44dc-931e-e535f85952f2</t>
  </si>
  <si>
    <t>https://webolmo-data-snorkel.allen.ai/20251219_snorkel_batch001__llm_navqa_webvoyager_websites__50</t>
  </si>
  <si>
    <t>9564acfa-e173-4c95-9425-f7df6038b763</t>
  </si>
  <si>
    <t>https://webolmo-data-snorkel.allen.ai/20251219_snorkel_batch004__llm_navqa_popular_websites__76</t>
  </si>
  <si>
    <t>Trang kiểm tra robot</t>
  </si>
  <si>
    <t>f7caffd2-6721-448e-a1e5-d7f9bc2b605f</t>
  </si>
  <si>
    <t>https://webolmo-data-snorkel.allen.ai/20251219_snorkel_batch005__llm_navqa_webvoyager_websites__19</t>
  </si>
  <si>
    <t>6e25b242-da01-488e-a628-26a7e7b4f0e7</t>
  </si>
  <si>
    <t>https://webolmo-data-snorkel.allen.ai/20251219_snorkel_batch002__llm_navqa_webvoyager_websites__162</t>
  </si>
  <si>
    <t>da5d57ab-860f-4194-ab2d-b5c3d9df8ab9</t>
  </si>
  <si>
    <t>https://webolmo-data-snorkel.allen.ai/20251219_snorkel_batch010__llm_navqa_onlinemind2web_websites__137</t>
  </si>
  <si>
    <t>6de6b510-ff2c-455a-86ba-dce542d513cf</t>
  </si>
  <si>
    <t>https://webolmo-data-snorkel.allen.ai/20251219_snorkel_batch007__llm_navqa_onlinemind2web_websites__123</t>
  </si>
  <si>
    <t>Chỉ có thể tìm trong vòng 3 tháng</t>
  </si>
  <si>
    <t>8700f2b0-ea31-4ced-b36d-cd2355382a3b</t>
  </si>
  <si>
    <t>https://webolmo-data-snorkel.allen.ai/20251219_snorkel_batch007__llm_navqa_onlinemind2web_websites__169</t>
  </si>
  <si>
    <t>5bfb368a-6da2-46a8-a95f-e0f64c8965ef</t>
  </si>
  <si>
    <t>https://webolmo-data-snorkel.allen.ai/20251219_snorkel_batch002__llm_navqa_onlinemind2web_websites__67</t>
  </si>
  <si>
    <t>Không thể đóng dialog privacy</t>
  </si>
  <si>
    <t>a57dcbe9-7ae3-40f0-ac98-927bf355876d</t>
  </si>
  <si>
    <t>https://webolmo-data-snorkel.allen.ai/20251219_snorkel_batch005__llm_navqa_webvoyager_websites__83</t>
  </si>
  <si>
    <t>b51f8c77-e964-4fcf-93e2-86fbec3f8926</t>
  </si>
  <si>
    <t>https://webolmo-data-snorkel.allen.ai/20251219_snorkel_batch005__llm_navqa_popular_websites__141</t>
  </si>
  <si>
    <t>69307ed5-2e5a-493d-b5cf-74d46e42fac8</t>
  </si>
  <si>
    <t>https://webolmo-data-snorkel.allen.ai/20251219_snorkel_batch007__llm_navqa_popular_websites__157</t>
  </si>
  <si>
    <t>fbcd99cc-5b4a-44d6-bcd6-edd5fb2bc6cc</t>
  </si>
  <si>
    <t>https://webolmo-data-snorkel.allen.ai/20251219_snorkel_batch008__llm_navqa_webvoyager_websites__96</t>
  </si>
  <si>
    <t>f6ff85fa-4e66-439a-b25d-efc68480e8ed</t>
  </si>
  <si>
    <t>https://webolmo-data-snorkel.allen.ai/20251219_snorkel_batch010__llm_navqa_popular_websites__91</t>
  </si>
  <si>
    <t>Chỉ hiển thị 4 ngày tiếp theo</t>
  </si>
  <si>
    <t>8b388e44-3ae8-4883-b0de-a518ba7839ba</t>
  </si>
  <si>
    <t>https://webolmo-data-snorkel.allen.ai/20251219_snorkel_batch010__llm_navqa_webvoyager_websites__95</t>
  </si>
  <si>
    <t>9fc5c11c-c48f-42ff-bae0-0ff56e932fcd</t>
  </si>
  <si>
    <t>https://webolmo-data-snorkel.allen.ai/20251219_snorkel_batch007__llm_navqa_webvoyager_websites__91</t>
  </si>
  <si>
    <t>c05553de-1673-4e3d-9320-f997e10c1ec5</t>
  </si>
  <si>
    <t>https://webolmo-data-snorkel.allen.ai/20251219_snorkel_batch008__llm_navqa_popular_websites__62</t>
  </si>
  <si>
    <t>036fa3c8-b5a8-46b8-b7ab-2fdedff330c7</t>
  </si>
  <si>
    <t>https://webolmo-data-snorkel.allen.ai/20251219_snorkel_batch001__llm_navqa_webvoyager_websites__19</t>
  </si>
  <si>
    <t>94bec7a2-515a-4083-8a53-d92919021096</t>
  </si>
  <si>
    <t>https://webolmo-data-snorkel.allen.ai/20251219_snorkel_batch006__llm_navqa_webvoyager_websites__20</t>
  </si>
  <si>
    <t>08e396cc-f6a7-4983-a368-1ed2a2682786</t>
  </si>
  <si>
    <r>
      <rPr>
        <rFont val="Aptos Narrow"/>
        <color rgb="FF1155CC"/>
        <sz val="11.0"/>
        <u/>
      </rPr>
      <t>https://webolmo-data-snorkel.allen.ai/20251219_snorkel_batch007__llm_navqa_popular_websites__139</t>
    </r>
  </si>
  <si>
    <t>1a0a4a83-f961-4783-9638-8e4335f2b7d7</t>
  </si>
  <si>
    <r>
      <rPr>
        <rFont val="Inter, &quot;Helvetica Neue&quot;, Helvetica, Arial, sans-serif"/>
        <color rgb="FF1155CC"/>
        <sz val="12.0"/>
        <u/>
      </rPr>
      <t>https://webolmo-data-snorkel.allen.ai/20251219_snorkel_batch009__llm_navqa_onlinemind2web_websites__69</t>
    </r>
  </si>
  <si>
    <t>5fc05d18-e2ce-4041-8bf2-b40586a8c58d</t>
  </si>
  <si>
    <t>https://webolmo-data-snorkel.allen.ai/20251219_snorkel_batch010__llm_navqa_webvoyager_websites__47</t>
  </si>
  <si>
    <t>c8044951-7626-4dd1-a3d3-ccaaa4d51a70</t>
  </si>
  <si>
    <r>
      <rPr>
        <rFont val="Aptos Narrow"/>
        <color rgb="FF1155CC"/>
        <sz val="11.0"/>
        <u/>
      </rPr>
      <t>https://webolmo-data-snorkel.allen.ai/20251219_snorkel_batch007__llm_navqa_onlinemind2web_websites__108</t>
    </r>
  </si>
  <si>
    <t>Skip</t>
  </si>
  <si>
    <t>c9bd0c4c-8338-447e-8463-566bb03cf794</t>
  </si>
  <si>
    <r>
      <rPr>
        <rFont val="Inter, &quot;Helvetica Neue&quot;, Helvetica, Arial, sans-serif"/>
        <color rgb="FF1155CC"/>
        <sz val="12.0"/>
        <u/>
      </rPr>
      <t>https://webolmo-data-snorkel.allen.ai/20251219_snorkel_batch007__llm_navqa_webvoyager_websites__85</t>
    </r>
  </si>
  <si>
    <t>7dce6324-257d-4f6a-a0e9-29f4d3ef4a03</t>
  </si>
  <si>
    <r>
      <rPr>
        <rFont val="Aptos Narrow"/>
        <color rgb="FF1155CC"/>
        <sz val="11.0"/>
        <u/>
      </rPr>
      <t>https://webolmo-data-snorkel.allen.ai/20251219_snorkel_batch004__llm_navqa_onlinemind2web_websites__63</t>
    </r>
  </si>
  <si>
    <t>330c55f1-e485-46c5-8bf0-d33013ea92e1</t>
  </si>
  <si>
    <t>https://webolmo-data-snorkel.allen.ai/20251219_snorkel_batch001__llm_navqa_popular_websites__111</t>
  </si>
  <si>
    <t>8f3cf3ba-ec67-4a95-be91-c87c79728a06</t>
  </si>
  <si>
    <r>
      <rPr>
        <rFont val="Aptos Narrow"/>
        <color rgb="FF1155CC"/>
        <sz val="11.0"/>
        <u/>
      </rPr>
      <t>https://webolmo-data-snorkel.allen.ai/20251219_snorkel_batch005__llm_navqa_popular_websites__104</t>
    </r>
  </si>
  <si>
    <t>f8083a89-d0fc-43fb-ad06-76c81d61ba51</t>
  </si>
  <si>
    <r>
      <rPr>
        <rFont val="Aptos Narrow"/>
        <color rgb="FF1155CC"/>
        <sz val="11.0"/>
        <u/>
      </rPr>
      <t>https://webolmo-data-snorkel.allen.ai/20251219_snorkel_batch004__llm_navqa_onlinemind2web_websites__147</t>
    </r>
  </si>
  <si>
    <t>bb5ca0a9-d017-445e-9d7c-3a9cd718c974</t>
  </si>
  <si>
    <r>
      <rPr>
        <rFont val="Aptos Narrow"/>
        <color rgb="FF1155CC"/>
        <sz val="11.0"/>
        <u/>
      </rPr>
      <t>https://webolmo-data-snorkel.allen.ai/20251219_snorkel_batch009__llm_navqa_webvoyager_websites__56</t>
    </r>
  </si>
  <si>
    <t>0e871ff9-8145-46de-8793-982c31d29d68</t>
  </si>
  <si>
    <r>
      <rPr>
        <rFont val="Aptos Narrow"/>
        <color rgb="FF1155CC"/>
        <sz val="11.0"/>
        <u/>
      </rPr>
      <t>https://webolmo-data-snorkel.allen.ai/20251219_snorkel_batch009__llm_navqa_onlinemind2web_websites__141</t>
    </r>
  </si>
  <si>
    <t>7af5a6a9-8390-4ce3-9137-8fe9e885baa9</t>
  </si>
  <si>
    <t>https://webolmo-data-snorkel.allen.ai/20251219_snorkel_batch010__llm_navqa_webvoyager_websites__46</t>
  </si>
  <si>
    <t>18f7d7e1-d691-4d82-99fe-b8557a3ae46c</t>
  </si>
  <si>
    <t>https://webolmo-data-snorkel.allen.ai/20251219_snorkel_batch005__llm_navqa_popular_websites__109</t>
  </si>
  <si>
    <t>Can not find Science, Technology, and Future section</t>
  </si>
  <si>
    <t>40718633-e7f5-4536-82b8-8dce49029827</t>
  </si>
  <si>
    <t>https://webolmo-data-snorkel.allen.ai/20251219_snorkel_batch005__llm_navqa_onlinemind2web_websites__85</t>
  </si>
  <si>
    <t>c94ccb5f-b413-46f7-8766-32dfd97caf29</t>
  </si>
  <si>
    <t>https://webolmo-data-snorkel.allen.ai/20251219_snorkel_batch001__llm_navqa_onlinemind2web_websites__22</t>
  </si>
  <si>
    <t>898b56e5-171f-495b-9172-fee4a4038b2f</t>
  </si>
  <si>
    <t>https://webolmo-data-snorkel.allen.ai/20251219_snorkel_batch004__llm_navqa_webvoyager_websites__118</t>
  </si>
  <si>
    <t>Open new tab</t>
  </si>
  <si>
    <t>2ae34dfe-c776-47c6-95c3-090a312cda13</t>
  </si>
  <si>
    <t>https://webolmo-data-snorkel.allen.ai/20251219_snorkel_batch008__llm_navqa_webvoyager_websites__1</t>
  </si>
  <si>
    <t>38d3eb0a-0171-449f-b871-fd3c4efbc773</t>
  </si>
  <si>
    <t>https://webolmo-data-snorkel.allen.ai/20251219_snorkel_batch002__llm_navqa_onlinemind2web_websites__14</t>
  </si>
  <si>
    <t>a85979ff-bf20-407b-8860-9c02a168829c</t>
  </si>
  <si>
    <t>https://webolmo-data-snorkel.allen.ai/20251121_snorkel_batch001__webvoyager_like__339</t>
  </si>
  <si>
    <t>601c30de-dc9c-46b0-8464-320ef81906b8</t>
  </si>
  <si>
    <t>https://webolmo-data-snorkel.allen.ai/20251219_snorkel_batch006__llm_navqa_onlinemind2web_websites__80</t>
  </si>
  <si>
    <t>54c395ba-dc3d-47d7-be83-9f5e61b663d2</t>
  </si>
  <si>
    <t>https://webolmo-data-snorkel.allen.ai/20251219_snorkel_batch006__llm_navqa_onlinemind2web_websites__29</t>
  </si>
  <si>
    <t>f2bdafe1-1a04-4163-80d7-7806b03040c5</t>
  </si>
  <si>
    <t>https://webolmo-data-snorkel.allen.ai/20251219_snorkel_batch010__llm_navqa_popular_websites__158</t>
  </si>
  <si>
    <t>Không tìm thấy thông tin mà task yêu cầu</t>
  </si>
  <si>
    <t>985c3dd6-663d-4aa3-8dde-19fcc3161c59</t>
  </si>
  <si>
    <t>https://webolmo-data-snorkel.allen.ai/20251219_snorkel_batch010__llm_navqa_popular_websites__15</t>
  </si>
  <si>
    <t>b3138ad6-8ee1-4ea5-baff-5ad638acaaf8</t>
  </si>
  <si>
    <t>https://webolmo-data-snorkel.allen.ai/20251219_snorkel_batch005__llm_navqa_webvoyager_websites__36</t>
  </si>
  <si>
    <t>bc5db1ef-31da-46e9-a4f1-cc35f775f4bd</t>
  </si>
  <si>
    <t>https://webolmo-data-snorkel.allen.ai/20251121_snorkel_batch001__webvoyager_like__120</t>
  </si>
  <si>
    <t>7437af05-a6f1-47e5-8c06-44733eb96075</t>
  </si>
  <si>
    <t>https://webolmo-data-snorkel.allen.ai/20251219_snorkel_batch009__llm_navqa_popular_websites__147</t>
  </si>
  <si>
    <t>616cec31-b7d7-41a5-b2d8-36cbaf224e0c</t>
  </si>
  <si>
    <t>https://webolmo-data-snorkel.allen.ai/20251219_snorkel_batch006__llm_navqa_popular_websites__127</t>
  </si>
  <si>
    <t>Không có URL trong task extension/Google scholar blocking requests</t>
  </si>
  <si>
    <t>109d8b18-fa97-4916-b255-b05b7e37345e</t>
  </si>
  <si>
    <r>
      <rPr>
        <color rgb="FF1155CC"/>
        <u/>
      </rPr>
      <t>https://webolmo-data-snorkel.allen.ai/20251219_snorkel_batch003__llm_navqa_webvoyager_websites__87</t>
    </r>
  </si>
  <si>
    <t>23f6f7e4-da5a-4266-ac85-37e7e991d7c9</t>
  </si>
  <si>
    <r>
      <rPr>
        <color rgb="FF1155CC"/>
        <u/>
      </rPr>
      <t>https://webolmo-data-snorkel.allen.ai/20251219_snorkel_batch006__llm_navqa_popular_websites__116</t>
    </r>
  </si>
  <si>
    <t>4c8645c8-4a11-4fdc-9e9a-3e71b1814213</t>
  </si>
  <si>
    <r>
      <rPr>
        <color rgb="FF1155CC"/>
        <u/>
      </rPr>
      <t>https://webolmo-data-snorkel.allen.ai/20251219_snorkel_batch003__llm_navqa_onlinemind2web_websites__40</t>
    </r>
  </si>
  <si>
    <t>1a7b2f43-1660-4b3e-96c8-1127b9bddaa5</t>
  </si>
  <si>
    <r>
      <rPr>
        <color rgb="FF1155CC"/>
        <u/>
      </rPr>
      <t>https://webolmo-data-snorkel.allen.ai/20251126_snorkel_batch017__llm_step_onlinemind2web_websites__134</t>
    </r>
  </si>
  <si>
    <t>bb08ded9-d710-4cf9-89d6-f512486b4ae8</t>
  </si>
  <si>
    <r>
      <rPr>
        <color rgb="FF1155CC"/>
        <u/>
      </rPr>
      <t>https://webolmo-data-snorkel.allen.ai/20251219_snorkel_batch008__llm_navqa_onlinemind2web_websites__86</t>
    </r>
  </si>
  <si>
    <t>552ae207-cc78-43c8-904f-55a84ac096c3</t>
  </si>
  <si>
    <r>
      <rPr>
        <color rgb="FF1155CC"/>
        <u/>
      </rPr>
      <t>https://webolmo-data-snorkel.allen.ai/20251219_snorkel_batch006__llm_navqa_popular_websites__104</t>
    </r>
  </si>
  <si>
    <t>5a05ba60-372f-4821-be5e-92c82143d326</t>
  </si>
  <si>
    <r>
      <rPr>
        <color rgb="FF1155CC"/>
        <u/>
      </rPr>
      <t>https://webolmo-data-snorkel.allen.ai/20251219_snorkel_batch010__llm_navqa_onlinemind2web_websites__90</t>
    </r>
  </si>
  <si>
    <t>a106eab8-223a-48ec-98c7-3cb772a9c3cb</t>
  </si>
  <si>
    <r>
      <rPr>
        <color rgb="FF1155CC"/>
        <u/>
      </rPr>
      <t>https://webolmo-data-snorkel.allen.ai/20251219_snorkel_batch005__llm_navqa_popular_websites__14</t>
    </r>
  </si>
  <si>
    <t>07354a05-e9a8-4ef5-b26d-5cc700586e32</t>
  </si>
  <si>
    <r>
      <rPr>
        <color rgb="FF1155CC"/>
        <u/>
      </rPr>
      <t>https://webolmo-data-snorkel.allen.ai/20251219_snorkel_batch003__llm_navqa_onlinemind2web_websites__145</t>
    </r>
  </si>
  <si>
    <t>536e2fd8-1e3b-4912-b7e2-85ef21d459e6</t>
  </si>
  <si>
    <r>
      <rPr>
        <color rgb="FF1155CC"/>
        <u/>
      </rPr>
      <t>https://webolmo-data-snorkel.allen.ai/20251219_snorkel_batch003__llm_navqa_webvoyager_websites__18</t>
    </r>
  </si>
  <si>
    <t>2e63af2b-620d-46a3-ab83-2fe36b3beea3</t>
  </si>
  <si>
    <r>
      <rPr>
        <color rgb="FF1155CC"/>
        <u/>
      </rPr>
      <t>https://webolmo-data-snorkel.allen.ai/20251219_snorkel_batch008__llm_navqa_webvoyager_websites__48</t>
    </r>
  </si>
  <si>
    <t>32d052f1-b097-4bfd-b05a-491b8902c910</t>
  </si>
  <si>
    <r>
      <rPr>
        <color rgb="FF1155CC"/>
        <u/>
      </rPr>
      <t>https://webolmo-data-snorkel.allen.ai/20251219_snorkel_batch005__llm_navqa_popular_websites__142</t>
    </r>
  </si>
  <si>
    <t>49fb528e-6398-4e49-9f56-19ef00bb1bee</t>
  </si>
  <si>
    <r>
      <rPr>
        <color rgb="FF1155CC"/>
        <u/>
      </rPr>
      <t>https://webolmo-data-snorkel.allen.ai/20251219_snorkel_batch009__llm_navqa_onlinemind2web_websites__29</t>
    </r>
  </si>
  <si>
    <t>216fa220-5414-4d62-b49a-e17780eaeb12</t>
  </si>
  <si>
    <r>
      <rPr>
        <color rgb="FF1155CC"/>
        <u/>
      </rPr>
      <t>https://webolmo-data-snorkel.allen.ai/20251219_snorkel_batch006__llm_navqa_webvoyager_websites__148</t>
    </r>
  </si>
  <si>
    <t>dea91651-6765-4e6a-a893-2b2683aee511</t>
  </si>
  <si>
    <r>
      <rPr>
        <color rgb="FF1155CC"/>
        <u/>
      </rPr>
      <t>https://webolmo-data-snorkel.allen.ai/20251219_snorkel_batch008__llm_navqa_onlinemind2web_websites__136</t>
    </r>
  </si>
  <si>
    <t>9be00b72-7903-464e-9231-5c6ce52b257e</t>
  </si>
  <si>
    <r>
      <rPr>
        <color rgb="FF1155CC"/>
        <u/>
      </rPr>
      <t>https://webolmo-data-snorkel.allen.ai/20251219_snorkel_batch010__llm_navqa_popular_websites__9</t>
    </r>
  </si>
  <si>
    <t>9064114c-ab5f-40a5-a9c7-a196046bc437</t>
  </si>
  <si>
    <r>
      <rPr>
        <color rgb="FF1155CC"/>
        <u/>
      </rPr>
      <t>https://webolmo-data-snorkel.allen.ai/20251219_snorkel_batch006__llm_navqa_popular_websites__55</t>
    </r>
  </si>
  <si>
    <t>d0145fb1-1c99-4286-a909-d648b6d5c280</t>
  </si>
  <si>
    <r>
      <rPr>
        <color rgb="FF1155CC"/>
        <u/>
      </rPr>
      <t>https://webolmo-data-snorkel.allen.ai/20251219_snorkel_batch008__llm_navqa_webvoyager_websites__133</t>
    </r>
  </si>
  <si>
    <t>45678c3b-2b3c-423e-ae4d-8cc9cad1d153</t>
  </si>
  <si>
    <r>
      <rPr>
        <color rgb="FF1155CC"/>
        <u/>
      </rPr>
      <t>https://webolmo-data-snorkel.allen.ai/20251219_snorkel_batch006__llm_navqa_popular_websites__110</t>
    </r>
  </si>
  <si>
    <t>705fe216-25ea-4b89-bec4-eb41459767b7</t>
  </si>
  <si>
    <r>
      <rPr>
        <color rgb="FF1155CC"/>
        <u/>
      </rPr>
      <t>https://webolmo-data-snorkel.allen.ai/20251219_snorkel_batch001__llm_navqa_popular_websites__159</t>
    </r>
  </si>
  <si>
    <t>3396582f-e63c-4a53-a79f-52782f47961c</t>
  </si>
  <si>
    <r>
      <rPr>
        <color rgb="FF1155CC"/>
        <u/>
      </rPr>
      <t>https://webolmo-data-snorkel.allen.ai/20251219_snorkel_batch007__llm_navqa_popular_websites__109</t>
    </r>
  </si>
  <si>
    <t>7bf03796-4988-4175-96db-c0e8bf8e0697</t>
  </si>
  <si>
    <r>
      <rPr>
        <color rgb="FF1155CC"/>
        <u/>
      </rPr>
      <t>https://webolmo-data-snorkel.allen.ai/20251219_snorkel_batch009__llm_navqa_webvoyager_websites__94</t>
    </r>
  </si>
  <si>
    <t>839afb0c-0cb1-48b7-bcb8-0b482362f8f2</t>
  </si>
  <si>
    <r>
      <rPr>
        <color rgb="FF1155CC"/>
        <u/>
      </rPr>
      <t>https://webolmo-data-snorkel.allen.ai/20251219_snorkel_batch006__llm_navqa_popular_websites__100</t>
    </r>
  </si>
  <si>
    <t>de7b88a2-9fc6-4082-a25e-05dd9ca47fec</t>
  </si>
  <si>
    <r>
      <rPr>
        <color rgb="FF1155CC"/>
        <u/>
      </rPr>
      <t>https://webolmo-data-snorkel.allen.ai/20251219_snorkel_batch008__llm_navqa_popular_websites__106</t>
    </r>
  </si>
  <si>
    <t>801a783b-e5e1-447a-a8d4-3fc05dc9acdc</t>
  </si>
  <si>
    <r>
      <rPr>
        <color rgb="FF1155CC"/>
        <u/>
      </rPr>
      <t>https://webolmo-data-snorkel.allen.ai/20251121_snorkel_batch001__webvoyager_like__59</t>
    </r>
  </si>
  <si>
    <t>5340605b-9475-41d4-ba25-1ffd421245cc</t>
  </si>
  <si>
    <r>
      <rPr>
        <color rgb="FF1155CC"/>
        <u/>
      </rPr>
      <t>https://webolmo-data-snorkel.allen.ai/20251219_snorkel_batch005__llm_navqa_onlinemind2web_websites__156</t>
    </r>
  </si>
  <si>
    <t>7070a703-ed43-460c-97ac-aa9d8f2d73d7</t>
  </si>
  <si>
    <r>
      <rPr>
        <color rgb="FF1155CC"/>
        <u/>
      </rPr>
      <t>https://webolmo-data-snorkel.allen.ai/20251219_snorkel_batch006__llm_navqa_popular_websites__117</t>
    </r>
  </si>
  <si>
    <t>cb926a05-e2c3-4dae-a7a4-4a0a21e2ed21</t>
  </si>
  <si>
    <r>
      <rPr>
        <color rgb="FF1155CC"/>
        <u/>
      </rPr>
      <t>https://webolmo-data-snorkel.allen.ai/20251219_snorkel_batch004__llm_navqa_popular_websites__9</t>
    </r>
  </si>
  <si>
    <t>a607d6d2-bf0c-4640-a8df-7766f972bcb0</t>
  </si>
  <si>
    <r>
      <rPr>
        <color rgb="FF1155CC"/>
        <u/>
      </rPr>
      <t>https://webolmo-data-snorkel.allen.ai/20251219_snorkel_batch009__llm_navqa_popular_websites__132</t>
    </r>
  </si>
  <si>
    <t>94565ece-3ff5-4e51-90ee-39a500ab00fc</t>
  </si>
  <si>
    <r>
      <rPr>
        <color rgb="FF1155CC"/>
        <u/>
      </rPr>
      <t>https://webolmo-data-snorkel.allen.ai/20251219_snorkel_batch007__llm_navqa_popular_websites__125</t>
    </r>
  </si>
  <si>
    <t>9136bf80-f10d-45fb-94a5-48502c81b990</t>
  </si>
  <si>
    <r>
      <rPr>
        <color rgb="FF1155CC"/>
        <u/>
      </rPr>
      <t>https://webolmo-data-snorkel.allen.ai/20251219_snorkel_batch009__llm_navqa_onlinemind2web_websites__87</t>
    </r>
  </si>
  <si>
    <t>b84db6d2-6221-41af-a7ee-9cddf71753ec</t>
  </si>
  <si>
    <r>
      <rPr>
        <color rgb="FF1155CC"/>
        <u/>
      </rPr>
      <t>https://webolmo-data-snorkel.allen.ai/20251219_snorkel_batch006__llm_navqa_onlinemind2web_websites__96</t>
    </r>
  </si>
  <si>
    <t>4c19cfe9-4413-43e4-87d9-42ce022b2031</t>
  </si>
  <si>
    <r>
      <rPr>
        <color rgb="FF1155CC"/>
        <u/>
      </rPr>
      <t>https://webolmo-data-snorkel.allen.ai/20251121_snorkel_batch001__webvoyager_like__206</t>
    </r>
  </si>
  <si>
    <t>d97bed69-b0e9-4f5b-93ba-4a9096bed9a6</t>
  </si>
  <si>
    <r>
      <rPr>
        <color rgb="FF1155CC"/>
        <u/>
      </rPr>
      <t>https://webolmo-data-snorkel.allen.ai/20251219_snorkel_batch002__llm_navqa_webvoyager_websites__28</t>
    </r>
  </si>
  <si>
    <t>8d7d4067-6962-44c2-b535-b19db9080a5e</t>
  </si>
  <si>
    <r>
      <rPr>
        <color rgb="FF1155CC"/>
        <u/>
      </rPr>
      <t>https://webolmo-data-snorkel.allen.ai/20251219_snorkel_batch010__llm_navqa_webvoyager_websites__18</t>
    </r>
  </si>
  <si>
    <t>26b6ee92-672e-442c-b8ae-d5b7fed1c12d</t>
  </si>
  <si>
    <t>https://webolmo-data-snorkel.allen.ai/20251219_snorkel_batch007__llm_navqa_onlinemind2web_websites__76</t>
  </si>
  <si>
    <t>31e6b9f0-fdae-41c0-889d-05dd1eda2820</t>
  </si>
  <si>
    <t>https://webolmo-data-snorkel.allen.ai/20251219_snorkel_batch002__llm_navqa_popular_websites__30</t>
  </si>
  <si>
    <t>0406606c-9c14-4135-82b0-867adeff579c</t>
  </si>
  <si>
    <t>https://webolmo-data-snorkel.allen.ai/20251219_snorkel_batch006__llm_navqa_popular_websites__41</t>
  </si>
  <si>
    <t>7dc77bcd-b6fe-44b8-85d7-0514828a22a7</t>
  </si>
  <si>
    <t>https://webolmo-data-snorkel.allen.ai/20251219_snorkel_batch010__llm_navqa_onlinemind2web_websites__95</t>
  </si>
  <si>
    <t>8b2be65a-374f-4044-8aac-0b5fd92ca061</t>
  </si>
  <si>
    <t>https://webolmo-data-snorkel.allen.ai/20251121_snorkel_batch001__webvoyager_like__470</t>
  </si>
  <si>
    <t>771ac3f6-1b41-4a56-b152-79d7ff04d7e8</t>
  </si>
  <si>
    <t>https://webolmo-data-snorkel.allen.ai/20251219_snorkel_batch005__llm_navqa_popular_websites__102</t>
  </si>
  <si>
    <t>8484ce34-7e79-4e5c-a375-d0f1ba92e3a0</t>
  </si>
  <si>
    <t>https://webolmo-data-snorkel.allen.ai/20251219_snorkel_batch001__llm_navqa_onlinemind2web_websites__41</t>
  </si>
  <si>
    <t>56a237bb-68d2-4fa1-8c05-2b1586c49ec1</t>
  </si>
  <si>
    <t>https://webolmo-data-snorkel.allen.ai/20251219_snorkel_batch010__llm_navqa_popular_websites__117</t>
  </si>
  <si>
    <t>7a3d3999-ecca-4846-9ede-ec58566c4aff</t>
  </si>
  <si>
    <t>https://webolmo-data-snorkel.allen.ai/20251219_snorkel_batch010__llm_navqa_popular_websites__30</t>
  </si>
  <si>
    <t>cd16204d-aa5b-4c8f-9cdc-7105cb25e4e0</t>
  </si>
  <si>
    <t>https://webolmo-data-snorkel.allen.ai/20251219_snorkel_batch005__llm_navqa_popular_websites__139</t>
  </si>
  <si>
    <t>a67e8204-4aaf-42f2-add3-d501ab41f418</t>
  </si>
  <si>
    <t>https://webolmo-data-snorkel.allen.ai/20251121_snorkel_batch001__webvoyager_like__32</t>
  </si>
  <si>
    <t>d37a26dc-40b9-44fd-901d-38b854dc7c90</t>
  </si>
  <si>
    <t>https://webolmo-data-snorkel.allen.ai/20251219_snorkel_batch005__llm_navqa_onlinemind2web_websites__168</t>
  </si>
  <si>
    <t>60126968-6ef2-4484-952b-fd9e21720154</t>
  </si>
  <si>
    <t>https://webolmo-data-snorkel.allen.ai/20251219_snorkel_batch008__llm_navqa_onlinemind2web_websites__165</t>
  </si>
  <si>
    <t>f820469f-cceb-4e14-b1a3-30e6bc1ddb09</t>
  </si>
  <si>
    <t>https://webolmo-data-snorkel.allen.ai/20251121_snorkel_batch001__webvoyager_like__33</t>
  </si>
  <si>
    <t>2580d0f4-0d69-4cb9-9f36-7ad57d23264f</t>
  </si>
  <si>
    <t>https://webolmo-data-snorkel.allen.ai/20251219_snorkel_batch005__llm_navqa_popular_websites__140</t>
  </si>
  <si>
    <t>cb28a40b-b5ee-453e-bc65-8597b290b73c</t>
  </si>
  <si>
    <t>https://webolmo-data-snorkel.allen.ai/20251219_snorkel_batch008__llm_navqa_webvoyager_websites__121</t>
  </si>
  <si>
    <t>Can not filter for models released in 2023</t>
  </si>
  <si>
    <t>7bbcae15-4f86-4ac1-9a37-d75447603f17</t>
  </si>
  <si>
    <t>https://webolmo-data-snorkel.allen.ai/20251219_snorkel_batch007__llm_navqa_popular_websites__5</t>
  </si>
  <si>
    <t>5b7862e1-3648-471e-a05e-225e6e270286</t>
  </si>
  <si>
    <t>https://webolmo-data-snorkel.allen.ai/20251219_snorkel_batch002__llm_navqa_onlinemind2web_websites__17</t>
  </si>
  <si>
    <t>Không tìm thấy thông tin mà task yêu cầu/Không có URL trong task extension</t>
  </si>
  <si>
    <t>40,42</t>
  </si>
  <si>
    <t>10ea9422-f3fc-4ff6-87b6-f7a942700c4b</t>
  </si>
  <si>
    <t>https://webolmo-data-snorkel.allen.ai/20251219_snorkel_batch008__llm_navqa_popular_websites__130</t>
  </si>
  <si>
    <t>3e4a9ffe-4cb6-489c-b35d-c1009ed9ed04</t>
  </si>
  <si>
    <t>https://webolmo-data-snorkel.allen.ai/20251219_snorkel_batch009__llm_navqa_onlinemind2web_websites__74</t>
  </si>
  <si>
    <t>Không có URL trong task extension/Trang kiểm tra robot</t>
  </si>
  <si>
    <t>83243050-1730-4a6a-a6c3-6e6bca8573e6</t>
  </si>
  <si>
    <t>https://webolmo-data-snorkel.allen.ai/20251219_snorkel_batch008__llm_navqa_onlinemind2web_websites__52</t>
  </si>
  <si>
    <t>510aa484-6bee-4fdd-9e73-14ee6569e521</t>
  </si>
  <si>
    <t>https://webolmo-data-snorkel.allen.ai/20251219_snorkel_batch007__llm_navqa_onlinemind2web_websites__110</t>
  </si>
  <si>
    <t>41beab3a-4e9e-40bb-8c14-388cf33bf4cb</t>
  </si>
  <si>
    <t>https://webolmo-data-snorkel.allen.ai/20251219_snorkel_batch006__llm_navqa_onlinemind2web_websites__152</t>
  </si>
  <si>
    <t>8ff1d6f6-b9b0-4198-8b2b-edc22ba62c59</t>
  </si>
  <si>
    <t>https://webolmo-data-snorkel.allen.ai/20251219_snorkel_batch004__llm_navqa_webvoyager_websites__150</t>
  </si>
  <si>
    <t>c8d3643d-6b16-4dfe-bea8-39d4d865dfc4</t>
  </si>
  <si>
    <t>https://webolmo-data-snorkel.allen.ai/20251219_snorkel_batch010__llm_navqa_popular_websites__68</t>
  </si>
  <si>
    <t>74f61dda-d978-4fa2-b06e-40cde635034c</t>
  </si>
  <si>
    <t>https://webolmo-data-snorkel.allen.ai/20251219_snorkel_batch009__llm_navqa_popular_websites__25</t>
  </si>
  <si>
    <t>mở 1 tab mới</t>
  </si>
  <si>
    <t>a4378d65-92f2-42f2-b2a4-1455e375e1dc</t>
  </si>
  <si>
    <t>https://webolmo-data-snorkel.allen.ai/20251219_snorkel_batch009__llm_navqa_onlinemind2web_websites__76</t>
  </si>
  <si>
    <t>915ec061-6589-4637-98fc-46323d8bbb35</t>
  </si>
  <si>
    <t>https://webolmo-data-snorkel.allen.ai/20251219_snorkel_batch010__llm_navqa_onlinemind2web_websites__34</t>
  </si>
  <si>
    <t>b3f3e00d-ab8f-4c2c-ac4e-0f822801174b</t>
  </si>
  <si>
    <t>https://webolmo-data-snorkel.allen.ai/20251219_snorkel_batch007__llm_navqa_webvoyager_websites__21</t>
  </si>
  <si>
    <t>caace028-8f24-48cd-a24c-f81f6df9ce40</t>
  </si>
  <si>
    <t>https://webolmo-data-snorkel.allen.ai/20251219_snorkel_batch004__llm_navqa_webvoyager_websites__157</t>
  </si>
  <si>
    <t>796f879e-3905-4a50-b879-fdc67ae4e21e</t>
  </si>
  <si>
    <t>https://webolmo-data-snorkel.allen.ai/20251219_snorkel_batch009__llm_navqa_onlinemind2web_websites__46</t>
  </si>
  <si>
    <t>00a390e2-b952-4208-b098-8e9662d3e615</t>
  </si>
  <si>
    <r>
      <rPr>
        <color rgb="FF1155CC"/>
        <u/>
      </rPr>
      <t>https://webolmo-data-snorkel.allen.ai/20251219_snorkel_batch006__llm_navqa_onlinemind2web_websites__129</t>
    </r>
  </si>
  <si>
    <t>8c8daf5b-0591-4ac3-b24a-c440a783280f</t>
  </si>
  <si>
    <r>
      <rPr>
        <color rgb="FF1155CC"/>
        <u/>
      </rPr>
      <t>https://webolmo-data-snorkel.allen.ai/20251219_snorkel_batch009__llm_navqa_webvoyager_websites__161</t>
    </r>
  </si>
  <si>
    <t>1c2f6d6d-23ff-4f38-85c8-db219b559cc7</t>
  </si>
  <si>
    <r>
      <rPr>
        <color rgb="FF1155CC"/>
        <u/>
      </rPr>
      <t>https://webolmo-data-snorkel.allen.ai/20251121_snorkel_batch001__webvoyager_like__121</t>
    </r>
  </si>
  <si>
    <t>3b6b0c13-81df-4869-9c0c-edf66710bcbd</t>
  </si>
  <si>
    <r>
      <rPr>
        <color rgb="FF1155CC"/>
        <u/>
      </rPr>
      <t>https://webolmo-data-snorkel.allen.ai/20251121_snorkel_batch001__webvoyager_like__239</t>
    </r>
  </si>
  <si>
    <t>31678938-6909-45a9-9a41-22837f771061</t>
  </si>
  <si>
    <r>
      <rPr>
        <color rgb="FF1155CC"/>
        <u/>
      </rPr>
      <t>https://webolmo-data-snorkel.allen.ai/20251219_snorkel_batch008__llm_navqa_webvoyager_websites__66</t>
    </r>
  </si>
  <si>
    <t>e439f6e5-6fc3-442a-9a9c-5ab68444844c</t>
  </si>
  <si>
    <r>
      <rPr>
        <color rgb="FF1155CC"/>
        <u/>
      </rPr>
      <t>https://webolmo-data-snorkel.allen.ai/20251219_snorkel_batch005__llm_navqa_webvoyager_websites__108</t>
    </r>
  </si>
  <si>
    <t>2363bedd-020a-4711-9d2a-97091cb5bade</t>
  </si>
  <si>
    <r>
      <rPr>
        <color rgb="FF1155CC"/>
        <u/>
      </rPr>
      <t>https://webolmo-data-snorkel.allen.ai/20251219_snorkel_batch002__llm_navqa_popular_websites__155</t>
    </r>
  </si>
  <si>
    <t>75b56ca6-0ff4-4f36-b99c-ff2966ad1ef3</t>
  </si>
  <si>
    <t>https://webolmo-data-snorkel.allen.ai/20251219_snorkel_batch005__llm_navqa_webvoyager_websites__115</t>
  </si>
  <si>
    <t>f7cd7530-e60b-42e0-821d-de1798b82db1</t>
  </si>
  <si>
    <t>https://webolmo-data-snorkel.allen.ai/20251219_snorkel_batch009__llm_navqa_onlinemind2web_websites__63</t>
  </si>
  <si>
    <t>6adc91bd-dd87-4bad-9639-f68e3cbdab1c</t>
  </si>
  <si>
    <t>https://webolmo-data-snorkel.allen.ai/20251219_snorkel_batch005__llm_navqa_popular_websites__48</t>
  </si>
  <si>
    <t>Require logged in to complete task</t>
  </si>
  <si>
    <t>54ce726d-17ed-45db-939a-53d644dd40a8</t>
  </si>
  <si>
    <t>https://webolmo-data-snorkel.allen.ai/20251219_snorkel_batch003__llm_navqa_webvoyager_websites__71</t>
  </si>
  <si>
    <t>0f0b58a6-ee73-4088-bae1-fcd73fce382d</t>
  </si>
  <si>
    <t>https://webolmo-data-snorkel.allen.ai/20251219_snorkel_batch010__llm_navqa_onlinemind2web_websites__40</t>
  </si>
  <si>
    <t>7e60c3ee-2981-473c-8546-31935cce1c6f</t>
  </si>
  <si>
    <r>
      <rPr>
        <rFont val="Aptos Narrow"/>
        <color rgb="FF1155CC"/>
        <sz val="11.0"/>
        <u/>
      </rPr>
      <t>https://webolmo-data-snorkel.allen.ai/20251219_snorkel_batch008__llm_navqa_popular_websites__74</t>
    </r>
  </si>
  <si>
    <t>4afe13d6-d142-4dcd-9195-92286085e775</t>
  </si>
  <si>
    <r>
      <rPr>
        <rFont val="Aptos Narrow"/>
        <color rgb="FF1155CC"/>
        <sz val="11.0"/>
        <u/>
      </rPr>
      <t>https://webolmo-data-snorkel.allen.ai/20251219_snorkel_batch003__llm_navqa_popular_websites__115</t>
    </r>
  </si>
  <si>
    <t>b9a95fe2-7605-4bc0-86bf-3224b41b365c</t>
  </si>
  <si>
    <r>
      <rPr>
        <rFont val="Aptos Narrow"/>
        <color rgb="FF1155CC"/>
        <sz val="11.0"/>
        <u/>
      </rPr>
      <t>https://webolmo-data-snorkel.allen.ai/20251219_snorkel_batch002__llm_navqa_popular_websites__127</t>
    </r>
  </si>
  <si>
    <t xml:space="preserve">2 popup apear. One at the start when accessing the web. The second one was aspear when finding what article </t>
  </si>
  <si>
    <t>579e6cec-8b9e-49f4-af1c-a4b4031a000c</t>
  </si>
  <si>
    <t>https://webolmo-data-snorkel.allen.ai/20251219_snorkel_batch003__llm_navqa_popular_websites__150</t>
  </si>
  <si>
    <t>c000fb33-fdb0-4444-91be-c20ce9129b45</t>
  </si>
  <si>
    <r>
      <rPr>
        <rFont val="Aptos Narrow"/>
        <color rgb="FF1155CC"/>
        <sz val="11.0"/>
        <u/>
      </rPr>
      <t>https://webolmo-data-snorkel.allen.ai/20251219_snorkel_batch002__llm_navqa_onlinemind2web_websites__149</t>
    </r>
  </si>
  <si>
    <t>I can not analysis it because i don't have any videos</t>
  </si>
  <si>
    <t>495cd7f8-65dd-43ff-84fa-36071d9d1764</t>
  </si>
  <si>
    <r>
      <rPr>
        <rFont val="Aptos Narrow"/>
        <color rgb="FF1155CC"/>
        <sz val="11.0"/>
        <u/>
      </rPr>
      <t>https://webolmo-data-snorkel.allen.ai/20251219_snorkel_batch006__llm_navqa_onlinemind2web_websites__79</t>
    </r>
  </si>
  <si>
    <t>4fd5e572-5675-4cec-b23a-13e33a7a65c9</t>
  </si>
  <si>
    <r>
      <rPr>
        <rFont val="Aptos Narrow"/>
        <color rgb="FF1155CC"/>
        <sz val="11.0"/>
        <u/>
      </rPr>
      <t>https://webolmo-data-snorkel.allen.ai/20251219_snorkel_batch009__llm_navqa_webvoyager_websites__0</t>
    </r>
  </si>
  <si>
    <t>4400e484-a79b-4ce0-93f0-d7db2bfbf8e1</t>
  </si>
  <si>
    <r>
      <rPr>
        <rFont val="Aptos Narrow"/>
        <color rgb="FF1155CC"/>
        <sz val="11.0"/>
        <u/>
      </rPr>
      <t>https://webolmo-data-snorkel.allen.ai/20251219_snorkel_batch004__llm_navqa_webvoyager_websites__155</t>
    </r>
  </si>
  <si>
    <t>cd7c3841-1885-43a1-b810-a3c992b9508a</t>
  </si>
  <si>
    <r>
      <rPr>
        <rFont val="Aptos Narrow"/>
        <color rgb="FF1155CC"/>
        <sz val="11.0"/>
        <u/>
      </rPr>
      <t>https://webolmo-data-snorkel.allen.ai/20251219_snorkel_batch005__llm_navqa_popular_websites__146</t>
    </r>
  </si>
  <si>
    <t>d45cde2a-d8be-455c-bc72-c75b01470a63</t>
  </si>
  <si>
    <r>
      <rPr>
        <rFont val="Aptos Narrow"/>
        <color rgb="FF1155CC"/>
        <sz val="11.0"/>
        <u/>
      </rPr>
      <t>https://webolmo-data-snorkel.allen.ai/20251219_snorkel_batch008__llm_navqa_onlinemind2web_websites__161</t>
    </r>
  </si>
  <si>
    <t>43f0e4a8-78f4-487f-bc18-7c30bf772a9f</t>
  </si>
  <si>
    <r>
      <rPr>
        <rFont val="Aptos Narrow"/>
        <color rgb="FF1155CC"/>
        <sz val="11.0"/>
        <u/>
      </rPr>
      <t>https://webolmo-data-snorkel.allen.ai/20251219_snorkel_batch007__llm_navqa_webvoyager_websites__152</t>
    </r>
  </si>
  <si>
    <t>875d98e2-4582-4fe7-8773-a16e3166960a</t>
  </si>
  <si>
    <r>
      <rPr>
        <rFont val="Aptos Narrow"/>
        <color rgb="FF1155CC"/>
        <sz val="11.0"/>
        <u/>
      </rPr>
      <t>https://webolmo-data-snorkel.allen.ai/20251219_snorkel_batch006__llm_navqa_onlinemind2web_websites__68</t>
    </r>
  </si>
  <si>
    <t>3de621d9-8588-4443-bcbc-98c5379daf82</t>
  </si>
  <si>
    <r>
      <rPr>
        <rFont val="Aptos Narrow"/>
        <color rgb="FF1155CC"/>
        <sz val="11.0"/>
        <u/>
      </rPr>
      <t>https://webolmo-data-snorkel.allen.ai/20251219_snorkel_batch009__llm_navqa_webvoyager_websites__44</t>
    </r>
  </si>
  <si>
    <t>edae838e-1944-46ac-ac6a-d7c96c6dd197</t>
  </si>
  <si>
    <r>
      <rPr>
        <rFont val="Aptos Narrow"/>
        <color rgb="FF1155CC"/>
        <sz val="11.0"/>
        <u/>
      </rPr>
      <t>https://webolmo-data-snorkel.allen.ai/20251219_snorkel_batch003__llm_navqa_webvoyager_websites__20</t>
    </r>
  </si>
  <si>
    <t>8fa08f8a-ed77-4a0c-9943-18e7ea3bc42f</t>
  </si>
  <si>
    <r>
      <rPr>
        <rFont val="Aptos Narrow"/>
        <color rgb="FF1155CC"/>
        <sz val="11.0"/>
        <u/>
      </rPr>
      <t>https://webolmo-data-snorkel.allen.ai/20251126_snorkel_batch016__llm_step_popular_websites__135</t>
    </r>
  </si>
  <si>
    <t>63633ffa-601b-47e2-9a3a-f499d6bdee79</t>
  </si>
  <si>
    <r>
      <rPr>
        <rFont val="Aptos Narrow"/>
        <color rgb="FF1155CC"/>
        <sz val="11.0"/>
        <u/>
      </rPr>
      <t>https://webolmo-data-snorkel.allen.ai/20251219_snorkel_batch010__llm_navqa_popular_websites__129</t>
    </r>
  </si>
  <si>
    <t>11e6e3a0-55a8-4276-9191-cb399d56fa11</t>
  </si>
  <si>
    <r>
      <rPr>
        <rFont val="Aptos Narrow"/>
        <color rgb="FF1155CC"/>
        <sz val="11.0"/>
        <u/>
      </rPr>
      <t>https://webolmo-data-snorkel.allen.ai/20251219_snorkel_batch010__llm_navqa_webvoyager_websites__117</t>
    </r>
  </si>
  <si>
    <t>b94de490-ea8d-4257-a531-e6e3e4e5e684</t>
  </si>
  <si>
    <r>
      <rPr>
        <rFont val="Aptos Narrow"/>
        <color rgb="FF1155CC"/>
        <sz val="11.0"/>
        <u/>
      </rPr>
      <t>https://webolmo-data-snorkel.allen.ai/20251219_snorkel_batch008__llm_navqa_onlinemind2web_websites__104</t>
    </r>
  </si>
  <si>
    <t>653213c3-d840-4b0a-b540-97744f28375e</t>
  </si>
  <si>
    <r>
      <rPr>
        <color rgb="FF1155CC"/>
        <u/>
      </rPr>
      <t>https://webolmo-data-snorkel.allen.ai/20251219_snorkel_batch007__llm_navqa_onlinemind2web_websites__158</t>
    </r>
  </si>
  <si>
    <t>c0205ea0-9b63-4064-bfe7-d3ba42c271fe</t>
  </si>
  <si>
    <r>
      <rPr>
        <color rgb="FF1155CC"/>
        <u/>
      </rPr>
      <t>https://webolmo-data-snorkel.allen.ai/20251219_snorkel_batch007__llm_navqa_popular_websites__122</t>
    </r>
  </si>
  <si>
    <t>1062e2ac-77a7-4d76-a74d-415bf8978ed4</t>
  </si>
  <si>
    <r>
      <rPr>
        <color rgb="FF1155CC"/>
        <u/>
      </rPr>
      <t>https://webolmo-data-snorkel.allen.ai/20251219_snorkel_batch006__llm_navqa_popular_websites__39</t>
    </r>
  </si>
  <si>
    <t>c93204a3-7559-4a4e-af5e-b252e0cbe155</t>
  </si>
  <si>
    <r>
      <rPr>
        <color rgb="FF1155CC"/>
        <u/>
      </rPr>
      <t>https://webolmo-data-snorkel.allen.ai/20251219_snorkel_batch006__llm_navqa_popular_websites__31</t>
    </r>
  </si>
  <si>
    <t>6e8b867c-184a-44d9-8d29-f5f580c2ba7a</t>
  </si>
  <si>
    <r>
      <rPr>
        <color rgb="FF1155CC"/>
        <u/>
      </rPr>
      <t>https://webolmo-data-snorkel.allen.ai/20251219_snorkel_batch006__llm_navqa_popular_websites__73</t>
    </r>
  </si>
  <si>
    <t>405728b5-7f0b-491c-b850-9b31aeda3276</t>
  </si>
  <si>
    <r>
      <rPr>
        <color rgb="FF1155CC"/>
        <u/>
      </rPr>
      <t>https://webolmo-data-snorkel.allen.ai/20251219_snorkel_batch002__llm_navqa_popular_websites__151</t>
    </r>
  </si>
  <si>
    <t>dd29136e-2487-41d7-b506-e600a732fabe</t>
  </si>
  <si>
    <r>
      <rPr>
        <color rgb="FF1155CC"/>
        <u/>
      </rPr>
      <t>https://webolmo-data-snorkel.allen.ai/20251219_snorkel_batch007__llm_navqa_onlinemind2web_websites__133</t>
    </r>
  </si>
  <si>
    <t>979fe0cd-f897-421d-a77a-c2084c0b0a05</t>
  </si>
  <si>
    <r>
      <rPr>
        <color rgb="FF1155CC"/>
        <u/>
      </rPr>
      <t>https://webolmo-data-snorkel.allen.ai/20251219_snorkel_batch008__llm_navqa_webvoyager_websites__62</t>
    </r>
  </si>
  <si>
    <t>2e6e8629-3aff-4ec5-8bf4-2a2719b32ae5</t>
  </si>
  <si>
    <r>
      <rPr>
        <color rgb="FF1155CC"/>
        <u/>
      </rPr>
      <t>https://webolmo-data-snorkel.allen.ai/20251219_snorkel_batch010__llm_navqa_webvoyager_websites__123</t>
    </r>
  </si>
  <si>
    <t>dbb39e59-7324-4901-a825-3f78d0850746</t>
  </si>
  <si>
    <r>
      <rPr>
        <color rgb="FF1155CC"/>
        <u/>
      </rPr>
      <t>https://webolmo-data-snorkel.allen.ai/20251219_snorkel_batch010__llm_navqa_webvoyager_websites__151</t>
    </r>
  </si>
  <si>
    <t>e0209fb2-0164-4164-b015-8c43dda7a4bc</t>
  </si>
  <si>
    <r>
      <rPr>
        <color rgb="FF1155CC"/>
        <u/>
      </rPr>
      <t>https://webolmo-data-snorkel.allen.ai/20251219_snorkel_batch005__llm_navqa_popular_websites__58</t>
    </r>
  </si>
  <si>
    <t>c9ff9d3f-639b-4019-b06e-3abb399ecff6</t>
  </si>
  <si>
    <r>
      <rPr>
        <color rgb="FF1155CC"/>
        <u/>
      </rPr>
      <t>https://webolmo-data-snorkel.allen.ai/20251219_snorkel_batch001__llm_navqa_webvoyager_websites__156</t>
    </r>
  </si>
  <si>
    <t>a474fb25-37e3-4dc0-b0df-2a6667146806</t>
  </si>
  <si>
    <r>
      <rPr>
        <color rgb="FF1155CC"/>
        <u/>
      </rPr>
      <t>https://webolmo-data-snorkel.allen.ai/20251219_snorkel_batch005__llm_navqa_popular_websites__77</t>
    </r>
  </si>
  <si>
    <t>e853777c-df25-4752-8f32-940242827d55</t>
  </si>
  <si>
    <r>
      <rPr>
        <color rgb="FF1155CC"/>
        <u/>
      </rPr>
      <t>https://webolmo-data-snorkel.allen.ai/20251219_snorkel_batch001__llm_navqa_popular_websites__113</t>
    </r>
  </si>
  <si>
    <t>95978977-4428-4228-b790-69a4c98d6d4a</t>
  </si>
  <si>
    <r>
      <rPr>
        <color rgb="FF1155CC"/>
        <u/>
      </rPr>
      <t>https://webolmo-data-snorkel.allen.ai/20251219_snorkel_batch009__llm_navqa_popular_websites__159</t>
    </r>
  </si>
  <si>
    <t>759a1bab-f7d0-4bce-8f6e-2edd7523e97b</t>
  </si>
  <si>
    <r>
      <rPr>
        <color rgb="FF1155CC"/>
        <u/>
      </rPr>
      <t>https://webolmo-data-snorkel.allen.ai/20251219_snorkel_batch006__llm_navqa_webvoyager_websites__88</t>
    </r>
  </si>
  <si>
    <t>c3718720-495a-43a8-8ced-bab302029973</t>
  </si>
  <si>
    <r>
      <rPr>
        <color rgb="FF1155CC"/>
        <u/>
      </rPr>
      <t>https://webolmo-data-snorkel.allen.ai/20251219_snorkel_batch002__llm_navqa_onlinemind2web_websites__29</t>
    </r>
  </si>
  <si>
    <t>073b36e4-72a0-4b7d-a84f-f82f8ba3ea9d</t>
  </si>
  <si>
    <r>
      <rPr>
        <color rgb="FF1155CC"/>
        <u/>
      </rPr>
      <t>https://webolmo-data-snorkel.allen.ai/20251219_snorkel_batch010__llm_navqa_webvoyager_websites__67</t>
    </r>
  </si>
  <si>
    <t>0e477a6d-bee5-4fb9-898a-59c616e9a443</t>
  </si>
  <si>
    <r>
      <rPr>
        <color rgb="FF1155CC"/>
        <u/>
      </rPr>
      <t>https://webolmo-data-snorkel.allen.ai/20251219_snorkel_batch007__llm_navqa_onlinemind2web_websites__105</t>
    </r>
  </si>
  <si>
    <t>818f8e7c-59bf-4b5b-b417-5fa3e4134822</t>
  </si>
  <si>
    <r>
      <rPr>
        <color rgb="FF1155CC"/>
        <u/>
      </rPr>
      <t>https://webolmo-data-snorkel.allen.ai/20251219_snorkel_batch009__llm_navqa_webvoyager_websites__81</t>
    </r>
  </si>
  <si>
    <t>4865cc16-5e67-41b5-a1fb-3ec89b092aab</t>
  </si>
  <si>
    <t>https://webolmo-data-snorkel.allen.ai/20251219_snorkel_batch008__llm_navqa_webvoyager_websites__27</t>
  </si>
  <si>
    <t>Không tìm thấy món ăn yêu cầu ở trang chủ</t>
  </si>
  <si>
    <t>bdcc9f5a-2653-4460-be43-6cf5407dca9e</t>
  </si>
  <si>
    <t>https://webolmo-data-snorkel.allen.ai/20251219_snorkel_batch009__llm_navqa_onlinemind2web_websites__163</t>
  </si>
  <si>
    <t>Không có bộ lọc như yêu cầu</t>
  </si>
  <si>
    <t>296c5e0c-82a7-4e6d-8ccf-62135b3343e6</t>
  </si>
  <si>
    <t>https://webolmo-data-snorkel.allen.ai/20251219_snorkel_batch007__llm_navqa_onlinemind2web_websites__66</t>
  </si>
  <si>
    <t>08c35c37-8596-44a8-b311-4936228570ba</t>
  </si>
  <si>
    <t>https://webolmo-data-snorkel.allen.ai/20251219_snorkel_batch001__llm_navqa_webvoyager_websites__113</t>
  </si>
  <si>
    <t>9cbfc866-eb11-4b1f-8a7e-1b75bbf77d38</t>
  </si>
  <si>
    <t>https://webolmo-data-snorkel.allen.ai/20251219_snorkel_batch010__llm_navqa_onlinemind2web_websites__26</t>
  </si>
  <si>
    <t>Không tìm thấy thông tin theo yêu cầu</t>
  </si>
  <si>
    <t>d20400f5-fedc-4ef5-bef1-a267d490ed25</t>
  </si>
  <si>
    <t>https://webolmo-data-snorkel.allen.ai/20251219_snorkel_batch001__llm_navqa_onlinemind2web_websites__82</t>
  </si>
  <si>
    <t>Không tìm thấy sự kiện theo yêu cầu</t>
  </si>
  <si>
    <t>10b13761-ca51-46c1-9189-6fab0fdade4b</t>
  </si>
  <si>
    <t>https://webolmo-data-snorkel.allen.ai/20251219_snorkel_batch005__llm_navqa_onlinemind2web_websites__83</t>
  </si>
  <si>
    <t>9f60eee5-82a3-4dfc-bd73-55a6d28766bc</t>
  </si>
  <si>
    <t>https://webolmo-data-snorkel.allen.ai/20251219_snorkel_batch010__llm_navqa_webvoyager_websites__166</t>
  </si>
  <si>
    <t>1e9c26d6-8010-4218-bb4c-afd1459dc6fc</t>
  </si>
  <si>
    <t>https://webolmo-data-snorkel.allen.ai/20251219_snorkel_batch007__llm_navqa_popular_websites__38</t>
  </si>
  <si>
    <t>mở tab mới</t>
  </si>
  <si>
    <t>ca7d7b53-9d49-4828-893d-65ab4679bdd7</t>
  </si>
  <si>
    <t>https://webolmo-data-snorkel.allen.ai/20251219_snorkel_batch010__llm_navqa_onlinemind2web_websites__91</t>
  </si>
  <si>
    <t>dba06292-bb9c-4f31-9176-a74e60bc60f1</t>
  </si>
  <si>
    <t>https://webolmo-data-snorkel.allen.ai/20251219_snorkel_batch001__llm_navqa_onlinemind2web_websites__99</t>
  </si>
  <si>
    <t>Popup khi  mở page và sau khi search</t>
  </si>
  <si>
    <t>79b69cf8-65b3-4d1e-90cd-e9d776e58523</t>
  </si>
  <si>
    <t>https://webolmo-data-snorkel.allen.ai/20251219_snorkel_batch004__llm_navqa_webvoyager_websites__38</t>
  </si>
  <si>
    <t>a071012c-f538-4e4b-8cbb-bc86861bd64c</t>
  </si>
  <si>
    <t>https://webolmo-data-snorkel.allen.ai/20251219_snorkel_batch007__llm_navqa_webvoyager_websites__34</t>
  </si>
  <si>
    <t>b023e253-b340-4be8-97d6-f74a182d5e01</t>
  </si>
  <si>
    <t>https://webolmo-data-snorkel.allen.ai/20251121_snorkel_batch001__webvoyager_like__422</t>
  </si>
  <si>
    <t>Popup quảng cáo</t>
  </si>
  <si>
    <t>00102c17-db6e-4cf3-881f-9220c8bdcf3b</t>
  </si>
  <si>
    <t>https://webolmo-data-snorkel.allen.ai/20251219_snorkel_batch008__llm_navqa_webvoyager_websites__68</t>
  </si>
  <si>
    <t>a128072f-a0a0-426b-8912-ba316d52a3b5</t>
  </si>
  <si>
    <t>https://webolmo-data-snorkel.allen.ai/20251219_snorkel_batch003__llm_navqa_webvoyager_websites__98</t>
  </si>
  <si>
    <t>bede5d57-c3e6-47c0-8a6b-dc81e1432d53</t>
  </si>
  <si>
    <t>https://webolmo-data-snorkel.allen.ai/20251219_snorkel_batch010__llm_navqa_webvoyager_websites__142</t>
  </si>
  <si>
    <t>6032be84-9372-4fdc-b6c0-5af9ac9160b8</t>
  </si>
  <si>
    <t>https://webolmo-data-snorkel.allen.ai/20251219_snorkel_batch009__llm_navqa_webvoyager_websites__99</t>
  </si>
  <si>
    <t>Không có mô tả sản phẩm</t>
  </si>
  <si>
    <t>d6b51509-f079-40b8-a5df-2fd51a039d04</t>
  </si>
  <si>
    <r>
      <rPr>
        <color rgb="FF1155CC"/>
        <u/>
      </rPr>
      <t>https://webolmo-data-snorkel.allen.ai/20251219_snorkel_batch006__llm_navqa_popular_websites__51</t>
    </r>
  </si>
  <si>
    <t>6337e1fd-04ac-4afa-b4fc-dfdeb12df8f4</t>
  </si>
  <si>
    <t>https://webolmo-data-snorkel.allen.ai/20251219_snorkel_batch001__llm_navqa_webvoyager_websites__34</t>
  </si>
  <si>
    <t>65f2bae3-c922-4e64-86de-7e003577408b</t>
  </si>
  <si>
    <t>https://webolmo-data-snorkel.allen.ai/20251219_snorkel_batch009__llm_navqa_onlinemind2web_websites__83</t>
  </si>
  <si>
    <t>572fc0b1-ab47-489a-a32a-61ed7061870f</t>
  </si>
  <si>
    <t>https://webolmo-data-snorkel.allen.ai/20251126_snorkel_batch013__llm_step_webvoyager_websites__24</t>
  </si>
  <si>
    <t>Không tìm thấy thông tin task yêu cầu</t>
  </si>
  <si>
    <t>ec8d139e-e620-4061-8abb-793bdc820216</t>
  </si>
  <si>
    <t>https://webolmo-data-snorkel.allen.ai/20251219_snorkel_batch005__llm_navqa_webvoyager_websites__138</t>
  </si>
  <si>
    <t>74aac0b0-0bf3-4606-a261-a243cc132a44</t>
  </si>
  <si>
    <t>https://webolmo-data-snorkel.allen.ai/20251219_snorkel_batch003__llm_navqa_onlinemind2web_websites__63</t>
  </si>
  <si>
    <t>68434b2f-b89a-4e74-a308-33a28c0fd12a</t>
  </si>
  <si>
    <t>https://webolmo-data-snorkel.allen.ai/20251219_snorkel_batch004__llm_navqa_webvoyager_websites__140</t>
  </si>
  <si>
    <t>d47d252a-5842-4871-b5f7-ad64e365f2ea</t>
  </si>
  <si>
    <t>https://webolmo-data-snorkel.allen.ai/20251121_snorkel_batch001__webvoyager_like__380</t>
  </si>
  <si>
    <t>905878b3-5012-4ddf-b79f-5692774f05fd</t>
  </si>
  <si>
    <t>https://webolmo-data-snorkel.allen.ai/20251219_snorkel_batch001__llm_navqa_onlinemind2web_websites__3</t>
  </si>
  <si>
    <t>e589fefd-bc06-4045-8ca7-ad5f7bbebb86</t>
  </si>
  <si>
    <t>https://webolmo-data-snorkel.allen.ai/20251219_snorkel_batch010__llm_navqa_webvoyager_websites__63</t>
  </si>
  <si>
    <t>732af171-1598-43c0-8720-b8f1e7a82869</t>
  </si>
  <si>
    <t>https://webolmo-data-snorkel.allen.ai/20251219_snorkel_batch001__llm_navqa_webvoyager_websites__16</t>
  </si>
  <si>
    <t>Website chỉ có like và follow, không có đánh giá theo sao</t>
  </si>
  <si>
    <t>b1bb57d9-0636-48dd-bc87-2477a4d8d066</t>
  </si>
  <si>
    <t>https://webolmo-data-snorkel.allen.ai/20251219_snorkel_batch003__llm_navqa_popular_websites__153</t>
  </si>
  <si>
    <t>3dabe2b0-eef8-4173-af9c-db55a36b4845</t>
  </si>
  <si>
    <t>https://webolmo-data-snorkel.allen.ai/20251219_snorkel_batch002__llm_navqa_webvoyager_websites__115</t>
  </si>
  <si>
    <t>Không tồn tại repo yêu cầu</t>
  </si>
  <si>
    <t>c9b928d2-573e-448a-9753-01833f81058d</t>
  </si>
  <si>
    <t>https://webolmo-data-snorkel.allen.ai/20251219_snorkel_batch009__llm_navqa_webvoyager_websites__77</t>
  </si>
  <si>
    <t>e35ed568-baeb-483f-8472-22d20565a2bd</t>
  </si>
  <si>
    <t>https://webolmo-data-snorkel.allen.ai/20251219_snorkel_batch003__llm_navqa_onlinemind2web_websites__6</t>
  </si>
  <si>
    <t>93c2604e-e53f-4c2f-821e-4343b870c18e</t>
  </si>
  <si>
    <t>https://webolmo-data-snorkel.allen.ai/20251219_snorkel_batch005__llm_navqa_onlinemind2web_websites__43</t>
  </si>
  <si>
    <t>Search to phải chọn từ list không được nhập tự do, không có lựa chọn search theo thời gian</t>
  </si>
  <si>
    <t>98315c8f-9ec5-41c0-852c-106729aef053</t>
  </si>
  <si>
    <t>https://webolmo-data-snorkel.allen.ai/20251219_snorkel_batch004__llm_navqa_onlinemind2web_websites__136</t>
  </si>
  <si>
    <t>Pop up không thể đóng được để tiếp tục task</t>
  </si>
  <si>
    <t>ad141036-19dd-4819-b7b2-2407cc4dbfe8</t>
  </si>
  <si>
    <t>https://webolmo-data-snorkel.allen.ai/20251219_snorkel_batch005__llm_navqa_webvoyager_websites__44</t>
  </si>
  <si>
    <t>57b8a5f1-020d-4238-96a8-75717f52a315</t>
  </si>
  <si>
    <t>https://webolmo-data-snorkel.allen.ai/20251219_snorkel_batch010__llm_navqa_popular_websites__62</t>
  </si>
  <si>
    <t>Website phải login</t>
  </si>
  <si>
    <t>c8769996-d29a-4487-ba25-b7f0f4bfeed7</t>
  </si>
  <si>
    <t>https://webolmo-data-snorkel.allen.ai/20251219_snorkel_batch005__llm_navqa_onlinemind2web_websites__100</t>
  </si>
  <si>
    <t>f8f02082-a1ae-4064-b5ea-cafb80cee007</t>
  </si>
  <si>
    <t>https://webolmo-data-snorkel.allen.ai/20251219_snorkel_batch001__llm_navqa_popular_websites__59</t>
  </si>
  <si>
    <t>f06b65b4-4d8a-4752-8486-aa84229aa90a</t>
  </si>
  <si>
    <t>https://webolmo-data-snorkel.allen.ai/20251219_snorkel_batch008__llm_navqa_webvoyager_websites__152</t>
  </si>
  <si>
    <t>283790a9-7b01-4e9f-90b9-38b76ac3c10c</t>
  </si>
  <si>
    <t>https://webolmo-data-snorkel.allen.ai/20251219_snorkel_batch005__llm_navqa_onlinemind2web_websites__36</t>
  </si>
  <si>
    <t>deaf0192-dbfd-46ff-9d60-d7f5b3f2ae78</t>
  </si>
  <si>
    <r>
      <rPr>
        <rFont val="Aptos Narrow"/>
        <color rgb="FF1155CC"/>
        <sz val="11.0"/>
        <u/>
      </rPr>
      <t>https://webolmo-data-snorkel.allen.ai/20251219_snorkel_batch007__llm_navqa_webvoyager_websites__19</t>
    </r>
  </si>
  <si>
    <t>2f63c615-1022-4e6d-a2dd-a712d282c3ee</t>
  </si>
  <si>
    <r>
      <rPr>
        <rFont val="Aptos Narrow"/>
        <color rgb="FF1155CC"/>
        <sz val="11.0"/>
        <u/>
      </rPr>
      <t>https://webolmo-data-snorkel.allen.ai/20251121_snorkel_batch001__webvoyager_like__231</t>
    </r>
  </si>
  <si>
    <t>4cdb64f3-e503-45c4-9e7a-d7b75eac6555</t>
  </si>
  <si>
    <r>
      <rPr>
        <rFont val="Aptos Narrow"/>
        <color rgb="FF1155CC"/>
        <sz val="11.0"/>
        <u/>
      </rPr>
      <t>https://webolmo-data-snorkel.allen.ai/20251219_snorkel_batch004__llm_navqa_popular_websites__121</t>
    </r>
  </si>
  <si>
    <t>a2d5cb00-7cb7-4c11-a0cf-5b40634f4ce7</t>
  </si>
  <si>
    <r>
      <rPr>
        <rFont val="Aptos Narrow"/>
        <color rgb="FF1155CC"/>
        <sz val="11.0"/>
        <u/>
      </rPr>
      <t>https://webolmo-data-snorkel.allen.ai/20251219_snorkel_batch009__llm_navqa_popular_websites__110</t>
    </r>
  </si>
  <si>
    <t>b036fee6-b619-4125-976c-83b9e7b8c464</t>
  </si>
  <si>
    <r>
      <rPr>
        <rFont val="Aptos Narrow"/>
        <color rgb="FF1155CC"/>
        <sz val="11.0"/>
        <u/>
      </rPr>
      <t>https://webolmo-data-snorkel.allen.ai/20251219_snorkel_batch010__llm_navqa_onlinemind2web_websites__21</t>
    </r>
  </si>
  <si>
    <t>46aa0688-ba6a-45a3-b602-9448b345100e</t>
  </si>
  <si>
    <t>https://webolmo-data-snorkel.allen.ai/20251121_snorkel_batch001__webvoyager_like__154</t>
  </si>
  <si>
    <t>7123fec3-6156-4344-957d-a243961a557e</t>
  </si>
  <si>
    <r>
      <rPr>
        <rFont val="Aptos Narrow"/>
        <color rgb="FF1155CC"/>
        <sz val="11.0"/>
        <u/>
      </rPr>
      <t>https://webolmo-data-snorkel.allen.ai/20251219_snorkel_batch009__llm_navqa_onlinemind2web_websites__40</t>
    </r>
  </si>
  <si>
    <t>0b1ef87c-2348-446b-ac1c-6617999cfadf</t>
  </si>
  <si>
    <r>
      <rPr>
        <rFont val="Aptos Narrow"/>
        <color rgb="FF1155CC"/>
        <sz val="11.0"/>
        <u/>
      </rPr>
      <t>https://webolmo-data-snorkel.allen.ai/20251219_snorkel_batch002__llm_navqa_popular_websites__147</t>
    </r>
  </si>
  <si>
    <t>374d872e-7f29-4249-b7f4-6965acaaabc4</t>
  </si>
  <si>
    <r>
      <rPr>
        <rFont val="Aptos Narrow"/>
        <color rgb="FF1155CC"/>
        <sz val="11.0"/>
        <u/>
      </rPr>
      <t>https://webolmo-data-snorkel.allen.ai/20251121_snorkel_batch001__webvoyager_like__38</t>
    </r>
  </si>
  <si>
    <t>d0062c37-e44e-40ce-b2c0-668bd664e13e</t>
  </si>
  <si>
    <r>
      <rPr>
        <rFont val="Aptos Narrow"/>
        <color rgb="FF1155CC"/>
        <sz val="11.0"/>
        <u/>
      </rPr>
      <t>https://webolmo-data-snorkel.allen.ai/20251219_snorkel_batch001__llm_navqa_onlinemind2web_websites__45</t>
    </r>
  </si>
  <si>
    <t>a8032b33-a9b2-4d4a-b8ad-a27a07cd1962</t>
  </si>
  <si>
    <r>
      <rPr>
        <rFont val="Aptos Narrow"/>
        <color rgb="FF1155CC"/>
        <sz val="11.0"/>
        <u/>
      </rPr>
      <t>https://webolmo-data-snorkel.allen.ai/20251219_snorkel_batch007__llm_navqa_onlinemind2web_websites__44</t>
    </r>
  </si>
  <si>
    <t>a21a1bee-9726-4a72-8497-8ad98070d2d4</t>
  </si>
  <si>
    <r>
      <rPr>
        <rFont val="Aptos Narrow"/>
        <color rgb="FF1155CC"/>
        <sz val="11.0"/>
        <u/>
      </rPr>
      <t>https://webolmo-data-snorkel.allen.ai/20251219_snorkel_batch009__llm_navqa_popular_websites__48</t>
    </r>
  </si>
  <si>
    <t>a934d972-08a4-417b-bbcf-158a08489629</t>
  </si>
  <si>
    <r>
      <rPr>
        <color rgb="FF1155CC"/>
        <u/>
      </rPr>
      <t>https://webolmo-data-snorkel.allen.ai/20251219_snorkel_batch001__llm_navqa_webvoyager_websites__103</t>
    </r>
  </si>
  <si>
    <t>02c83f6f-cd14-462f-8aae-a49d36a220e1</t>
  </si>
  <si>
    <r>
      <rPr>
        <color rgb="FF1155CC"/>
        <u/>
      </rPr>
      <t>https://webolmo-data-snorkel.allen.ai/20251219_snorkel_batch007__llm_navqa_webvoyager_websites__77</t>
    </r>
  </si>
  <si>
    <t>472718d3-b37e-42d0-80b8-eee0a2f27fda</t>
  </si>
  <si>
    <r>
      <rPr>
        <color rgb="FF1155CC"/>
        <u/>
      </rPr>
      <t>https://webolmo-data-snorkel.allen.ai/20251219_snorkel_batch009__llm_navqa_onlinemind2web_websites__140</t>
    </r>
  </si>
  <si>
    <t>39fd322a-96a8-4347-a551-33917189711a</t>
  </si>
  <si>
    <t>https://webolmo-data-snorkel.allen.ai/20251219_snorkel_batch005__llm_navqa_webvoyager_websites__91</t>
  </si>
  <si>
    <t>ef99c39f-a4d2-48f9-ad57-3fa5d8b97329</t>
  </si>
  <si>
    <t>https://webolmo-data-snorkel.allen.ai/20251219_snorkel_batch008__llm_navqa_onlinemind2web_websites__69</t>
  </si>
  <si>
    <t>87303a5f-3f95-4443-a2bb-e4835ce3d0d3</t>
  </si>
  <si>
    <t>https://webolmo-data-snorkel.allen.ai/20251219_snorkel_batch005__llm_navqa_webvoyager_websites__107</t>
  </si>
  <si>
    <t>4f2ce2a8-f780-4c1b-a917-98b92d179486</t>
  </si>
  <si>
    <t>https://webolmo-data-snorkel.allen.ai/20251219_snorkel_batch003__llm_navqa_onlinemind2web_websites__111</t>
  </si>
  <si>
    <t>mở tab mới khi select section ở navbar</t>
  </si>
  <si>
    <t>0c400d0d-60a6-4d46-a271-962263f22330</t>
  </si>
  <si>
    <t>https://webolmo-data-snorkel.allen.ai/20251219_snorkel_batch006__llm_navqa_popular_websites__88</t>
  </si>
  <si>
    <t>Popup select store và ads hiện lên khi truy cập vào trang</t>
  </si>
  <si>
    <t>a3cf4445-f0b9-418f-9307-b68c18948f17</t>
  </si>
  <si>
    <t>https://webolmo-data-snorkel.allen.ai/20251219_snorkel_batch002__llm_navqa_popular_websites__45</t>
  </si>
  <si>
    <t>Không có URL trong task extension/Popup quảng cáo</t>
  </si>
  <si>
    <t>1a1828ee-d8fe-4176-a7ff-4ac7c1eaef93</t>
  </si>
  <si>
    <t>https://webolmo-data-snorkel.allen.ai/20251219_snorkel_batch008__llm_navqa_popular_websites__15</t>
  </si>
  <si>
    <t>9e9c226d-46f1-4cdd-9b27-ca8d1e260ff2</t>
  </si>
  <si>
    <t>https://webolmo-data-snorkel.allen.ai/20251219_snorkel_batch004__llm_navqa_webvoyager_websites__69</t>
  </si>
  <si>
    <t>1bd61862-7199-4744-b0ed-e5d173fdeded</t>
  </si>
  <si>
    <t>https://webolmo-data-snorkel.allen.ai/20251219_snorkel_batch005__llm_navqa_popular_websites__132</t>
  </si>
  <si>
    <t>Cookie popup có thể reject</t>
  </si>
  <si>
    <t>ec1c6e6d-0789-4fbf-8b71-d8d7c4c90e75</t>
  </si>
  <si>
    <t>https://webolmo-data-snorkel.allen.ai/20251219_snorkel_batch006__llm_navqa_webvoyager_websites__3</t>
  </si>
  <si>
    <t>b89bc75b-0e76-4e0f-9a61-9f68d5d657a5</t>
  </si>
  <si>
    <t>https://webolmo-data-snorkel.allen.ai/20251219_snorkel_batch007__llm_navqa_webvoyager_websites__87</t>
  </si>
  <si>
    <t>4fc3cab1-ac17-4eed-b135-41967e44fd49</t>
  </si>
  <si>
    <t>https://webolmo-data-snorkel.allen.ai/20251121_snorkel_batch001__webvoyager_like__435</t>
  </si>
  <si>
    <t>4661a833-0ca4-4bfe-8627-0a68aac19896</t>
  </si>
  <si>
    <t>https://webolmo-data-snorkel.allen.ai/20251219_snorkel_batch004__llm_navqa_webvoyager_websites__68</t>
  </si>
  <si>
    <t>0c3ddb14-3aab-4ea9-9acb-d637699220a0</t>
  </si>
  <si>
    <t>https://webolmo-data-snorkel.allen.ai/20251121_snorkel_batch001__webvoyager_like__84</t>
  </si>
  <si>
    <t>4f8adefe-d39b-4c34-8509-6248f9fd2849</t>
  </si>
  <si>
    <t>https://webolmo-data-snorkel.allen.ai/20251219_snorkel_batch010__llm_navqa_onlinemind2web_websites__35</t>
  </si>
  <si>
    <t>a5e98647-e5b5-446e-8d33-390103994c40</t>
  </si>
  <si>
    <t>https://webolmo-data-snorkel.allen.ai/20251219_snorkel_batch007__llm_navqa_webvoyager_websites__51</t>
  </si>
  <si>
    <t>bcd045de-c5f8-4bb0-9d06-c5655dbd8bc2</t>
  </si>
  <si>
    <t>https://webolmo-data-snorkel.allen.ai/20251219_snorkel_batch008__llm_navqa_webvoyager_websites__164</t>
  </si>
  <si>
    <t>trang web không hỗ trợ filters và kết quả theo yêu cầu</t>
  </si>
  <si>
    <t>16a78f81-bd5a-4e3a-ba51-e251cd5f91f4</t>
  </si>
  <si>
    <t>https://webolmo-data-snorkel.allen.ai/20251219_snorkel_batch005__llm_navqa_webvoyager_websites__100</t>
  </si>
  <si>
    <t>7a8ab652-150f-401c-afb4-10f14d4e6de4</t>
  </si>
  <si>
    <t>https://webolmo-data-snorkel.allen.ai/20251219_snorkel_batch006__llm_navqa_webvoyager_websites__52</t>
  </si>
  <si>
    <t>61c21b5d-033e-4407-8c3f-06e95e7dd34c</t>
  </si>
  <si>
    <t>https://webolmo-data-snorkel.allen.ai/20251219_snorkel_batch004__llm_navqa_onlinemind2web_websites__91</t>
  </si>
  <si>
    <t>4355f111-cd2f-43e8-95f5-3e65fca1750a</t>
  </si>
  <si>
    <t>https://webolmo-data-snorkel.allen.ai/20251219_snorkel_batch004__llm_navqa_onlinemind2web_websites__127</t>
  </si>
  <si>
    <t>fda96490-c0a8-4871-87bd-a72dede6f8e1</t>
  </si>
  <si>
    <t>https://webolmo-data-snorkel.allen.ai/20251219_snorkel_batch004__llm_navqa_onlinemind2web_websites__119</t>
  </si>
  <si>
    <t>a12fe4ef-0740-4d77-bfa2-2e2867b4a50d</t>
  </si>
  <si>
    <t>https://webolmo-data-snorkel.allen.ai/20251126_snorkel_batch013__llm_step_popular_websites__124</t>
  </si>
  <si>
    <t>b57c58ab-067e-462a-9289-c948adb7c989</t>
  </si>
  <si>
    <t>https://webolmo-data-snorkel.allen.ai/20251219_snorkel_batch001__llm_navqa_popular_websites__26</t>
  </si>
  <si>
    <t>6f45e306-8ae7-49b8-b6c5-266993497378</t>
  </si>
  <si>
    <t>https://webolmo-data-snorkel.allen.ai/20251219_snorkel_batch009__llm_navqa_onlinemind2web_websites__50</t>
  </si>
  <si>
    <t>f270f30f-03df-47ee-8d2d-db511ca18e36</t>
  </si>
  <si>
    <t>https://webolmo-data-snorkel.allen.ai/20251219_snorkel_batch010__llm_navqa_popular_websites__70</t>
  </si>
  <si>
    <t>Chỉ tìm thấy đối tượng tốt nhất, còn đối tượng tệ nhất không có</t>
  </si>
  <si>
    <t>1c1b0799-703d-4b89-b741-ad4d11e874f7</t>
  </si>
  <si>
    <t>https://webolmo-data-snorkel.allen.ai/20251219_snorkel_batch003__llm_navqa_onlinemind2web_websites__157</t>
  </si>
  <si>
    <t>Không có URL trong task extension, filter website không có trong yêu cầu (tìm theo image)</t>
  </si>
  <si>
    <t>083d1ec9-68a1-4410-bff0-83e917bbc0c7</t>
  </si>
  <si>
    <t>https://webolmo-data-snorkel.allen.ai/20251121_snorkel_batch001__webvoyager_like__355</t>
  </si>
  <si>
    <t>c2ffb0a9-4f1d-4fbc-9a11-60f58e942612</t>
  </si>
  <si>
    <t>https://webolmo-data-snorkel.allen.ai/20251219_snorkel_batch006__llm_navqa_webvoyager_websites__66</t>
  </si>
  <si>
    <t>b5ea9b97-3718-44d1-a512-00e3d1f6867a</t>
  </si>
  <si>
    <t>https://webolmo-data-snorkel.allen.ai/20251219_snorkel_batch010__llm_navqa_onlinemind2web_websites__42</t>
  </si>
  <si>
    <t>18c99c61-33a2-472d-a2f4-679b8fbd1377</t>
  </si>
  <si>
    <t>https://webolmo-data-snorkel.allen.ai/20251219_snorkel_batch003__llm_navqa_onlinemind2web_websites__98</t>
  </si>
  <si>
    <t>2ee4f0f5-ff23-416d-b215-06e820be70bf</t>
  </si>
  <si>
    <t>https://webolmo-data-snorkel.allen.ai/20251219_snorkel_batch004__llm_navqa_popular_websites__65</t>
  </si>
  <si>
    <t>ddc19f0a-19e7-47d1-ae03-b06be8d17298</t>
  </si>
  <si>
    <t>https://webolmo-data-snorkel.allen.ai/20251219_snorkel_batch009__llm_navqa_webvoyager_websites__169</t>
  </si>
  <si>
    <t>b548a75c-7ae9-422f-8660-d42dd3176c51</t>
  </si>
  <si>
    <t>https://webolmo-data-snorkel.allen.ai/20251219_snorkel_batch009__llm_navqa_popular_websites__137</t>
  </si>
  <si>
    <t>5f850599-ade4-43b5-a19c-59ad810ab003</t>
  </si>
  <si>
    <t>https://webolmo-data-snorkel.allen.ai/20251219_snorkel_batch005__llm_navqa_webvoyager_websites__48</t>
  </si>
  <si>
    <t>ba59803a-da03-4883-a241-711a8dac1ee5</t>
  </si>
  <si>
    <t>https://webolmo-data-snorkel.allen.ai/20251219_snorkel_batch006__llm_navqa_onlinemind2web_websites__54</t>
  </si>
  <si>
    <t>e5a733f7-30cb-4ebc-a3dc-2bf6986d433a</t>
  </si>
  <si>
    <t>https://webolmo-data-snorkel.allen.ai/20251219_snorkel_batch003__llm_navqa_onlinemind2web_websites__132</t>
  </si>
  <si>
    <t>Website không hoạt động, báo lỗi waiting</t>
  </si>
  <si>
    <t>fdfee626-bf29-452e-938e-33769bc8d200</t>
  </si>
  <si>
    <r>
      <rPr>
        <rFont val="Aptos Narrow"/>
        <color rgb="FF1155CC"/>
        <sz val="11.0"/>
        <u/>
      </rPr>
      <t>https://webolmo-data-snorkel.allen.ai/20251219_snorkel_batch002__llm_navqa_onlinemind2web_websites__161</t>
    </r>
  </si>
  <si>
    <t>fca06d85-933a-40d3-9f78-ed12dab243b8</t>
  </si>
  <si>
    <r>
      <rPr>
        <rFont val="Aptos Narrow"/>
        <color rgb="FF1155CC"/>
        <sz val="11.0"/>
        <u/>
      </rPr>
      <t>https://webolmo-data-snorkel.allen.ai/20251219_snorkel_batch007__llm_navqa_webvoyager_websites__135</t>
    </r>
  </si>
  <si>
    <t>7198c114-26fe-40e8-9ecd-026412cb645d</t>
  </si>
  <si>
    <r>
      <rPr>
        <rFont val="Aptos Narrow"/>
        <color rgb="FF1155CC"/>
        <sz val="11.0"/>
        <u/>
      </rPr>
      <t>https://webolmo-data-snorkel.allen.ai/20251219_snorkel_batch002__llm_navqa_onlinemind2web_websites__159</t>
    </r>
  </si>
  <si>
    <t>e84b0ee8-c11c-468c-a336-ac7e666b207c</t>
  </si>
  <si>
    <r>
      <rPr>
        <rFont val="Aptos Narrow"/>
        <color rgb="FF1155CC"/>
        <sz val="11.0"/>
        <u/>
      </rPr>
      <t>https://webolmo-data-snorkel.allen.ai/20251219_snorkel_batch005__llm_navqa_popular_websites__33</t>
    </r>
  </si>
  <si>
    <t>51123ddd-ca1f-4e45-8571-ae872494eb50</t>
  </si>
  <si>
    <r>
      <rPr>
        <rFont val="Aptos Narrow"/>
        <color rgb="FF1155CC"/>
        <sz val="11.0"/>
        <u/>
      </rPr>
      <t>https://webolmo-data-snorkel.allen.ai/20251219_snorkel_batch006__llm_navqa_webvoyager_websites__128</t>
    </r>
  </si>
  <si>
    <t>bd7df09a-db7f-4c4d-82b3-ba7d2a0ba2b4</t>
  </si>
  <si>
    <r>
      <rPr>
        <rFont val="Aptos Narrow"/>
        <color rgb="FF1155CC"/>
        <sz val="11.0"/>
        <u/>
      </rPr>
      <t>https://webolmo-data-snorkel.allen.ai/20251219_snorkel_batch008__llm_navqa_onlinemind2web_websites__151</t>
    </r>
  </si>
  <si>
    <t>92cdf435-18b0-4e42-9483-f1801ee57dc4</t>
  </si>
  <si>
    <r>
      <rPr>
        <rFont val="Aptos Narrow"/>
        <color rgb="FF1155CC"/>
        <sz val="11.0"/>
        <u/>
      </rPr>
      <t>https://webolmo-data-snorkel.allen.ai/20251219_snorkel_batch001__llm_navqa_popular_websites__96</t>
    </r>
  </si>
  <si>
    <t>36c0bd9f-8963-4f23-a0bf-b47a29ec5c04</t>
  </si>
  <si>
    <r>
      <rPr>
        <rFont val="Aptos Narrow"/>
        <color rgb="FF1155CC"/>
        <sz val="11.0"/>
        <u/>
      </rPr>
      <t>https://webolmo-data-snorkel.allen.ai/20251219_snorkel_batch004__llm_navqa_onlinemind2web_websites__95</t>
    </r>
  </si>
  <si>
    <t>ec57bc7d-48a1-44bb-881e-ec100f155ca7</t>
  </si>
  <si>
    <r>
      <rPr>
        <rFont val="Aptos Narrow"/>
        <color rgb="FF1155CC"/>
        <sz val="11.0"/>
        <u/>
      </rPr>
      <t>https://webolmo-data-snorkel.allen.ai/20251219_snorkel_batch008__llm_navqa_onlinemind2web_websites__163</t>
    </r>
  </si>
  <si>
    <t>55ce800c-9c64-4047-857c-c501a03a9b80</t>
  </si>
  <si>
    <r>
      <rPr>
        <rFont val="Aptos Narrow"/>
        <color rgb="FF1155CC"/>
        <sz val="11.0"/>
        <u/>
      </rPr>
      <t>https://webolmo-data-snorkel.allen.ai/20251219_snorkel_batch004__llm_navqa_popular_websites__95</t>
    </r>
  </si>
  <si>
    <t>d980947a-4087-416e-be18-b98b163296b1</t>
  </si>
  <si>
    <r>
      <rPr>
        <rFont val="Aptos Narrow"/>
        <color rgb="FF1155CC"/>
        <sz val="11.0"/>
        <u/>
      </rPr>
      <t>https://webolmo-data-snorkel.allen.ai/20251219_snorkel_batch006__llm_navqa_popular_websites__10</t>
    </r>
  </si>
  <si>
    <t>016ec5fd-8491-4d6e-acaa-a5d43beff81f</t>
  </si>
  <si>
    <r>
      <rPr>
        <rFont val="Aptos Narrow"/>
        <color rgb="FF1155CC"/>
        <sz val="11.0"/>
        <u/>
      </rPr>
      <t>https://webolmo-data-snorkel.allen.ai/20251121_snorkel_batch001__webvoyager_like__330</t>
    </r>
  </si>
  <si>
    <t>bfc6149b-5eaa-46a8-8e75-5a58d49d7884</t>
  </si>
  <si>
    <r>
      <rPr>
        <rFont val="Aptos Narrow"/>
        <color rgb="FF1155CC"/>
        <sz val="11.0"/>
        <u/>
      </rPr>
      <t>https://webolmo-data-snorkel.allen.ai/20251121_snorkel_batch001__webvoyager_like__315</t>
    </r>
  </si>
  <si>
    <t>bccfb7b1-1d1d-4703-b57e-652178d145dc</t>
  </si>
  <si>
    <r>
      <rPr>
        <rFont val="Aptos Narrow"/>
        <color rgb="FF1155CC"/>
        <sz val="11.0"/>
        <u/>
      </rPr>
      <t>https://webolmo-data-snorkel.allen.ai/20251219_snorkel_batch007__llm_navqa_onlinemind2web_websites__54</t>
    </r>
  </si>
  <si>
    <t>1212e0e4-8e90-42f8-8359-11bee60095aa</t>
  </si>
  <si>
    <t>https://webolmo-data-snorkel.allen.ai/20251219_snorkel_batch007__llm_navqa_webvoyager_websites__142</t>
  </si>
  <si>
    <t>c9f39cdf-60bc-43d2-952b-32190847edb5</t>
  </si>
  <si>
    <t>https://webolmo-data-snorkel.allen.ai/20251121_snorkel_batch001__webvoyager_like__22</t>
  </si>
  <si>
    <t>https://webolmo-data-snorkel.allen.ai/20251219_snorkel_batch002__llm_navqa_webvoyager_websites__73</t>
  </si>
  <si>
    <t>07f0edb3-31fe-48e7-b472-e17703e30410</t>
  </si>
  <si>
    <t>https://webolmo-data-snorkel.allen.ai/20251219_snorkel_batch004__llm_navqa_onlinemind2web_websites__87</t>
  </si>
  <si>
    <t>dc7e2edf-ba1c-418e-976d-d8cec41e91a4</t>
  </si>
  <si>
    <t>https://webolmo-data-snorkel.allen.ai/20251219_snorkel_batch001__llm_navqa_onlinemind2web_websites__152</t>
  </si>
  <si>
    <t>97e698cb-4450-4753-81bc-05ff2dcb37f0</t>
  </si>
  <si>
    <t>https://webolmo-data-snorkel.allen.ai/20251126_snorkel_batch016__llm_step_onlinemind2web_websites__152</t>
  </si>
  <si>
    <t>9921c726-b635-464d-bde7-3d48af2248a0</t>
  </si>
  <si>
    <t>https://webolmo-data-snorkel.allen.ai/20251219_snorkel_batch007__llm_navqa_webvoyager_websites__123</t>
  </si>
  <si>
    <t>Popup register có thể tắt được/Khi bấm detail thì mở 1 tab mới</t>
  </si>
  <si>
    <t>3f34cd3a-2313-4882-8c30-2fb5bc69fa7b</t>
  </si>
  <si>
    <t>https://webolmo-data-snorkel.allen.ai/20251219_snorkel_batch009__llm_navqa_onlinemind2web_websites__25</t>
  </si>
  <si>
    <t xml:space="preserve">Không có URL trong task extension/Cookie popup nhưng k ảnh hưởng, vẫn thao tác được </t>
  </si>
  <si>
    <t>c8e8d529-14f0-426b-92f7-559ee05ffbb7</t>
  </si>
  <si>
    <t>https://webolmo-data-snorkel.allen.ai/20251219_snorkel_batch002__llm_navqa_onlinemind2web_websites__97</t>
  </si>
  <si>
    <t>19d78072-76f7-4937-9ab0-d954f89b58df</t>
  </si>
  <si>
    <t>https://webolmo-data-snorkel.allen.ai/20251219_snorkel_batch008__llm_navqa_webvoyager_websites__156</t>
  </si>
  <si>
    <t>Không có URL trong task extension/ Không tìm thấy thông tin task yêu cầu</t>
  </si>
  <si>
    <t>1d7f3e29-7f19-401e-8b45-4edc13f15166</t>
  </si>
  <si>
    <t>https://webolmo-data-snorkel.allen.ai/20251219_snorkel_batch009__llm_navqa_onlinemind2web_websites__110</t>
  </si>
  <si>
    <t>1c885b88-25a4-4d8e-b76f-18c336384112</t>
  </si>
  <si>
    <t>https://webolmo-data-snorkel.allen.ai/20251219_snorkel_batch003__llm_navqa_webvoyager_websites__157</t>
  </si>
  <si>
    <t>99b47279-caff-4dd4-8ee9-f9b2f8ed4c29</t>
  </si>
  <si>
    <t>https://webolmo-data-snorkel.allen.ai/20251219_snorkel_batch009__llm_navqa_webvoyager_websites__166</t>
  </si>
  <si>
    <t xml:space="preserve"> Không tìm thấy thông tin task yêu cầu</t>
  </si>
  <si>
    <t>6dee8bd8-63c2-47a7-81ae-89aafc7120bb</t>
  </si>
  <si>
    <t>https://webolmo-data-snorkel.allen.ai/20251126_snorkel_batch018__llm_step_onlinemind2web_websites__146</t>
  </si>
  <si>
    <t>3c254f82-fe0a-4ffa-b499-89e993660bac</t>
  </si>
  <si>
    <t>https://webolmo-data-snorkel.allen.ai/20251219_snorkel_batch008__llm_navqa_webvoyager_websites__150</t>
  </si>
  <si>
    <t>d561bbb7-a08b-4102-8b59-6ba8722ed1e0</t>
  </si>
  <si>
    <t>https://webolmo-data-snorkel.allen.ai/20251219_snorkel_batch008__llm_navqa_onlinemind2web_websites__108</t>
  </si>
  <si>
    <t>Khi bấm detail thì mở 1 tab mới</t>
  </si>
  <si>
    <t>d8325d7a-3902-4cd2-b0a1-d9d1787f337c</t>
  </si>
  <si>
    <t>https://webolmo-data-snorkel.allen.ai/20251219_snorkel_batch010__llm_navqa_webvoyager_websites__77</t>
  </si>
  <si>
    <t>781e38b3-634f-42b9-b00b-94649ea0a858</t>
  </si>
  <si>
    <t>https://webolmo-data-snorkel.allen.ai/20251219_snorkel_batch005__llm_navqa_popular_websites__149</t>
  </si>
  <si>
    <t>c013bc9a-261c-45b6-9d53-48e9a3aa87c2</t>
  </si>
  <si>
    <t>https://webolmo-data-snorkel.allen.ai/20251219_snorkel_batch005__llm_navqa_popular_websites__147</t>
  </si>
  <si>
    <t xml:space="preserve">Không có danh mục theo yêu cầu </t>
  </si>
  <si>
    <t>d9f5732e-c612-4a5f-8788-01fb7fb8fea7</t>
  </si>
  <si>
    <t>https://webolmo-data-snorkel.allen.ai/20251126_snorkel_batch018__llm_step_webvoyager_websites__133</t>
  </si>
  <si>
    <t>10dd32a1-3b93-464b-b988-b87c732f0de1</t>
  </si>
  <si>
    <t>https://webolmo-data-snorkel.allen.ai/20251219_snorkel_batch006__llm_navqa_onlinemind2web_websites__168</t>
  </si>
  <si>
    <t>a06abfee-4c7e-4e95-8ede-0fc845acc32b</t>
  </si>
  <si>
    <t>https://webolmo-data-snorkel.allen.ai/20251126_snorkel_batch015__llm_step_onlinemind2web_websites__101</t>
  </si>
  <si>
    <t>cbf998d6-b9c8-4053-bda7-4f6753a2abfd</t>
  </si>
  <si>
    <t>https://webolmo-data-snorkel.allen.ai/20251126_snorkel_batch018__llm_step_onlinemind2web_websites__129</t>
  </si>
  <si>
    <t>không có bộ lọc để tìm kiếm sản phẩm</t>
  </si>
  <si>
    <t>68f29943-f7e5-4ef9-a03a-d1d5d7349ea7</t>
  </si>
  <si>
    <t>https://webolmo-data-snorkel.allen.ai/20251126_snorkel_batch016__llm_step_popular_websites__67</t>
  </si>
  <si>
    <t>không áp dụng được bộ lọc ngày</t>
  </si>
  <si>
    <t>7b9c70c3-4707-453f-83a5-73bb09422003</t>
  </si>
  <si>
    <t>https://webolmo-data-snorkel.allen.ai/20251126_snorkel_batch016__llm_step_onlinemind2web_websites__44</t>
  </si>
  <si>
    <t>1cdc72ad-7b50-47d2-9c2d-50eeda8485c1</t>
  </si>
  <si>
    <t>https://webolmo-data-snorkel.allen.ai/20251126_snorkel_batch014__llm_step_popular_websites__26</t>
  </si>
  <si>
    <t>501c719e-9df8-421f-9c0b-f3c1d001e9f0</t>
  </si>
  <si>
    <t>https://webolmo-data-snorkel.allen.ai/20251126_snorkel_batch014__llm_step_webvoyager_websites__90</t>
  </si>
  <si>
    <t xml:space="preserve">Mở tab mới khi bấm vào item ở result list/Popup </t>
  </si>
  <si>
    <t>5fede72e-f4ef-4cfc-924a-df8b27bdcb13</t>
  </si>
  <si>
    <t>https://webolmo-data-snorkel.allen.ai/20251126_snorkel_batch020__llm_step_webvoyager_websites__95</t>
  </si>
  <si>
    <t>823ae2af-4899-4314-b871-f13c4caebde0</t>
  </si>
  <si>
    <t>https://webolmo-data-snorkel.allen.ai/20251126_snorkel_batch019__llm_step_webvoyager_websites__156</t>
  </si>
  <si>
    <t>65ebaeca-cf20-43a4-8c8a-debeaf6b2fbb</t>
  </si>
  <si>
    <t>https://webolmo-data-snorkel.allen.ai/20251126_snorkel_batch015__llm_step_onlinemind2web_websites__74</t>
  </si>
  <si>
    <t>login là bắt buộc</t>
  </si>
  <si>
    <t>1094e688-c551-4cd6-99fb-45633497b2d3</t>
  </si>
  <si>
    <t>https://webolmo-data-snorkel.allen.ai/20251126_snorkel_batch013__llm_step_webvoyager_websites__115</t>
  </si>
  <si>
    <t>b82e0dba-91a5-4908-adbd-b418d2cd9948</t>
  </si>
  <si>
    <t>https://webolmo-data-snorkel.allen.ai/20251126_snorkel_batch014__llm_step_popular_websites__155</t>
  </si>
  <si>
    <t>Tab mới được mở ra khi xem detail</t>
  </si>
  <si>
    <t>ca3d9e81-5057-4204-bd66-37e063c12013</t>
  </si>
  <si>
    <t>https://webolmo-data-snorkel.allen.ai/20251126_snorkel_batch019__llm_step_onlinemind2web_websites__21</t>
  </si>
  <si>
    <t>98b9a163-661f-4a66-844c-5993f411324b</t>
  </si>
  <si>
    <t>https://webolmo-data-snorkel.allen.ai/20251126_snorkel_batch014__llm_step_webvoyager_websites__70</t>
  </si>
  <si>
    <t>Không thể tim các chuyến bay vào năm 2025 vì website chỉ cho xem các chuyến bay trong tương lai</t>
  </si>
  <si>
    <t>6093e22a-21ad-4cdf-9196-9bd548382694</t>
  </si>
  <si>
    <t>https://webolmo-data-snorkel.allen.ai/20251126_snorkel_batch011__llm_step_onlinemind2web_websites__67</t>
  </si>
  <si>
    <t>Không có filter theo public date</t>
  </si>
  <si>
    <t>e61c822f-035d-430d-bd03-980b40686da1</t>
  </si>
  <si>
    <t>https://webolmo-data-snorkel.allen.ai/20251126_snorkel_batch012__llm_step_popular_websites__80</t>
  </si>
  <si>
    <t>2d0fe787-9af0-4729-98d2-3c95076b6939</t>
  </si>
  <si>
    <t>https://webolmo-data-snorkel.allen.ai/20251126_snorkel_batch018__llm_step_webvoyager_websites__128</t>
  </si>
  <si>
    <t>4ec6926a-828e-40cd-a81d-d4cde4495958</t>
  </si>
  <si>
    <t>https://webolmo-data-snorkel.allen.ai/20251126_snorkel_batch020__llm_step_onlinemind2web_websites__48</t>
  </si>
  <si>
    <t>44167588-795f-49ed-83a5-13cc73665f90</t>
  </si>
  <si>
    <t>https://webolmo-data-snorkel.allen.ai/20251126_snorkel_batch018__llm_step_popular_websites__115</t>
  </si>
  <si>
    <t>Mở tab mới khi find</t>
  </si>
  <si>
    <t>11f8a0d5-4585-4fdd-b5f2-54683a72b6f7</t>
  </si>
  <si>
    <t>https://webolmo-data-snorkel.allen.ai/20251126_snorkel_batch012__llm_step_popular_websites__131</t>
  </si>
  <si>
    <t>6613d46f-ffeb-44e7-a3c5-2a230f6c76a8</t>
  </si>
  <si>
    <t>https://webolmo-data-snorkel.allen.ai/20251126_snorkel_batch015__llm_step_popular_websites__83</t>
  </si>
  <si>
    <t>760e984d-bb27-4680-a911-c6b96e75171e</t>
  </si>
  <si>
    <t>https://webolmo-data-snorkel.allen.ai/20251126_snorkel_batch011__llm_step_onlinemind2web_websites__11</t>
  </si>
  <si>
    <t>b8119598-b01b-4636-8561-d1d2f0b59823</t>
  </si>
  <si>
    <t>https://webolmo-data-snorkel.allen.ai/20251126_snorkel_batch020__llm_step_webvoyager_websites__22</t>
  </si>
  <si>
    <t>Popup quảng cáo khi truy cập vào trang chi tiết của 1 khóa học</t>
  </si>
  <si>
    <t>c985f7ac-2610-499b-973b-f23e1136ec5a</t>
  </si>
  <si>
    <t>https://webolmo-data-snorkel.allen.ai/20251126_snorkel_batch013__llm_step_popular_websites__19</t>
  </si>
  <si>
    <t>Trang web yêu cầu đăng nhập để xem chi tiết</t>
  </si>
  <si>
    <t>f6d1cdf4-dc4c-4083-9989-8116f1ec7fe0</t>
  </si>
  <si>
    <t>https://webolmo-data-snorkel.allen.ai/20251126_snorkel_batch019__llm_step_webvoyager_websites__128</t>
  </si>
  <si>
    <t>Có 1 popup sign in khi vào truy cập vào trang web</t>
  </si>
  <si>
    <t>b1da8a4a-a341-4b62-9f0c-9fa38116a0ed</t>
  </si>
  <si>
    <t>https://webolmo-data-snorkel.allen.ai/20251126_snorkel_batch014__llm_step_onlinemind2web_websites__76</t>
  </si>
  <si>
    <t>Không tìm thấy câu hỏi như task yêu cầu</t>
  </si>
  <si>
    <t>50afaa2b-c8dd-40b4-9931-88dc50066ef1</t>
  </si>
  <si>
    <t>https://webolmo-data-snorkel.allen.ai/20251126_snorkel_batch015__llm_step_onlinemind2web_websites__169</t>
  </si>
  <si>
    <t>Cookie popup, thao tác 1 lúc thì bắt login</t>
  </si>
  <si>
    <t>e459a502-aba6-4581-a8fb-c665e25f2a75</t>
  </si>
  <si>
    <t>https://webolmo-data-snorkel.allen.ai/20251126_snorkel_batch020__llm_step_popular_websites__31</t>
  </si>
  <si>
    <t>Popup ads</t>
  </si>
  <si>
    <t>d0eeca7c-153e-4ca3-95e3-93e566ef96e7</t>
  </si>
  <si>
    <t>https://webolmo-data-snorkel.allen.ai/20251126_snorkel_batch014__llm_step_onlinemind2web_websites__153</t>
  </si>
  <si>
    <t>2724c77c-a265-4000-b4c5-ea92e1ea2e9b</t>
  </si>
  <si>
    <t>https://webolmo-data-snorkel.allen.ai/20251126_snorkel_batch013__llm_step_webvoyager_websites__118</t>
  </si>
  <si>
    <t>6aff959e-a0f7-40d1-bfca-2cfbd5c83b95</t>
  </si>
  <si>
    <t>https://webolmo-data-snorkel.allen.ai/20251126_snorkel_batch013__llm_step_webvoyager_websites__114</t>
  </si>
  <si>
    <t>Mở tab mới khi bấm vào kết quả tìm kiếm</t>
  </si>
  <si>
    <t>f7e75e09-711c-4fa2-8167-5a7f5838b53c</t>
  </si>
  <si>
    <t>https://webolmo-data-snorkel.allen.ai/20251126_snorkel_batch019__llm_step_popular_websites__72</t>
  </si>
  <si>
    <t>bf38cc54-9bf5-4de5-b119-1e9563db8fc7</t>
  </si>
  <si>
    <t>https://webolmo-data-snorkel.allen.ai/20251126_snorkel_batch017__llm_step_popular_websites__147</t>
  </si>
  <si>
    <t>366518b3-1942-4f55-b3a7-8a398d69b24f</t>
  </si>
  <si>
    <t>https://webolmo-data-snorkel.allen.ai/20251126_snorkel_batch011__llm_step_webvoyager_websites__150</t>
  </si>
  <si>
    <t>a1d0b7f7-89fa-466c-9866-b9267b3e496c</t>
  </si>
  <si>
    <t>https://webolmo-data-snorkel.allen.ai/20251121_snorkel_batch008__webvoyager_like__253</t>
  </si>
  <si>
    <t>533b841b-7df9-445a-9529-578ef4716181</t>
  </si>
  <si>
    <t>https://webolmo-data-snorkel.allen.ai/20251126_snorkel_batch013__llm_step_onlinemind2web_websites__134</t>
  </si>
  <si>
    <t>93ec86c5-74fc-4b91-890b-fbd73d5556ab</t>
  </si>
  <si>
    <t>https://webolmo-data-snorkel.allen.ai/20251126_snorkel_batch019__llm_step_onlinemind2web_websites__166</t>
  </si>
  <si>
    <t>7937645b-4616-45f9-89e2-e233a6e0cb41</t>
  </si>
  <si>
    <t>https://webolmo-data-snorkel.allen.ai/20251126_snorkel_batch020__llm_step_webvoyager_websites__14</t>
  </si>
  <si>
    <t>56e75bd7-ea82-4b99-b9cc-5b5f1bd53d1c</t>
  </si>
  <si>
    <t>https://webolmo-data-snorkel.allen.ai/20251126_snorkel_batch017__llm_step_onlinemind2web_websites__0</t>
  </si>
  <si>
    <t>b98418f2-2042-4e8a-b0a7-ec31dad87752</t>
  </si>
  <si>
    <t>https://webolmo-data-snorkel.allen.ai/20251126_snorkel_batch015__llm_step_popular_websites__107</t>
  </si>
  <si>
    <t>1389a7a8-ede3-4102-8229-fc4d0e2873c3</t>
  </si>
  <si>
    <t>https://webolmo-data-snorkel.allen.ai/20251126_snorkel_batch017__llm_step_onlinemind2web_websites__20</t>
  </si>
  <si>
    <t>71e2c361-18e7-482b-8ff1-b4782da16b8b</t>
  </si>
  <si>
    <t>https://webolmo-data-snorkel.allen.ai/20251126_snorkel_batch014__llm_step_onlinemind2web_websites__46</t>
  </si>
  <si>
    <t>73769dcd-2fec-4639-a7f3-ee870fef1637</t>
  </si>
  <si>
    <t>https://webolmo-data-snorkel.allen.ai/20251126_snorkel_batch020__llm_step_popular_websites__16</t>
  </si>
  <si>
    <t>c74e08c4-754e-40a3-ae36-3db122ab5a83</t>
  </si>
  <si>
    <t>https://webolmo-data-snorkel.allen.ai/20251126_snorkel_batch014__llm_step_onlinemind2web_websites__25</t>
  </si>
  <si>
    <t>823060af-561b-42da-9780-35ef7a241e75</t>
  </si>
  <si>
    <t>https://webolmo-data-snorkel.allen.ai/20251126_snorkel_batch012__llm_step_webvoyager_websites__102</t>
  </si>
  <si>
    <t>c1bbfb37-3a7d-4927-ad99-9d33b22dd5d3</t>
  </si>
  <si>
    <t>796ca0cc-1081-45fe-8bc5-8d71e0d86b6f</t>
  </si>
  <si>
    <t>https://webolmo-data-snorkel.allen.ai/20251126_snorkel_batch017__llm_step_popular_websites__105</t>
  </si>
  <si>
    <t>4a2a3e22-c819-44ce-a4a3-54142794624b</t>
  </si>
  <si>
    <t>https://webolmo-data-snorkel.allen.ai/20251126_snorkel_batch017__llm_step_webvoyager_websites__160</t>
  </si>
  <si>
    <t>2d4046c8-2173-45e6-9451-2e50e273dce3</t>
  </si>
  <si>
    <t>https://webolmo-data-snorkel.allen.ai/20251126_snorkel_batch013__llm_step_onlinemind2web_websites__78</t>
  </si>
  <si>
    <t>3dbfc5d8-5d5a-4124-b3aa-2f68ad85b2a7</t>
  </si>
  <si>
    <t>https://webolmo-data-snorkel.allen.ai/20251126_snorkel_batch011__llm_step_webvoyager_websites__161</t>
  </si>
  <si>
    <t>2c768bc2-3a65-479f-941e-d2e64f0ccd78</t>
  </si>
  <si>
    <t>https://webolmo-data-snorkel.allen.ai/20251126_snorkel_batch020__llm_step_webvoyager_websites__29</t>
  </si>
  <si>
    <t>dfc82eea-e9d5-4f37-ac7e-386a12935616</t>
  </si>
  <si>
    <t>https://webolmo-data-snorkel.allen.ai/20251126_snorkel_batch018__llm_step_onlinemind2web_websites__3</t>
  </si>
  <si>
    <t>c5ff2bca-8fec-44d5-80ea-d84538d19c3d</t>
  </si>
  <si>
    <t>https://webolmo-data-snorkel.allen.ai/20251126_snorkel_batch018__llm_step_popular_websites__147</t>
  </si>
  <si>
    <t>Trang web thời trang nhưng yêu cầu lại của trang tin tức</t>
  </si>
  <si>
    <t>eb0537d9-c551-4247-b6c2-bbeb27bac0b3</t>
  </si>
  <si>
    <t>https://webolmo-data-snorkel.allen.ai/20251126_snorkel_batch012__llm_step_onlinemind2web_websites__35</t>
  </si>
  <si>
    <t>7edf8c1e-82e5-47ae-bb50-d9b200430223</t>
  </si>
  <si>
    <t>https://webolmo-data-snorkel.allen.ai/20251126_snorkel_batch020__llm_step_webvoyager_websites__0</t>
  </si>
  <si>
    <t xml:space="preserve">Sau khi search thì browser hiện thị warning site connection is not </t>
  </si>
  <si>
    <t>ceb37db4-86bc-47e2-a04c-27ecadaba7aa</t>
  </si>
  <si>
    <t>https://webolmo-data-snorkel.allen.ai/20251126_snorkel_batch015__llm_step_webvoyager_websites__8</t>
  </si>
  <si>
    <t>4a450957-d8fd-448c-8a2d-e3491a4b8bb3</t>
  </si>
  <si>
    <t>https://webolmo-data-snorkel.allen.ai/20251126_snorkel_batch014__llm_step_webvoyager_websites__102</t>
  </si>
  <si>
    <t>048af593-9b96-4591-8d70-fdfe7df8ea66</t>
  </si>
  <si>
    <t>https://webolmo-data-snorkel.allen.ai/20251126_snorkel_batch018__llm_step_popular_websites__93</t>
  </si>
  <si>
    <t>Cookie popup</t>
  </si>
  <si>
    <t>971e1581-044a-4208-9697-0691c28413c0</t>
  </si>
  <si>
    <t>https://webolmo-data-snorkel.allen.ai/20251126_snorkel_batch018__llm_step_popular_websites__9</t>
  </si>
  <si>
    <t>3775e827-05e9-4a4e-883d-a655c5c5ea34</t>
  </si>
  <si>
    <t>https://webolmo-data-snorkel.allen.ai/20251126_snorkel_batch018__llm_step_webvoyager_websites__39</t>
  </si>
  <si>
    <t>9d2798a8-1d8c-490b-bef4-ec940542ae6a</t>
  </si>
  <si>
    <t>https://webolmo-data-snorkel.allen.ai/20251126_snorkel_batch013__llm_step_webvoyager_websites__116</t>
  </si>
  <si>
    <t>6788a636-fbc8-4b89-ae7c-210430acc9b9</t>
  </si>
  <si>
    <t>https://webolmo-data-snorkel.allen.ai/20251126_snorkel_batch014__llm_step_popular_websites__0</t>
  </si>
  <si>
    <t>2fbaeb47-8456-4485-a60e-ba19bbd0931e</t>
  </si>
  <si>
    <t>https://webolmo-data-snorkel.allen.ai/20251219_snorkel_batch008__llm_navqa_onlinemind2web_websites__57</t>
  </si>
  <si>
    <t>0af3e570-6aac-494a-92c8-229d119860bb</t>
  </si>
  <si>
    <t>https://webolmo-data-snorkel.allen.ai/20251126_snorkel_batch012__llm_step_onlinemind2web_websites__47</t>
  </si>
  <si>
    <t>3fa91eca-7383-4eba-b37f-2977abf653d2</t>
  </si>
  <si>
    <t>https://webolmo-data-snorkel.allen.ai/20251126_snorkel_batch016__llm_step_onlinemind2web_websites__50</t>
  </si>
  <si>
    <t>c2bd659c-0483-4dec-8fe9-3dea41ebcd6c</t>
  </si>
  <si>
    <t>https://webolmo-data-snorkel.allen.ai/20251126_snorkel_batch011__llm_step_webvoyager_websites__112</t>
  </si>
  <si>
    <t>Sigin popup</t>
  </si>
  <si>
    <t>c849f1bf-c687-499e-a746-98c30f35db33</t>
  </si>
  <si>
    <t>https://webolmo-data-snorkel.allen.ai/20251126_snorkel_batch019__llm_step_onlinemind2web_websites__50</t>
  </si>
  <si>
    <t>b69911ab-42c8-4d0c-9683-f51a6e8916da</t>
  </si>
  <si>
    <t>https://webolmo-data-snorkel.allen.ai/20251126_snorkel_batch012__llm_step_popular_websites__31</t>
  </si>
  <si>
    <t>74a53a87-496d-4b02-98fa-c02742f8bdd4</t>
  </si>
  <si>
    <t>https://webolmo-data-snorkel.allen.ai/20251126_snorkel_batch013__llm_step_popular_websites__16</t>
  </si>
  <si>
    <t>65199e60-3dc1-4503-aa29-3390b52f1e1f</t>
  </si>
  <si>
    <t>https://webolmo-data-snorkel.allen.ai/20251126_snorkel_batch017__llm_step_popular_websites__104</t>
  </si>
  <si>
    <t>Accept cookie required</t>
  </si>
  <si>
    <t>5e18d642-6d00-4662-9ad8-07fe46ffccd7</t>
  </si>
  <si>
    <t>https://webolmo-data-snorkel.allen.ai/20251126_snorkel_batch019__llm_step_webvoyager_websites__58</t>
  </si>
  <si>
    <t>26f03764-7ae3-4bf7-8118-7649a0ca7dd1</t>
  </si>
  <si>
    <t>https://webolmo-data-snorkel.allen.ai/20251126_snorkel_batch016__llm_step_onlinemind2web_websites__62</t>
  </si>
  <si>
    <t>8882aa4e-f76f-44f2-94fe-6aa402f82634</t>
  </si>
  <si>
    <t>https://webolmo-data-snorkel.allen.ai/20251126_snorkel_batch013__llm_step_webvoyager_websites__149</t>
  </si>
  <si>
    <t>5b52ec22-4198-41a9-99e9-4c02285c411e</t>
  </si>
  <si>
    <t>https://webolmo-data-snorkel.allen.ai/20251126_snorkel_batch013__llm_step_webvoyager_websites__0</t>
  </si>
  <si>
    <t>ba548ba4-8438-4b0a-8674-18b294a5ce87</t>
  </si>
  <si>
    <t>https://webolmo-data-snorkel.allen.ai/20251126_snorkel_batch017__llm_step_webvoyager_websites__48</t>
  </si>
  <si>
    <t>d6870a28-d4cf-462c-82a6-bb6d2df3b167</t>
  </si>
  <si>
    <t>https://webolmo-data-snorkel.allen.ai/20251126_snorkel_batch015__llm_step_onlinemind2web_websites__155</t>
  </si>
  <si>
    <t>58546652-7481-4c94-b1e4-4c2e21422170</t>
  </si>
  <si>
    <r>
      <rPr>
        <color rgb="FF1155CC"/>
        <u/>
      </rPr>
      <t>https://webolmo-data-snorkel.allen.ai/20251126_snorkel_batch020__llm_step_onlinemind2web_websites__167</t>
    </r>
  </si>
  <si>
    <t>ef59f262-56e6-417f-9752-1a21b02fd587</t>
  </si>
  <si>
    <r>
      <rPr>
        <rFont val="Aptos Narrow"/>
        <color rgb="FF1155CC"/>
        <sz val="11.0"/>
        <u/>
      </rPr>
      <t>https://webolmo-data-snorkel.allen.ai/20251126_snorkel_batch017__llm_step_onlinemind2web_websites__121</t>
    </r>
  </si>
  <si>
    <t>7ed00c05-165c-49c7-bdca-e38e4cbabffd</t>
  </si>
  <si>
    <r>
      <rPr>
        <rFont val="Aptos Narrow"/>
        <color rgb="FF1155CC"/>
        <sz val="11.0"/>
        <u/>
      </rPr>
      <t>https://webolmo-data-snorkel.allen.ai/20251126_snorkel_batch019__llm_step_webvoyager_websites__54</t>
    </r>
  </si>
  <si>
    <t>545966db-fd37-494f-8b35-1eebf315977d</t>
  </si>
  <si>
    <r>
      <rPr>
        <rFont val="Aptos Narrow"/>
        <color rgb="FF1155CC"/>
        <sz val="11.0"/>
        <u/>
      </rPr>
      <t>https://webolmo-data-snorkel.allen.ai/20251126_snorkel_batch018__llm_step_webvoyager_websites__146</t>
    </r>
  </si>
  <si>
    <t>44c9eae2-65a2-4ff9-9270-f53c954b6955</t>
  </si>
  <si>
    <r>
      <rPr>
        <rFont val="Aptos Narrow"/>
        <color rgb="FF1155CC"/>
        <sz val="11.0"/>
        <u/>
      </rPr>
      <t>https://webolmo-data-snorkel.allen.ai/20251126_snorkel_batch011__llm_step_webvoyager_websites__69</t>
    </r>
  </si>
  <si>
    <t>1e87fc3f-31fc-4af3-8819-a834aa264cf1</t>
  </si>
  <si>
    <r>
      <rPr>
        <rFont val="Aptos Narrow"/>
        <color rgb="FF1155CC"/>
        <sz val="11.0"/>
        <u/>
      </rPr>
      <t>https://webolmo-data-snorkel.allen.ai/20251126_snorkel_batch012__llm_step_popular_websites__151</t>
    </r>
  </si>
  <si>
    <t>ea967f7e-3810-4a54-bfc9-0ea3522286ff</t>
  </si>
  <si>
    <r>
      <rPr>
        <rFont val="Aptos Narrow"/>
        <color rgb="FF1155CC"/>
        <sz val="11.0"/>
        <u/>
      </rPr>
      <t>https://webolmo-data-snorkel.allen.ai/20251126_snorkel_batch020__llm_step_webvoyager_websites__99</t>
    </r>
  </si>
  <si>
    <t>ddc0eeb8-a976-4ad9-89d8-085d3f41d144</t>
  </si>
  <si>
    <r>
      <rPr>
        <rFont val="Aptos Narrow"/>
        <color rgb="FF1155CC"/>
        <sz val="11.0"/>
        <u/>
      </rPr>
      <t>https://webolmo-data-snorkel.allen.ai/20251126_snorkel_batch011__llm_step_webvoyager_websites__81</t>
    </r>
  </si>
  <si>
    <t>72a2ad2c-2f08-47b5-9da5-20a0f249463e</t>
  </si>
  <si>
    <r>
      <rPr>
        <rFont val="Aptos Narrow"/>
        <color rgb="FF1155CC"/>
        <sz val="11.0"/>
        <u/>
      </rPr>
      <t>https://webolmo-data-snorkel.allen.ai/20251126_snorkel_batch013__llm_step_webvoyager_websites__146</t>
    </r>
  </si>
  <si>
    <t>5089d3b0-6a5b-4eed-8ed7-babce5c4988f</t>
  </si>
  <si>
    <r>
      <rPr>
        <rFont val="Aptos Narrow"/>
        <color rgb="FF1155CC"/>
        <sz val="11.0"/>
        <u/>
      </rPr>
      <t>https://webolmo-data-snorkel.allen.ai/20251126_snorkel_batch020__llm_step_webvoyager_websites__63</t>
    </r>
  </si>
  <si>
    <t>34e03830-e158-44c6-80a8-b0f5c686afce</t>
  </si>
  <si>
    <r>
      <rPr>
        <rFont val="Aptos Narrow"/>
        <color rgb="FF1155CC"/>
        <sz val="11.0"/>
        <u/>
      </rPr>
      <t>https://webolmo-data-snorkel.allen.ai/20251126_snorkel_batch012__llm_step_onlinemind2web_websites__56</t>
    </r>
  </si>
  <si>
    <t>22e4b101-ccf5-4846-a9f0-f1428ea85233</t>
  </si>
  <si>
    <r>
      <rPr>
        <rFont val="Aptos Narrow"/>
        <color rgb="FF1155CC"/>
        <sz val="11.0"/>
        <u/>
      </rPr>
      <t>https://webolmo-data-snorkel.allen.ai/20251126_snorkel_batch018__llm_step_onlinemind2web_websites__7</t>
    </r>
  </si>
  <si>
    <t>1716adc4-645e-4a3c-9b65-e37183c3dbfe</t>
  </si>
  <si>
    <r>
      <rPr>
        <rFont val="Aptos Narrow"/>
        <color rgb="FF1155CC"/>
        <sz val="11.0"/>
        <u/>
      </rPr>
      <t>https://webolmo-data-snorkel.allen.ai/20251126_snorkel_batch020__llm_step_onlinemind2web_websites__114</t>
    </r>
  </si>
  <si>
    <t>06f4825f-7b88-49e0-a31c-a0da0796f155</t>
  </si>
  <si>
    <r>
      <rPr>
        <rFont val="Aptos Narrow"/>
        <color rgb="FF1155CC"/>
        <sz val="11.0"/>
        <u/>
      </rPr>
      <t>https://webolmo-data-snorkel.allen.ai/20251126_snorkel_batch011__llm_step_popular_websites__155</t>
    </r>
  </si>
  <si>
    <t>a74f50ae-85cf-4ce3-ad3a-dd348719298a</t>
  </si>
  <si>
    <r>
      <rPr>
        <rFont val="Aptos Narrow"/>
        <color rgb="FF1155CC"/>
        <sz val="11.0"/>
        <u/>
      </rPr>
      <t>https://webolmo-data-snorkel.allen.ai/20251126_snorkel_batch016__llm_step_popular_websites__14</t>
    </r>
  </si>
  <si>
    <t>86de80ac-cce9-46e4-911f-6caac6b11853</t>
  </si>
  <si>
    <r>
      <rPr>
        <rFont val="Aptos Narrow"/>
        <color rgb="FF1155CC"/>
        <sz val="11.0"/>
        <u/>
      </rPr>
      <t>https://webolmo-data-snorkel.allen.ai/20251126_snorkel_batch020__llm_step_onlinemind2web_websites__81</t>
    </r>
  </si>
  <si>
    <t>1063383d-4fe5-4701-aabd-5f5ca074c730</t>
  </si>
  <si>
    <r>
      <rPr>
        <rFont val="Aptos Narrow"/>
        <color rgb="FF1155CC"/>
        <sz val="11.0"/>
        <u/>
      </rPr>
      <t>https://webolmo-data-snorkel.allen.ai/20251126_snorkel_batch017__llm_step_webvoyager_websites__43</t>
    </r>
  </si>
  <si>
    <t>d93e9e4e-19bc-420e-bf70-0e707d5d0feb</t>
  </si>
  <si>
    <r>
      <rPr>
        <rFont val="Aptos Narrow"/>
        <color rgb="FF1155CC"/>
        <sz val="11.0"/>
        <u/>
      </rPr>
      <t>https://webolmo-data-snorkel.allen.ai/20251126_snorkel_batch017__llm_step_webvoyager_websites__110</t>
    </r>
  </si>
  <si>
    <t>dfcd06ef-9e65-47d9-905f-91130584446d</t>
  </si>
  <si>
    <r>
      <rPr>
        <rFont val="Aptos Narrow"/>
        <color rgb="FF1155CC"/>
        <sz val="11.0"/>
        <u/>
      </rPr>
      <t>https://webolmo-data-snorkel.allen.ai/20251126_snorkel_batch020__llm_step_onlinemind2web_websites__94</t>
    </r>
  </si>
  <si>
    <t>c1b4f373-ec25-405c-b6f4-009f77c9ada9</t>
  </si>
  <si>
    <r>
      <rPr>
        <rFont val="Aptos Narrow"/>
        <color rgb="FF1155CC"/>
        <sz val="11.0"/>
        <u/>
      </rPr>
      <t>https://webolmo-data-snorkel.allen.ai/20251126_snorkel_batch018__llm_step_popular_websites__88</t>
    </r>
  </si>
  <si>
    <t>73c78056-5c11-4daa-9434-82143f21a2c4</t>
  </si>
  <si>
    <r>
      <rPr>
        <rFont val="Aptos Narrow"/>
        <color rgb="FF1155CC"/>
        <sz val="11.0"/>
        <u/>
      </rPr>
      <t>https://webolmo-data-snorkel.allen.ai/20251126_snorkel_batch018__llm_step_webvoyager_websites__129</t>
    </r>
  </si>
  <si>
    <t>4c3ac44c-b653-45e3-aa98-0f34d73d071f</t>
  </si>
  <si>
    <t>https://webolmo-data-snorkel.allen.ai/20251126_snorkel_batch020__llm_step_popular_websites__138</t>
  </si>
  <si>
    <t>không tìm thấy kết quả yêu cầu</t>
  </si>
  <si>
    <t>6de6cac4-7f3e-497c-a7cf-e9813e499fb0</t>
  </si>
  <si>
    <t>https://webolmo-data-snorkel.allen.ai/20251126_snorkel_batch013__llm_step_popular_websites__117</t>
  </si>
  <si>
    <t xml:space="preserve">yêu cầu mở tab mới </t>
  </si>
  <si>
    <t>49cf9562-572c-402b-af44-0e0d0a09365b</t>
  </si>
  <si>
    <t>https://webolmo-data-snorkel.allen.ai/20260107_snorkel_batch002_step_tasks__maps_distance__42</t>
  </si>
  <si>
    <t>1c886ca3-be85-4b84-a12a-f99bb39a4ef3</t>
  </si>
  <si>
    <t>https://webolmo-data-snorkel.allen.ai/20251126_snorkel_batch019__llm_step_onlinemind2web_websites__68</t>
  </si>
  <si>
    <t>Login popup</t>
  </si>
  <si>
    <t>963ed91d-c273-467b-ba9f-1c63df2867b5</t>
  </si>
  <si>
    <t>https://webolmo-data-snorkel.allen.ai/20251126_snorkel_batch016__llm_step_webvoyager_websites__150</t>
  </si>
  <si>
    <t>86f1faa3-0fa0-4e42-98e9-5ac9c2d7f4e2</t>
  </si>
  <si>
    <t>https://webolmo-data-snorkel.allen.ai/20251126_snorkel_batch013__llm_step_webvoyager_websites__66</t>
  </si>
  <si>
    <t>f65efc5d-317c-4802-97d4-4b5bb9316750</t>
  </si>
  <si>
    <t>https://webolmo-data-snorkel.allen.ai/20251126_snorkel_batch011__llm_step_onlinemind2web_websites__81</t>
  </si>
  <si>
    <t>Không tìm thấy thông tin task yêu cầu + Cookie popup</t>
  </si>
  <si>
    <t>2489cda1-d717-49b0-886f-75b327fa853e</t>
  </si>
  <si>
    <t>https://webolmo-data-snorkel.allen.ai/20260107_snorkel_batch001_step_tasks__finance_news_nav_and_open_first__16</t>
  </si>
  <si>
    <t>b9c22ed1-14ed-4f59-99c6-b1d45b8836d4</t>
  </si>
  <si>
    <t>https://webolmo-data-snorkel.allen.ai/20260107_snorkel_batch002_step_tasks__maps_travel_time__66</t>
  </si>
  <si>
    <t>30509b1c-facb-4555-a422-80a8f60e5106</t>
  </si>
  <si>
    <t>https://webolmo-data-snorkel.allen.ai/20260107_snorkel_batch003_step_tasks__food_restaurant_booking__10</t>
  </si>
  <si>
    <t>115651e0-3cc3-4dce-939d-2cb83c57e0de</t>
  </si>
  <si>
    <t>https://webolmo-data-snorkel.allen.ai/20251126_snorkel_batch012__llm_step_popular_websites__101</t>
  </si>
  <si>
    <t>4c629bcc-ac6c-455a-967a-734b01ae9025</t>
  </si>
  <si>
    <t>https://webolmo-data-snorkel.allen.ai/20251126_snorkel_batch015__llm_step_popular_websites__94</t>
  </si>
  <si>
    <t>Check device popup</t>
  </si>
  <si>
    <t>5bde57a9-5a5a-4757-ba86-04652dc86790</t>
  </si>
  <si>
    <t>https://webolmo-data-snorkel.allen.ai/20251126_snorkel_batch020__llm_step_onlinemind2web_websites__105</t>
  </si>
  <si>
    <t>6f7ef091-3012-4667-9c95-90a19fe33081</t>
  </si>
  <si>
    <t>https://webolmo-data-snorkel.allen.ai/20251126_snorkel_batch017__llm_step_webvoyager_websites__58</t>
  </si>
  <si>
    <t>fb8ae37a-5fc9-420a-8800-02282161a771</t>
  </si>
  <si>
    <t>https://webolmo-data-snorkel.allen.ai/20260107_snorkel_batch001_step_tasks__general_news_nav__43</t>
  </si>
  <si>
    <t>8be682eb-a7fa-449b-b517-0bf2b68b4a1b</t>
  </si>
  <si>
    <t>https://webolmo-data-snorkel.allen.ai/20251126_snorkel_batch015__llm_step_popular_websites__105</t>
  </si>
  <si>
    <t>0e30265b-b97e-43de-a1c9-d8df3f33b0f0</t>
  </si>
  <si>
    <t>https://webolmo-data-snorkel.allen.ai/20251121_snorkel_batch003__webvoyager_like__404</t>
  </si>
  <si>
    <t>8fd32d06-9fbd-40a7-b790-7fe86c5bb06e</t>
  </si>
  <si>
    <t>https://webolmo-data-snorkel.allen.ai/20251126_snorkel_batch014__llm_step_webvoyager_websites__113</t>
  </si>
  <si>
    <t>Có popup sign in khi vào trang chủ lần đầu tiên</t>
  </si>
  <si>
    <t>b11fcb07-2cac-4f33-878c-a66df2dc2fca</t>
  </si>
  <si>
    <t>https://webolmo-data-snorkel.allen.ai/20260107_snorkel_batch003_step_tasks__car_rental_search__14</t>
  </si>
  <si>
    <t>Yêu cầu đăng nhập để xem thông tin chi tiết</t>
  </si>
  <si>
    <t>https://webolmo-data-snorkel.allen.ai/20260107_snorkel_batch002_step_tasks__real_estate_search_and_filter__15</t>
  </si>
  <si>
    <t>https://webolmo-data-snorkel.allen.ai/20260107_snorkel_batch002_step_tasks__maps_travel_time__62</t>
  </si>
  <si>
    <t xml:space="preserve">Có popup hướng dẫn </t>
  </si>
  <si>
    <t>75369942-1790-4af0-a84a-499c704b9b3b</t>
  </si>
  <si>
    <t>https://webolmo-data-snorkel.allen.ai/20260107_snorkel_batch002_step_tasks__maps_satellite_view__42</t>
  </si>
  <si>
    <t>394c235f-d71b-4ef0-81fd-2972b7ce847e</t>
  </si>
  <si>
    <t>https://webolmo-data-snorkel.allen.ai/20260107_snorkel_batch001_step_tasks__news_search__20</t>
  </si>
  <si>
    <t>e23a7463-599a-4d3d-8143-f645c6c9d3a9</t>
  </si>
  <si>
    <t>https://webolmo-data-snorkel.allen.ai/20251126_snorkel_batch020__llm_step_popular_websites__139</t>
  </si>
  <si>
    <t>b2cfc8fe-edd6-4cd1-a6e5-fe60d00e23da</t>
  </si>
  <si>
    <t>https://webolmo-data-snorkel.allen.ai/20251126_snorkel_batch014__llm_step_webvoyager_websites__39</t>
  </si>
  <si>
    <t>7fbbf980-1d4c-4cdd-be08-c87cff340581</t>
  </si>
  <si>
    <t>https://webolmo-data-snorkel.allen.ai/20251126_snorkel_batch016__llm_step_popular_websites__33</t>
  </si>
  <si>
    <t>9b1bf50b-5cf5-417e-8e94-1b1ef7c874e1</t>
  </si>
  <si>
    <t>https://webolmo-data-snorkel.allen.ai/20251126_snorkel_batch012__llm_step_webvoyager_websites__104</t>
  </si>
  <si>
    <t>3244618c-cec2-4692-97fd-8b3db05d4411</t>
  </si>
  <si>
    <t>https://webolmo-data-snorkel.allen.ai/20260107_snorkel_batch002_step_tasks__maps_travel_time__24</t>
  </si>
  <si>
    <t>de1805eb-d91d-4842-b68f-9399f066fe5e</t>
  </si>
  <si>
    <t>https://webolmo-data-snorkel.allen.ai/20251126_snorkel_batch011__llm_step_onlinemind2web_websites__30</t>
  </si>
  <si>
    <t>4a4ba341-cf71-45df-bd1b-e69c2cee2bf8</t>
  </si>
  <si>
    <t>https://webolmo-data-snorkel.allen.ai/20251126_snorkel_batch018__llm_step_onlinemind2web_websites__137</t>
  </si>
  <si>
    <t>Không tìm thấy thông tin task yêu cầu + Adspopup</t>
  </si>
  <si>
    <t>52420c50-69d5-4bf9-bf27-cf658d55532d</t>
  </si>
  <si>
    <t>https://webolmo-data-snorkel.allen.ai/20260107_snorkel_batch001_step_tasks__general_news_nav_and_open_first__39</t>
  </si>
  <si>
    <t>Ads popup</t>
  </si>
  <si>
    <t>47bcb531-9c40-433a-bea4-5ca842bdcfd1</t>
  </si>
  <si>
    <t>https://webolmo-data-snorkel.allen.ai/20260107_snorkel_batch002_step_tasks__maps_travel_time__69</t>
  </si>
  <si>
    <t>569f51b1-1013-4da4-a50a-663502dbc726</t>
  </si>
  <si>
    <t>https://webolmo-data-snorkel.allen.ai/20251126_snorkel_batch016__llm_step_popular_websites__72</t>
  </si>
  <si>
    <t>không tìm thấy bộ lọc sản phẩm</t>
  </si>
  <si>
    <t>b58e6b83-636a-47b6-9f31-8624657c0fd4</t>
  </si>
  <si>
    <t>https://webolmo-data-snorkel.allen.ai/20251126_snorkel_batch013__llm_step_webvoyager_websites__41</t>
  </si>
  <si>
    <t>cae32fb4-cf81-4e5d-bec3-10230908732d</t>
  </si>
  <si>
    <t>https://webolmo-data-snorkel.allen.ai/20251219_snorkel_batch001__llm_navqa_popular_websites__19</t>
  </si>
  <si>
    <t>322d321d-bfca-45de-9f93-5adcc5b31f34</t>
  </si>
  <si>
    <t>https://webolmo-data-snorkel.allen.ai/20251126_snorkel_batch011__llm_step_webvoyager_websites__4</t>
  </si>
  <si>
    <t>29587323-c1e4-41d5-8374-1768979559e4</t>
  </si>
  <si>
    <t>https://webolmo-data-snorkel.allen.ai/20251126_snorkel_batch018__llm_step_onlinemind2web_websites__105</t>
  </si>
  <si>
    <t>b138525f-eb67-4ec9-b101-98533d50c538</t>
  </si>
  <si>
    <t>https://webolmo-data-snorkel.allen.ai/20251126_snorkel_batch011__llm_step_webvoyager_websites__65</t>
  </si>
  <si>
    <t>51a23496-cfbe-4d8e-97f8-a19ccc5de2a3</t>
  </si>
  <si>
    <t>https://webolmo-data-snorkel.allen.ai/20260107_snorkel_batch002_step_tasks__maps_route_planning__15</t>
  </si>
  <si>
    <t>cf9873be-da87-443c-981b-c1fdc6322f3c</t>
  </si>
  <si>
    <t>https://webolmo-data-snorkel.allen.ai/20251121_snorkel_batch005__webvoyager_like__415</t>
  </si>
  <si>
    <t xml:space="preserve">Không tìm thấy dữ liệu như task yêu cầu </t>
  </si>
  <si>
    <t>15492c3a-ca43-4945-a7f3-5f1f1af342da</t>
  </si>
  <si>
    <t>https://webolmo-data-snorkel.allen.ai/20260107_snorkel_batch002_step_tasks__real_estate_search_and_filter__14</t>
  </si>
  <si>
    <t>9f9e349c-a48f-47a0-9799-752e05b6ecd7</t>
  </si>
  <si>
    <t>https://webolmo-data-snorkel.allen.ai/20251121_snorkel_batch004__webvoyager_like__226</t>
  </si>
  <si>
    <t>28bd45bd-a1d7-4dcc-96de-c430b71ce4a2</t>
  </si>
  <si>
    <t>https://webolmo-data-snorkel.allen.ai/20251126_snorkel_batch017__llm_step_onlinemind2web_websites__107</t>
  </si>
  <si>
    <t>c830171a-e4ca-4432-af84-bd9dfd8c5bcc</t>
  </si>
  <si>
    <t>https://webolmo-data-snorkel.allen.ai/20251126_snorkel_batch015__llm_step_webvoyager_websites__22</t>
  </si>
  <si>
    <t>70057726-6b7d-4cfc-8bb4-fbd18f1c30f6</t>
  </si>
  <si>
    <t>https://webolmo-data-snorkel.allen.ai/20251126_snorkel_batch016__llm_step_webvoyager_websites__40</t>
  </si>
  <si>
    <t>f740fefd-eb34-450b-b2c2-a33add73dab0</t>
  </si>
  <si>
    <t>https://webolmo-data-snorkel.allen.ai/20260107_snorkel_batch002_step_tasks__maps_travel_time__50</t>
  </si>
  <si>
    <t>8a573ba4-ebfa-4f9e-af00-75892995e1ee</t>
  </si>
  <si>
    <t>https://webolmo-data-snorkel.allen.ai/20260107_snorkel_batch001_step_tasks__maps_directions_with_mode__36</t>
  </si>
  <si>
    <t>65ab254d-5c5d-448d-89bf-8b46db868923</t>
  </si>
  <si>
    <t>https://webolmo-data-snorkel.allen.ai/20251126_snorkel_batch020__llm_step_webvoyager_websites__37</t>
  </si>
  <si>
    <t>7a6c1e07-deac-4548-b699-2441f6f5a3c2</t>
  </si>
  <si>
    <t>https://webolmo-data-snorkel.allen.ai/20251126_snorkel_batch015__llm_step_webvoyager_websites__4</t>
  </si>
  <si>
    <t>45edb1cf-848f-4fc8-b15f-50757dd5620b</t>
  </si>
  <si>
    <t>https://webolmo-data-snorkel.allen.ai/20251126_snorkel_batch016__llm_step_onlinemind2web_websites__17</t>
  </si>
  <si>
    <t>9d14bf4c-81fc-4a8c-b9b6-937fbb33aef4</t>
  </si>
  <si>
    <t>https://webolmo-data-snorkel.allen.ai/20251126_snorkel_batch014__llm_step_webvoyager_websites__166</t>
  </si>
  <si>
    <t>5b057bab-1bc3-4990-9afd-cbf5f817a6fa</t>
  </si>
  <si>
    <t>https://webolmo-data-snorkel.allen.ai/20251126_snorkel_batch015__llm_step_webvoyager_websites__3</t>
  </si>
  <si>
    <t>21e7a3f3-3611-46f9-98ba-9889924f138e</t>
  </si>
  <si>
    <t>https://webolmo-data-snorkel.allen.ai/20251126_snorkel_batch016__llm_step_webvoyager_websites__33</t>
  </si>
  <si>
    <t>e2cef5f0-9cd1-42a7-8ab9-711386e6d06d</t>
  </si>
  <si>
    <t>https://webolmo-data-snorkel.allen.ai/20260107_snorkel_batch002_step_tasks__maps_visual_count__19</t>
  </si>
  <si>
    <t>b44f8ace-8761-4b31-aec3-6e033c5e839c</t>
  </si>
  <si>
    <t>https://webolmo-data-snorkel.allen.ai/20251126_snorkel_batch019__llm_step_popular_websites__37</t>
  </si>
  <si>
    <t>22376e0f-f166-4f7e-b291-3bd8412b890e</t>
  </si>
  <si>
    <t>https://webolmo-data-snorkel.allen.ai/20251126_snorkel_batch012__llm_step_onlinemind2web_websites__44</t>
  </si>
  <si>
    <t>The website does not have "Index options" as requested.</t>
  </si>
  <si>
    <t>1f4c37ac-655a-40b0-a125-91b3d3aad176</t>
  </si>
  <si>
    <t>https://webolmo-data-snorkel.allen.ai/20260107_snorkel_batch001_step_tasks__general_news_nav_and_open_first__41</t>
  </si>
  <si>
    <t>abff4565-f1d7-45f4-b5de-75833ed2a947</t>
  </si>
  <si>
    <t>https://webolmo-data-snorkel.allen.ai/20251126_snorkel_batch012__llm_step_onlinemind2web_websites__148</t>
  </si>
  <si>
    <t>Missing "Feature film" in title type</t>
  </si>
  <si>
    <t>558c9097-1ee2-4f7e-9499-47d82dfba6e3</t>
  </si>
  <si>
    <t>https://webolmo-data-snorkel.allen.ai/20251126_snorkel_batch017__llm_step_onlinemind2web_websites__50</t>
  </si>
  <si>
    <t>There is no filter bar on the search bar</t>
  </si>
  <si>
    <t>12f73eff-7b9c-41b5-ba1c-97371f5840d9</t>
  </si>
  <si>
    <t>https://webolmo-data-snorkel.allen.ai/20251126_snorkel_batch019__llm_step_webvoyager_websites__23</t>
  </si>
  <si>
    <t>1345909a-0aba-4ddd-904f-91141e509d16</t>
  </si>
  <si>
    <t>https://webolmo-data-snorkel.allen.ai/20251126_snorkel_batch020__llm_step_webvoyager_websites__143</t>
  </si>
  <si>
    <t>There is no "cross-laminated timber" in the dictionary entry.</t>
  </si>
  <si>
    <t>5569f108-09ef-478d-9615-6b1802e4444d</t>
  </si>
  <si>
    <t>https://webolmo-data-snorkel.allen.ai/20251126_snorkel_batch012__llm_step_popular_websites__57</t>
  </si>
  <si>
    <t>follow instructions but dont have information for that task.</t>
  </si>
  <si>
    <t>https://webolmo-data-snorkel.allen.ai/20251126_snorkel_batch017__llm_step_onlinemind2web_websites__82</t>
  </si>
  <si>
    <t>https://webolmo-data-snorkel.allen.ai/20260107_snorkel_batch003_step_tasks__food_delivery__9</t>
  </si>
  <si>
    <t>https://webolmo-data-snorkel.allen.ai/20251126_snorkel_batch017__llm_step_popular_websites__146</t>
  </si>
  <si>
    <t>af166fa7-9850-472f-88c6-f6a64125013e</t>
  </si>
  <si>
    <t>https://webolmo-data-snorkel.allen.ai/20251126_snorkel_batch015__llm_step_popular_websites__104</t>
  </si>
  <si>
    <t>A pop-up window is removed in step 1. When click "brand", Producer's Pride does not appear</t>
  </si>
  <si>
    <t>8a31e7a1-c43a-4753-a054-9b410734cb22</t>
  </si>
  <si>
    <t>https://webolmo-data-snorkel.allen.ai/20251126_snorkel_batch015__llm_step_popular_websites__26</t>
  </si>
  <si>
    <t>"fandoms" does not appear</t>
  </si>
  <si>
    <t>7b2aaf9b-7f94-4435-9139-c9079ef15212</t>
  </si>
  <si>
    <t>https://webolmo-data-snorkel.allen.ai/20251126_snorkel_batch017__llm_step_onlinemind2web_websites__122</t>
  </si>
  <si>
    <t>A pop-up is removed in step 2. When click filters, 'entire place' does not appear.</t>
  </si>
  <si>
    <t>670d6188-39fc-4b03-979e-d41506ace0c7</t>
  </si>
  <si>
    <t>https://webolmo-data-snorkel.allen.ai/20260107_snorkel_batch003_step_tasks__car_rental_search__6</t>
  </si>
  <si>
    <t>There are 2 locations with the name 'San Antonio' appearing and need to choose one.</t>
  </si>
  <si>
    <t>fc2dbadb-cc4e-4abc-855b-365eb0af37fd</t>
  </si>
  <si>
    <t>https://webolmo-data-snorkel.allen.ai/20251126_snorkel_batch015__llm_step_popular_websites__38</t>
  </si>
  <si>
    <t>after follow the instruction, 'Learn about Retirement Benefits' does not appear.</t>
  </si>
  <si>
    <t>a0f6a1f7-e5b9-4061-87c4-19029b477dda</t>
  </si>
  <si>
    <t>https://webolmo-data-snorkel.allen.ai/20251126_snorkel_batch014__llm_step_onlinemind2web_websites__92</t>
  </si>
  <si>
    <t>follow instruction, 'Find a condition' does not appear.</t>
  </si>
  <si>
    <t>20251126_snorkel_batch017__llm_step_onlinemind2web_websites__138</t>
  </si>
  <si>
    <r>
      <rPr>
        <rFont val="Aptos Narrow"/>
        <color rgb="FF1155CC"/>
        <sz val="11.0"/>
        <u/>
      </rPr>
      <t>https://webolmo-data-snorkel.allen.ai/20251126_snorkel_batch017__llm_step_onlinemind2web_websites__138</t>
    </r>
  </si>
  <si>
    <t>20251126_snorkel_batch017__llm_step_onlinemind2web_websites__139</t>
  </si>
  <si>
    <r>
      <rPr>
        <rFont val="Aptos Narrow"/>
        <color rgb="FF1155CC"/>
        <sz val="11.0"/>
        <u/>
      </rPr>
      <t>https://webolmo-data-snorkel.allen.ai/20251126_snorkel_batch012__llm_step_onlinemind2web_websites__48</t>
    </r>
  </si>
  <si>
    <t>20251126_snorkel_batch017__llm_step_onlinemind2web_websites__140</t>
  </si>
  <si>
    <t>20251126_snorkel_batch017__llm_step_onlinemind2web_websites__141</t>
  </si>
  <si>
    <t>https://webolmo-data-snorkel.allen.ai/20251126_snorkel_batch018__llm_step_onlinemind2web_websites__66</t>
  </si>
  <si>
    <t>The task requires too many additional info, including having to include your address and further information to fill out the bill to be able to access the details of that "spicy hamburger" from the list</t>
  </si>
  <si>
    <t>6ef9f8c7-3398-42b4-a74b-291c336feedc</t>
  </si>
  <si>
    <t>https://webolmo-data-snorkel.allen.ai/20260107_snorkel_batch001_step_tasks__maps_directions__13</t>
  </si>
  <si>
    <t xml:space="preserve"> </t>
  </si>
  <si>
    <t>e154fc5d-d51a-4f6d-be7f-655651d747fc</t>
  </si>
  <si>
    <t>https://webolmo-data-snorkel.allen.ai/20251126_snorkel_batch012__llm_step_popular_websites__21</t>
  </si>
  <si>
    <t>798692ea-903e-4e9d-92c8-0b7ee7c02752</t>
  </si>
  <si>
    <t>https://webolmo-data-snorkel.allen.ai/20260107_snorkel_batch002_step_tasks__maps_distance__9</t>
  </si>
  <si>
    <t>8bd062fc-3143-4643-a32e-e465690550fe</t>
  </si>
  <si>
    <t>https://webolmo-data-snorkel.allen.ai/20251126_snorkel_batch019__llm_step_popular_websites__21</t>
  </si>
  <si>
    <t>No article found under the search result</t>
  </si>
  <si>
    <t>9c066ff9-541e-400f-9dfd-e18099291f57</t>
  </si>
  <si>
    <t>https://webolmo-data-snorkel.allen.ai/20251126_snorkel_batch019__llm_step_webvoyager_websites__116</t>
  </si>
  <si>
    <t>There's no category further for "Clinical Medicine" or equivalent</t>
  </si>
  <si>
    <t>eb4a059f-f49e-4fae-b0e7-7b9432ebb0a2</t>
  </si>
  <si>
    <t>https://webolmo-data-snorkel.allen.ai/20251126_snorkel_batch015__llm_step_popular_websites__66</t>
  </si>
  <si>
    <t xml:space="preserve">mở tab mới </t>
  </si>
  <si>
    <t>91b1063d-7496-4768-8ad9-59184cbef7cc</t>
  </si>
  <si>
    <t>https://webolmo-data-snorkel.allen.ai/20251126_snorkel_batch015__llm_step_onlinemind2web_websites__161</t>
  </si>
  <si>
    <t>4a160372-4d47-429d-b995-d1b85f2fb12a</t>
  </si>
  <si>
    <t>https://webolmo-data-snorkel.allen.ai/20251210_snorkel_batch001__llm_step_onlinemind2web_websites__144</t>
  </si>
  <si>
    <t>cd51ca9b-6c37-456e-a9a7-bb1c6c8693ac</t>
  </si>
  <si>
    <t>https://webolmo-data-snorkel.allen.ai/20251126_snorkel_batch014__llm_step_webvoyager_websites__93</t>
  </si>
  <si>
    <t>7d65756e-9f93-4e9e-b957-836782765bd8</t>
  </si>
  <si>
    <t>https://webolmo-data-snorkel.allen.ai/20251126_snorkel_batch016__llm_step_onlinemind2web_websites__60</t>
  </si>
  <si>
    <t>bef941f1-f901-4d61-8c2e-73b48447b25c</t>
  </si>
  <si>
    <t>https://webolmo-data-snorkel.allen.ai/20260107_snorkel_batch001_step_tasks__maps_directions_with_mode__6</t>
  </si>
  <si>
    <t>5a474be6-c512-4a69-a2f2-aee3541f9362</t>
  </si>
  <si>
    <t>https://webolmo-data-snorkel.allen.ai/20260107_snorkel_batch001_step_tasks__news_search_and_open_nth__19</t>
  </si>
  <si>
    <t>d490935c-96f3-4172-a3c4-287ea9e5550c</t>
  </si>
  <si>
    <t>https://webolmo-data-snorkel.allen.ai/20251126_snorkel_batch020__llm_step_onlinemind2web_websites__61</t>
  </si>
  <si>
    <t>When select an item in search result, it require logged in to continue.</t>
  </si>
  <si>
    <t>0ecf6d41-83c4-4c25-9477-a9e634f4ebba</t>
  </si>
  <si>
    <t>https://webolmo-data-snorkel.allen.ai/20260107_snorkel_batch001_step_tasks__maps_directions__26</t>
  </si>
  <si>
    <t>c948e0ca-9992-48bf-9038-4e3776203348</t>
  </si>
  <si>
    <t>https://webolmo-data-snorkel.allen.ai/20251126_snorkel_batch011__llm_step_onlinemind2web_websites__134</t>
  </si>
  <si>
    <t>234a39f7-62f9-4412-9213-af520f240a38</t>
  </si>
  <si>
    <t>https://webolmo-data-snorkel.allen.ai/20251126_snorkel_batch013__llm_step_webvoyager_websites__6</t>
  </si>
  <si>
    <t>b1aec1a9-fb26-444b-90f6-151ebc05646c</t>
  </si>
  <si>
    <t>https://webolmo-data-snorkel.allen.ai/20260107_snorkel_batch003_step_tasks__hotel_search__7</t>
  </si>
  <si>
    <t>d36e9cd8-6547-4025-a246-fb3a8676a5a8</t>
  </si>
  <si>
    <t>https://webolmo-data-snorkel.allen.ai/20251121_snorkel_batch007__webvoyager_like__440</t>
  </si>
  <si>
    <t>673c3433-0732-4785-bbc2-37a3d3486c6c</t>
  </si>
  <si>
    <t>https://webolmo-data-snorkel.allen.ai/20251126_snorkel_batch018__llm_step_onlinemind2web_websites__109</t>
  </si>
  <si>
    <t>28dce672-1439-4ee4-ac6d-60f3e10f06fb</t>
  </si>
  <si>
    <t>https://webolmo-data-snorkel.allen.ai/20260107_snorkel_batch002_step_tasks__maps_visual_count__35</t>
  </si>
  <si>
    <t>1b1ceb1a-61ee-44d1-965c-78cade141967</t>
  </si>
  <si>
    <t>https://webolmo-data-snorkel.allen.ai/20260107_snorkel_batch003_step_tasks__food_recipes__7</t>
  </si>
  <si>
    <t>Không tìm thấy thông tin task yêu cầu + ads popup</t>
  </si>
  <si>
    <t>d70ee45d-ad20-47dc-90e1-5bcfcaf9f3ca</t>
  </si>
  <si>
    <t>https://webolmo-data-snorkel.allen.ai/20251126_snorkel_batch020__llm_step_webvoyager_websites__134</t>
  </si>
  <si>
    <t>Customer reviewed filter không hoạt động chính xác</t>
  </si>
  <si>
    <t>1ff16cf6-6fb3-4992-98e3-1d41b327147c</t>
  </si>
  <si>
    <t>https://webolmo-data-snorkel.allen.ai/20260107_snorkel_batch003_step_tasks__food_delivery__45</t>
  </si>
  <si>
    <t>c5c4c8c2-7035-4dd1-8f81-d327baa85c0c</t>
  </si>
  <si>
    <t>https://webolmo-data-snorkel.allen.ai/20260107_snorkel_batch001_step_tasks__maps_directions_with_mode__42</t>
  </si>
  <si>
    <t>abad5593-a365-4049-a379-be8f0eb5162d</t>
  </si>
  <si>
    <t>https://webolmo-data-snorkel.allen.ai/20251126_snorkel_batch019__llm_step_onlinemind2web_websites__62</t>
  </si>
  <si>
    <t xml:space="preserve">Không tìm thấy kết quả như yêu cầu </t>
  </si>
  <si>
    <t>d647c642-4869-42e9-b33b-9813a43f9341</t>
  </si>
  <si>
    <t>https://webolmo-data-snorkel.allen.ai/20251210_snorkel_batch001__llm_step_webvoyager_websites__21</t>
  </si>
  <si>
    <t xml:space="preserve">Không tìm thấy thông tin về giờ mở cửa </t>
  </si>
  <si>
    <t>7af967b8-4cb6-41ab-9969-716f8b7972f2</t>
  </si>
  <si>
    <t>https://webolmo-data-snorkel.allen.ai/20251126_snorkel_batch012__llm_step_webvoyager_websites__96</t>
  </si>
  <si>
    <t xml:space="preserve">Cookie popup và thông báo </t>
  </si>
  <si>
    <t>14a2bdd6-c4fa-4293-b2a0-e1990ec5b56e</t>
  </si>
  <si>
    <t>https://webolmo-data-snorkel.allen.ai/20251126_snorkel_batch019__llm_step_webvoyager_websites__46</t>
  </si>
  <si>
    <t>có popup thông báo</t>
  </si>
  <si>
    <t>a94904ac-98b4-4547-88d8-ebd920522359</t>
  </si>
  <si>
    <t xml:space="preserve">https://webolmo-data-snorkel.allen.ai/20251126_snorkel_batch019__llm_step_webvoyager_websites__15
</t>
  </si>
  <si>
    <t>6e43ab72-26de-4654-a29a-54696f878553</t>
  </si>
  <si>
    <t>https://webolmo-data-snorkel.allen.ai/20260107_snorkel_batch001_step_tasks__finance_news_nav_and_open_first__0</t>
  </si>
  <si>
    <t>f5a0fe36-5093-4cd1-9c60-f509f92cce28</t>
  </si>
  <si>
    <t>https://webolmo-data-snorkel.allen.ai/20251126_snorkel_batch013__llm_step_onlinemind2web_websites__43</t>
  </si>
  <si>
    <t>không có danh mục và mô tả theo yêu cầu</t>
  </si>
  <si>
    <t>53a72780-5dfa-4dea-bb4d-47f9fa1546e4</t>
  </si>
  <si>
    <t>https://webolmo-data-snorkel.allen.ai/20260107_snorkel_batch002_step_tasks__maps_distance__43</t>
  </si>
  <si>
    <t>d39ed0ee-132c-4d07-9e38-485eb875b7bd</t>
  </si>
  <si>
    <t>https://webolmo-data-snorkel.allen.ai/20251210_snorkel_batch001__llm_step_webvoyager_websites__86</t>
  </si>
  <si>
    <t>713b463b-0a57-43e7-b324-5022562b2dcb</t>
  </si>
  <si>
    <t>https://webolmo-data-snorkel.allen.ai/20260107_snorkel_batch001_step_tasks__news_search_and_open_nth__40</t>
  </si>
  <si>
    <t>eca3740a-f847-4109-9f73-4f22f7049fb8</t>
  </si>
  <si>
    <t>https://webolmo-data-snorkel.allen.ai/20260107_snorkel_batch003_step_tasks__shopping_search_and_filter__42</t>
  </si>
  <si>
    <t>không có lọc theo style</t>
  </si>
  <si>
    <t>fcf8f398-3089-4df0-9fe3-e3bb03e41b1e</t>
  </si>
  <si>
    <t>https://webolmo-data-snorkel.allen.ai/20251126_snorkel_batch015__llm_step_onlinemind2web_websites__66</t>
  </si>
  <si>
    <t>b5d20380-a47a-4174-b6a8-71284a802b75</t>
  </si>
  <si>
    <t>https://webolmo-data-snorkel.allen.ai/20251126_snorkel_batch017__llm_step_webvoyager_websites__141</t>
  </si>
  <si>
    <t>f9cf6b4f-3ed6-4fc5-8c5c-baf476d85ce6</t>
  </si>
  <si>
    <t>https://webolmo-data-snorkel.allen.ai/20260107_snorkel_batch002_step_tasks__maps_visual_search__13</t>
  </si>
  <si>
    <t>37f6eb30-d485-419b-b7dd-e222f851803b</t>
  </si>
  <si>
    <t>https://webolmo-data-snorkel.allen.ai/20251210_snorkel_batch001__llm_step_onlinemind2web_websites__50</t>
  </si>
  <si>
    <t>6620dd70-96c8-49e9-8494-5819855e0d9f</t>
  </si>
  <si>
    <t>https://webolmo-data-snorkel.allen.ai/20260107_snorkel_batch001_step_tasks__finance_news_nav__36</t>
  </si>
  <si>
    <t>74469636-07d0-474a-aa42-2b8407ebf3ca</t>
  </si>
  <si>
    <t>https://webolmo-data-snorkel.allen.ai/20251126_snorkel_batch019__llm_step_webvoyager_websites__136</t>
  </si>
  <si>
    <t>758c86a5-a90e-4b3e-9e54-6d8c30252d2b</t>
  </si>
  <si>
    <t>https://webolmo-data-snorkel.allen.ai/20251126_snorkel_batch020__llm_step_webvoyager_websites__149</t>
  </si>
  <si>
    <t>9c8a37b6-3195-4a7d-8001-97c367561f0f</t>
  </si>
  <si>
    <t>https://webolmo-data-snorkel.allen.ai/20251126_snorkel_batch015__llm_step_popular_websites__34</t>
  </si>
  <si>
    <t>841ba1f8-6019-4851-90eb-688000746e8e</t>
  </si>
  <si>
    <t>https://webolmo-data-snorkel.allen.ai/20260107_snorkel_batch003_step_tasks__flight_search__43</t>
  </si>
  <si>
    <t>9d02128d-99ca-48c2-a3df-2c19ef72d068</t>
  </si>
  <si>
    <t>https://webolmo-data-snorkel.allen.ai/20260107_snorkel_batch003_step_tasks__food_delivery__4</t>
  </si>
  <si>
    <t>539758f4-f926-470f-8ca0-dd25b2a506dd</t>
  </si>
  <si>
    <t>https://webolmo-data-snorkel.allen.ai/20260107_snorkel_batch003_step_tasks__flight_search__10</t>
  </si>
  <si>
    <t>Mở tab mới khi search</t>
  </si>
  <si>
    <t>c5d45ed8-25e3-421f-a767-a2dc9036adc7</t>
  </si>
  <si>
    <t>https://webolmo-data-snorkel.allen.ai/20251126_snorkel_batch019__llm_step_popular_websites__97</t>
  </si>
  <si>
    <t>8f2bb84c-4faa-4d4e-8433-b2a03d2dc3f2</t>
  </si>
  <si>
    <t>https://webolmo-data-snorkel.allen.ai/20251126_snorkel_batch011__llm_step_onlinemind2web_websites__52</t>
  </si>
  <si>
    <t>eb153969-93bb-478a-80b7-8ab5892af925</t>
  </si>
  <si>
    <t>https://webolmo-data-snorkel.allen.ai/20251126_snorkel_batch014__llm_step_webvoyager_websites__11</t>
  </si>
  <si>
    <t>024091ad-73aa-40ad-8ef6-7798d97bb0b4</t>
  </si>
  <si>
    <t>https://webolmo-data-snorkel.allen.ai/20251126_snorkel_batch012__llm_step_webvoyager_websites__7</t>
  </si>
  <si>
    <t>2516d70a-3a29-4404-a57f-1541b146c990</t>
  </si>
  <si>
    <t>https://webolmo-data-snorkel.allen.ai/20260107_snorkel_batch002_step_tasks__maps_visual_search__40</t>
  </si>
  <si>
    <t>52c1fc81-f3c5-499b-93ca-8a8019457830</t>
  </si>
  <si>
    <t>https://webolmo-data-snorkel.allen.ai/20251126_snorkel_batch012__llm_step_onlinemind2web_websites__99</t>
  </si>
  <si>
    <t>82c4f367-8da2-4899-9279-484b062932fd</t>
  </si>
  <si>
    <t>https://webolmo-data-snorkel.allen.ai/20251126_snorkel_batch020__llm_step_webvoyager_websites__18</t>
  </si>
  <si>
    <t>c2cf5452-48c2-415b-a711-af3d79360aca</t>
  </si>
  <si>
    <t>https://webolmo-data-snorkel.allen.ai/20260107_snorkel_batch002_step_tasks__real_estate_search_and_filter__41</t>
  </si>
  <si>
    <t>711d304b-8c24-4d49-ac29-740e84e1b3b5</t>
  </si>
  <si>
    <t>https://webolmo-data-snorkel.allen.ai/20251126_snorkel_batch016__llm_step_onlinemind2web_websites__34</t>
  </si>
  <si>
    <t>a77d8e72-b95b-4029-8e8c-ae693106cb5f</t>
  </si>
  <si>
    <t>https://webolmo-data-snorkel.allen.ai/20260107_snorkel_batch001_step_tasks__general_news_nav_and_open_first__9</t>
  </si>
  <si>
    <t>9debebb0-7f88-4ddd-9972-613decc4a351</t>
  </si>
  <si>
    <t>https://webolmo-data-snorkel.allen.ai/20260107_snorkel_batch002_step_tasks__maps_nearby__14</t>
  </si>
  <si>
    <t>25305412-3176-47a4-95a8-945b53f5a81d</t>
  </si>
  <si>
    <t>https://webolmo-data-snorkel.allen.ai/20260107_snorkel_batch003_step_tasks__shopping_search_and_add_to_cart__16</t>
  </si>
  <si>
    <t>9814d8dd-9df0-4815-8091-66ee96b36698</t>
  </si>
  <si>
    <t>https://webolmo-data-snorkel.allen.ai/20260107_snorkel_batch001_step_tasks__maps_directions__28</t>
  </si>
  <si>
    <t>ada7302b-129f-43e9-9f01-fd530982dbc1</t>
  </si>
  <si>
    <t>https://webolmo-data-snorkel.allen.ai/20260107_snorkel_batch003_step_tasks__food_recipes__49</t>
  </si>
  <si>
    <t>aa88af1a-523f-4a6b-9d12-21100f3f777d</t>
  </si>
  <si>
    <t>https://webolmo-data-snorkel.allen.ai/20251219_snorkel_batch009__llm_navqa_webvoyager_websites__19</t>
  </si>
  <si>
    <t>b5f576e5-01b9-442c-ba43-8790b227f904</t>
  </si>
  <si>
    <t>https://webolmo-data-snorkel.allen.ai/20260107_snorkel_batch001_step_tasks__news_search_and_open_nth__20</t>
  </si>
  <si>
    <t>f844c89a-1653-41a3-9ef9-a7bdef1afde1</t>
  </si>
  <si>
    <t>https://webolmo-data-snorkel.allen.ai/20251126_snorkel_batch015__llm_step_webvoyager_websites__150</t>
  </si>
  <si>
    <t>1faeb109-2982-462e-ac8c-396ff5090308</t>
  </si>
  <si>
    <t>https://webolmo-data-snorkel.allen.ai/20260107_snorkel_batch001_step_tasks__general_news_nav_and_open_first__28</t>
  </si>
  <si>
    <t>6d418504-89e8-45b8-8a93-b96da51d8e08</t>
  </si>
  <si>
    <t>https://webolmo-data-snorkel.allen.ai/20260107_snorkel_batch001_step_tasks__sports_news_nav__25</t>
  </si>
  <si>
    <t>Hà My</t>
  </si>
  <si>
    <t>02c458eb-2050-44c8-bd7f-49e273bfbe4d</t>
  </si>
  <si>
    <t>https://webolmo-data-snorkel.allen.ai/20251126_snorkel_batch018__llm_step_webvoyager_websites__45</t>
  </si>
  <si>
    <t>362a76fd-1c4b-49bb-bba0-bd64a6241f66</t>
  </si>
  <si>
    <t>https://webolmo-data-snorkel.allen.ai/20260107_snorkel_batch003_step_tasks__food_recipes__14</t>
  </si>
  <si>
    <t>e65618d4-b34c-4be4-a38b-19f6934c87db</t>
  </si>
  <si>
    <t>https://webolmo-data-snorkel.allen.ai/20260107_snorkel_batch002_step_tasks__maps_route_planning__42</t>
  </si>
  <si>
    <t>bd1ac48e-63c4-43cf-94ab-e0f8f5323e28</t>
  </si>
  <si>
    <t>https://webolmo-data-snorkel.allen.ai/20260107_snorkel_batch002_step_tasks__maps_travel_time__30</t>
  </si>
  <si>
    <t>904f3451-4066-4cf3-b4d4-f225b0da11be</t>
  </si>
  <si>
    <t>https://webolmo-data-snorkel.allen.ai/20251126_snorkel_batch016__llm_step_popular_websites__136</t>
  </si>
  <si>
    <t>e3cfb7b9-3b99-46dd-832c-8ff6614aea12</t>
  </si>
  <si>
    <t>https://webolmo-data-snorkel.allen.ai/20251126_snorkel_batch015__llm_step_onlinemind2web_websites__143</t>
  </si>
  <si>
    <t>8bbc2ead-815e-43be-be93-527549243113</t>
  </si>
  <si>
    <t>https://webolmo-data-snorkel.allen.ai/20251126_snorkel_batch020__llm_step_webvoyager_websites__91</t>
  </si>
  <si>
    <t>The result does not make sense.</t>
  </si>
  <si>
    <t>e9415609-0ca0-4ece-8188-60968bd13fb6</t>
  </si>
  <si>
    <t>https://webolmo-data-snorkel.allen.ai/20251126_snorkel_batch014__llm_step_webvoyager_websites__80</t>
  </si>
  <si>
    <t>There's no filter to apply</t>
  </si>
  <si>
    <t>98aa85fb-95cf-4fcf-9c6c-27d1b660b185</t>
  </si>
  <si>
    <t>https://webolmo-data-snorkel.allen.ai/20251210_snorkel_batch001__llm_step_onlinemind2web_websites__87</t>
  </si>
  <si>
    <t>07842c4a-76ed-4363-8059-ec97cfe6dfb9</t>
  </si>
  <si>
    <t>https://webolmo-data-snorkel.allen.ai/20251219_snorkel_batch010__llm_navqa_webvoyager_websites__102</t>
  </si>
  <si>
    <t>2ade599d-04f6-413e-a947-f9ad8f7e2c1f</t>
  </si>
  <si>
    <t>https://webolmo-data-snorkel.allen.ai/20260107_snorkel_batch003_step_tasks__shopping_search_and_filter__37</t>
  </si>
  <si>
    <t>There is only one option which is "$25 and over"</t>
  </si>
  <si>
    <t>e5b0abb1-bbc6-40db-8ac7-8864e0878b81</t>
  </si>
  <si>
    <t>https://webolmo-data-snorkel.allen.ai/20251219_snorkel_batch007__llm_navqa_onlinemind2web_websites__90</t>
  </si>
  <si>
    <t>5095e144-9868-4b97-a2d0-925e1bf0bdff</t>
  </si>
  <si>
    <t>https://webolmo-data-snorkel.allen.ai/20251126_snorkel_batch019__llm_step_webvoyager_websites__61</t>
  </si>
  <si>
    <t>Need to download PDF to view product warranty.</t>
  </si>
  <si>
    <t>b595eb85-1898-4c53-99ff-c3b212ab63d9</t>
  </si>
  <si>
    <t>https://webolmo-data-snorkel.allen.ai/20251126_snorkel_batch019__llm_step_webvoyager_websites__6</t>
  </si>
  <si>
    <t>3fbf6cbe-ea5f-470e-b595-f16987ca60b3</t>
  </si>
  <si>
    <t>https://webolmo-data-snorkel.allen.ai/20260107_snorkel_batch001_step_tasks__maps_directions__35</t>
  </si>
  <si>
    <t>e519d7ce-670e-4e5a-952a-0cc24901b8e2</t>
  </si>
  <si>
    <t>https://webolmo-data-snorkel.allen.ai/20251126_snorkel_batch015__llm_step_webvoyager_websites__36</t>
  </si>
  <si>
    <t>There is no apply filters</t>
  </si>
  <si>
    <t>de96a4ae-e82b-4072-b82e-161ab3ab47f5</t>
  </si>
  <si>
    <t>https://webolmo-data-snorkel.allen.ai/20260107_snorkel_batch001_step_tasks__news_search_and_open_nth__21</t>
  </si>
  <si>
    <t>d6ec2f8d-6956-4be1-9e60-de39118f972f</t>
  </si>
  <si>
    <t>https://webolmo-data-snorkel.allen.ai/20260107_snorkel_batch003_step_tasks__career_company_research__29</t>
  </si>
  <si>
    <t>There is no filters to apply.</t>
  </si>
  <si>
    <t>2d486368-0a5f-4d9e-b3a6-e14f1fc8c4e9</t>
  </si>
  <si>
    <t>https://webolmo-data-snorkel.allen.ai/20251210_snorkel_batch001__llm_step_onlinemind2web_websites__2</t>
  </si>
  <si>
    <t>The second question has no clue.</t>
  </si>
  <si>
    <t>142a3d04-f383-4c6e-92d7-02c8636a29a3</t>
  </si>
  <si>
    <t>https://webolmo-data-snorkel.allen.ai/20251126_snorkel_batch020__llm_step_popular_websites__41</t>
  </si>
  <si>
    <t>There is no article or guide on 'Investing for Beginners'.</t>
  </si>
  <si>
    <t>0c7f5a97-246c-4d43-af86-351e119827f2</t>
  </si>
  <si>
    <r>
      <rPr>
        <rFont val="Aptos Narrow"/>
        <color rgb="FF1155CC"/>
        <sz val="11.0"/>
        <u/>
      </rPr>
      <t>https://webolmo-data-snorkel.allen.ai/20251126_snorkel_batch015__llm_step_popular_websites__158</t>
    </r>
  </si>
  <si>
    <t>e9aa5177-b8ef-45f0-8ad0-3aa9c201268b</t>
  </si>
  <si>
    <r>
      <rPr>
        <rFont val="Aptos Narrow"/>
        <color rgb="FF1155CC"/>
        <sz val="11.0"/>
        <u/>
      </rPr>
      <t>https://webolmo-data-snorkel.allen.ai/20251126_snorkel_batch013__llm_step_webvoyager_websites__6</t>
    </r>
  </si>
  <si>
    <t>88f382a8-75b3-4f03-a926-7592c5d26a3f</t>
  </si>
  <si>
    <t>https://webolmo-data-snorkel.allen.ai/20251126_snorkel_batch017__llm_step_popular_websites__98</t>
  </si>
  <si>
    <t>98cb8375-c6cc-4bc5-a0f6-5f343d0ddaeb</t>
  </si>
  <si>
    <t>https://webolmo-data-snorkel.allen.ai/20251126_snorkel_batch019__llm_step_popular_websites__14</t>
  </si>
  <si>
    <t>99fb7971-1b7f-412d-bedf-8a4d468410d4</t>
  </si>
  <si>
    <t>https://webolmo-data-snorkel.allen.ai/20251210_snorkel_batch001__llm_step_webvoyager_websites__71</t>
  </si>
  <si>
    <t>d4fc44c5-2576-492c-b40b-e2056f3bf949</t>
  </si>
  <si>
    <r>
      <rPr>
        <rFont val="Aptos Narrow"/>
        <color rgb="FF1155CC"/>
        <sz val="11.0"/>
        <u/>
      </rPr>
      <t>https://webolmo-data-snorkel.allen.ai/20251126_snorkel_batch012__llm_step_webvoyager_websites__31</t>
    </r>
  </si>
  <si>
    <t>1 pop-up is removed in step 2.</t>
  </si>
  <si>
    <t>1812f784-16fd-4374-a47b-acb74d058039</t>
  </si>
  <si>
    <t>https://webolmo-data-snorkel.allen.ai/20260107_snorkel_batch001_step_tasks__general_news_nav__36</t>
  </si>
  <si>
    <t>Có popup quảng cáo</t>
  </si>
  <si>
    <t>d3490b2e-07ba-4f31-b4dd-f483407a28fb</t>
  </si>
  <si>
    <t>https://webolmo-data-snorkel.allen.ai/20251126_snorkel_batch011__llm_step_popular_websites__127</t>
  </si>
  <si>
    <t>e41b1195-2a57-456f-9e24-bc77c8f71bae</t>
  </si>
  <si>
    <t>https://webolmo-data-snorkel.allen.ai/20251210_snorkel_batch002__llm_step_webvoyager_websites__154</t>
  </si>
  <si>
    <t>40c0d928-20f7-4fc4-a383-e245feccf1bd</t>
  </si>
  <si>
    <t>https://webolmo-data-snorkel.allen.ai/20260113_snorkel_batch005_procedural__car_rental_search__5</t>
  </si>
  <si>
    <t>c3699131-81b9-4fdc-99fa-5fad15b582da</t>
  </si>
  <si>
    <t>https://webolmo-data-snorkel.allen.ai/20260113_snorkel_batch005_procedural__maps_route_planning__2</t>
  </si>
  <si>
    <t>e48297bb-b790-4042-bb22-406cd304f91a</t>
  </si>
  <si>
    <t>https://webolmo-data-snorkel.allen.ai/20260113_snorkel_batch001_procedural__images_search__11</t>
  </si>
  <si>
    <t>be254c82-9edf-42bc-8d9b-f7d328db215c</t>
  </si>
  <si>
    <t>https://webolmo-data-snorkel.allen.ai/20251126_snorkel_batch015__llm_step_onlinemind2web_websites__128</t>
  </si>
  <si>
    <t>There's no button called "Markets" to click</t>
  </si>
  <si>
    <t>fbf6898a-4db1-498e-8baf-978767c442b7</t>
  </si>
  <si>
    <r>
      <rPr>
        <rFont val="Aptos Narrow"/>
        <color rgb="FF1155CC"/>
        <sz val="11.0"/>
        <u/>
      </rPr>
      <t>https://webolmo-data-snorkel.allen.ai/20251210_snorkel_batch001__llm_step_popular_websites__107</t>
    </r>
  </si>
  <si>
    <t>The article is not relevant to the search result and did not return a list, instead, the top result was an article about Ozzy Osbourne influence on gaming music.</t>
  </si>
  <si>
    <t>06a9e5e3-744b-4c67-9c05-4f420612ff2c</t>
  </si>
  <si>
    <r>
      <rPr>
        <rFont val="Aptos Narrow"/>
        <color rgb="FF1155CC"/>
        <sz val="11.0"/>
        <u/>
      </rPr>
      <t>https://webolmo-data-snorkel.allen.ai/20251126_snorkel_batch017__llm_step_onlinemind2web_websites__92</t>
    </r>
  </si>
  <si>
    <t>074bda13-5a05-4e66-8c92-23a200b1277c</t>
  </si>
  <si>
    <r>
      <rPr>
        <rFont val="Aptos Narrow"/>
        <color rgb="FF1155CC"/>
        <sz val="11.0"/>
        <u/>
      </rPr>
      <t>https://webolmo-data-snorkel.allen.ai/20251210_snorkel_batch002__llm_step_onlinemind2web_websites__157</t>
    </r>
  </si>
  <si>
    <t>There's no article on the XR (extended-release)</t>
  </si>
  <si>
    <t>5594ad92-ded5-454e-9f9f-eb23ba6f2c67</t>
  </si>
  <si>
    <r>
      <rPr>
        <rFont val="Aptos Narrow"/>
        <color rgb="FF1155CC"/>
        <sz val="11.0"/>
        <u/>
      </rPr>
      <t>https://webolmo-data-snorkel.allen.ai/20260107_snorkel_batch003_step_tasks__hotel_search__23</t>
    </r>
  </si>
  <si>
    <t>Access denied. Don't have permission to access this website on this server</t>
  </si>
  <si>
    <t>1812488b-f52b-44b7-8cc7-78cc70188f99</t>
  </si>
  <si>
    <r>
      <rPr>
        <rFont val="Aptos Narrow"/>
        <color rgb="FF1155CC"/>
        <sz val="11.0"/>
        <u/>
      </rPr>
      <t>https://webolmo-data-snorkel.allen.ai/20260107_snorkel_batch003_step_tasks__food_recipes__29</t>
    </r>
  </si>
  <si>
    <t>The article did not match with the search</t>
  </si>
  <si>
    <t>fded2c7b-55d6-4dfa-977c-1e1471736410</t>
  </si>
  <si>
    <t>https://webolmo-data-snorkel.allen.ai/20260107_snorkel_batch003_step_tasks__food_recipes__20</t>
  </si>
  <si>
    <t>0 result found for the search</t>
  </si>
  <si>
    <t>d8319cf4-fd5f-414d-acd4-d3781ce9c938</t>
  </si>
  <si>
    <r>
      <rPr>
        <rFont val="Aptos Narrow"/>
        <color rgb="FF1155CC"/>
        <sz val="11.0"/>
        <u/>
      </rPr>
      <t>https://webolmo-data-snorkel.allen.ai/20260107_snorkel_batch003_step_tasks__career_company_research__5</t>
    </r>
  </si>
  <si>
    <t>There's no filter option</t>
  </si>
  <si>
    <t>e5a7693f-d8e3-4a34-abf8-a5dc75998a44</t>
  </si>
  <si>
    <r>
      <rPr>
        <rFont val="Aptos Narrow"/>
        <color rgb="FF1155CC"/>
        <sz val="11.0"/>
        <u/>
      </rPr>
      <t>https://webolmo-data-snorkel.allen.ai/20251219_snorkel_batch003__llm_navqa_webvoyager_websites__138</t>
    </r>
  </si>
  <si>
    <t>b55a29e1-1a50-41a6-a958-7a4c15dfa62d</t>
  </si>
  <si>
    <t>https://webolmo-data-snorkel.allen.ai/20260107_snorkel_batch001_step_tasks__maps_directions__3</t>
  </si>
  <si>
    <t>758872f9-a7d8-4cb8-ab99-9e3a98c382d5</t>
  </si>
  <si>
    <r>
      <rPr>
        <rFont val="Aptos Narrow"/>
        <color rgb="FF1155CC"/>
        <sz val="11.0"/>
        <u/>
      </rPr>
      <t>https://webolmo-data-snorkel.allen.ai/20251126_snorkel_batch020__llm_step_popular_websites__1</t>
    </r>
  </si>
  <si>
    <t>The top result is not relevant to the search</t>
  </si>
  <si>
    <t>97b82f48-5c63-495f-b02a-f54ad5321956</t>
  </si>
  <si>
    <t>https://webolmo-data-snorkel.allen.ai/20251210_snorkel_batch001__llm_step_webvoyager_websites__48</t>
  </si>
  <si>
    <t>79f27919-446b-4014-b6da-189e32ee19f8</t>
  </si>
  <si>
    <r>
      <rPr>
        <rFont val="Aptos Narrow"/>
        <color rgb="FF1155CC"/>
        <sz val="11.0"/>
        <u/>
      </rPr>
      <t>https://webolmo-data-snorkel.allen.ai/20251210_snorkel_batch001__llm_step_onlinemind2web_websites__146</t>
    </r>
  </si>
  <si>
    <t>There are no clue of 'FirstNet', 'Public Safety', or 'Public Sector'</t>
  </si>
  <si>
    <t>3871a880-7ac1-46dd-bab7-3ea838cf0725</t>
  </si>
  <si>
    <t>https://webolmo-data-snorkel.allen.ai/20251126_snorkel_batch012__llm_step_onlinemind2web_websites__130</t>
  </si>
  <si>
    <t>5cc6f97a-4e1d-4b2a-ae0c-86a39656e75a</t>
  </si>
  <si>
    <t>https://webolmo-data-snorkel.allen.ai/20260107_snorkel_batch002_step_tasks__maps_nearby__11</t>
  </si>
  <si>
    <t>f58ff238-adf7-4b87-8262-dc8cf76ee6e4</t>
  </si>
  <si>
    <t>https://webolmo-data-snorkel.allen.ai/20251126_snorkel_batch012__llm_step_webvoyager_websites__42</t>
  </si>
  <si>
    <t>Can't find any course related to NCLEX or nursing board exam prep.</t>
  </si>
  <si>
    <t>c0777c19-d355-4173-a3a6-9e861f0eea5a</t>
  </si>
  <si>
    <t>https://webolmo-data-snorkel.allen.ai/20251126_snorkel_batch013__llm_step_onlinemind2web_websites__161</t>
  </si>
  <si>
    <t>4e1712ab-3f05-4ea7-a32a-401f3363a601</t>
  </si>
  <si>
    <t>https://webolmo-data-snorkel.allen.ai/20251219_snorkel_batch009__llm_navqa_onlinemind2web_websites__136</t>
  </si>
  <si>
    <t>It has Dublin, but no option name Beijing on the list.</t>
  </si>
  <si>
    <t>2dfb51e1-15ff-4cd1-9de7-383a11238f2a</t>
  </si>
  <si>
    <t>https://webolmo-data-snorkel.allen.ai/20251121_snorkel_batch003__webvoyager_like__302</t>
  </si>
  <si>
    <t>4b93dce1-bf94-48e4-888f-a7bc25adee10</t>
  </si>
  <si>
    <t>https://webolmo-data-snorkel.allen.ai/20251126_snorkel_batch014__llm_step_popular_websites__9</t>
  </si>
  <si>
    <t>Access Denied/Request Blocked</t>
  </si>
  <si>
    <t>333af0ad-2fcd-4fa1-9d8f-1d618a6da8ea</t>
  </si>
  <si>
    <t>https://webolmo-data-snorkel.allen.ai/20251126_snorkel_batch015__llm_step_onlinemind2web_websites__39</t>
  </si>
  <si>
    <t>I don't see any section name with Motorsports.</t>
  </si>
  <si>
    <t>7834813d-384b-444b-9f3a-a0891da7f365</t>
  </si>
  <si>
    <t>https://webolmo-data-snorkel.allen.ai/20251126_snorkel_batch013__llm_step_popular_websites__98</t>
  </si>
  <si>
    <t>It was stuck at a step  2, so I couldn't complete the process.  I couldn't upload the file</t>
  </si>
  <si>
    <t>ca386190-7b4f-4a77-9044-8c1215026293</t>
  </si>
  <si>
    <t>https://webolmo-data-snorkel.allen.ai/20251126_snorkel_batch014__llm_step_popular_websites__37</t>
  </si>
  <si>
    <t>there are 2 pop-up appear at step 4: 1 pop-up is removed, 1 pop-up does not affect the process.</t>
  </si>
  <si>
    <t>f29f96d7-0ef5-4f05-b3fc-2d40a412d9aa</t>
  </si>
  <si>
    <r>
      <rPr>
        <rFont val="Aptos Narrow"/>
        <color rgb="FF1155CC"/>
        <sz val="11.0"/>
        <u/>
      </rPr>
      <t>https://webolmo-data-snorkel.allen.ai/20251126_snorkel_batch014__llm_step_popular_websites__143</t>
    </r>
  </si>
  <si>
    <t>done</t>
  </si>
  <si>
    <t>38f6c147-3a59-4f84-983a-220e31d20041</t>
  </si>
  <si>
    <t>https://webolmo-data-snorkel.allen.ai/20251126_snorkel_batch014__llm_step_popular_websites__143</t>
  </si>
  <si>
    <t>access is denied</t>
  </si>
  <si>
    <t>72890bb4-5350-436d-a1ad-6fb9b6138229</t>
  </si>
  <si>
    <t>https://webolmo-data-snorkel.allen.ai/20251126_snorkel_batch013__llm_step_popular_websites__156</t>
  </si>
  <si>
    <t>cant upload final answer.</t>
  </si>
  <si>
    <t>Nguyễn Hữu Đại</t>
  </si>
  <si>
    <t>7acb91d4-f8c0-426e-b6db-d02eeebefd84</t>
  </si>
  <si>
    <t>https://webolmo-data-snorkel.allen.ai/20260107_snorkel_batch003_step_tasks__car_rental_search__23</t>
  </si>
  <si>
    <t>Tool error, I actively captured the Incognito tab but the system did not recognize it.</t>
  </si>
  <si>
    <t>40840a50-ecd1-4993-81db-46c6ed891872</t>
  </si>
  <si>
    <t>https://webolmo-data-snorkel.allen.ai/20251210_snorkel_batch001__llm_step_popular_websites__27</t>
  </si>
  <si>
    <t>32d96c8f-1b22-4bed-bdf2-bcc46c1cec23</t>
  </si>
  <si>
    <t>https://webolmo-data-snorkel.allen.ai/20251210_snorkel_batch002__llm_step_popular_websites__70</t>
  </si>
  <si>
    <t>There is no article about recent achievement by a Swiss athlete.</t>
  </si>
  <si>
    <t>19939e33-56a1-412a-8726-b74634ce7a21</t>
  </si>
  <si>
    <t>https://webolmo-data-snorkel.allen.ai/20251210_snorkel_batch001__llm_step_webvoyager_websites__75</t>
  </si>
  <si>
    <t>6d2ee266-a46b-40cc-ab12-a39e3cd81bf0</t>
  </si>
  <si>
    <t>https://webolmo-data-snorkel.allen.ai/20251126_snorkel_batch016__llm_step_popular_websites__90</t>
  </si>
  <si>
    <t>There is no filter $50 to $150.</t>
  </si>
  <si>
    <t>ec3ad9ab-4907-4ff6-b2dc-510853aae448</t>
  </si>
  <si>
    <t>https://webolmo-data-snorkel.allen.ai/20251210_snorkel_batch002__llm_step_onlinemind2web_websites__40</t>
  </si>
  <si>
    <t>69bd3582-96b4-4749-9580-a7464cec2480</t>
  </si>
  <si>
    <t>https://webolmo-data-snorkel.allen.ai/20251210_snorkel_batch001__llm_step_popular_websites__112</t>
  </si>
  <si>
    <t>There is no category T-shirt.</t>
  </si>
  <si>
    <t>2aea315c-a900-4128-b367-dfe82d095a8f</t>
  </si>
  <si>
    <t>https://webolmo-data-snorkel.allen.ai/20251126_snorkel_batch011__llm_step_onlinemind2web_websites__113</t>
  </si>
  <si>
    <t>Need to fill age of children to submit.</t>
  </si>
  <si>
    <t>d221a473-3718-499b-933d-29f47bbf2662</t>
  </si>
  <si>
    <t>https://webolmo-data-snorkel.allen.ai/20251126_snorkel_batch012__llm_step_webvoyager_websites__93</t>
  </si>
  <si>
    <t>beb9cf51-f6e9-42de-a19e-7acf4ff84bf6</t>
  </si>
  <si>
    <t>https://webolmo-data-snorkel.allen.ai/20260107_snorkel_batch002_step_tasks__real_estate_search_and_filter__17</t>
  </si>
  <si>
    <t>879079fa-1fb9-41f1-9a3a-d0f091034a8a</t>
  </si>
  <si>
    <t>https://webolmo-data-snorkel.allen.ai/20260107_snorkel_batch003_step_tasks__car_rental_search__48</t>
  </si>
  <si>
    <t>Có popup quảng cáo và privacy</t>
  </si>
  <si>
    <t>7075a6b0-8125-4492-b0e4-a4f0ff18396c</t>
  </si>
  <si>
    <t>https://webolmo-data-snorkel.allen.ai/20260113_snorkel_batch007_procedural__find_videos__103</t>
  </si>
  <si>
    <t>Không thấy thông tin view count</t>
  </si>
  <si>
    <t>8ff560df-e2aa-4e28-bdd7-b15769b73f90</t>
  </si>
  <si>
    <t>https://webolmo-data-snorkel.allen.ai/20251126_snorkel_batch018__llm_step_webvoyager_websites__81</t>
  </si>
  <si>
    <t>Có 2 popup quảng cáo</t>
  </si>
  <si>
    <t>7eabd0e2-e297-405d-8d65-63ccd1489319</t>
  </si>
  <si>
    <t>https://webolmo-data-snorkel.allen.ai/20251210_snorkel_batch002__llm_step_popular_websites__28</t>
  </si>
  <si>
    <t>Không tìm thấy thông tin yêu cầu</t>
  </si>
  <si>
    <t>b6f855d6-fb43-4165-9eb4-912f0402f46a</t>
  </si>
  <si>
    <t>https://webolmo-data-snorkel.allen.ai/20260113_snorkel_batch003_procedural__maps_directions_with_mode__7</t>
  </si>
  <si>
    <t>4c3cb0a6-d8d3-4bbf-beaa-da6a4f04d1a9</t>
  </si>
  <si>
    <t>https://webolmo-data-snorkel.allen.ai/20260113_snorkel_batch002_procedural__news_search__2</t>
  </si>
  <si>
    <t>b7cf61ad-d8ee-440b-961f-d61e1bc16819</t>
  </si>
  <si>
    <t>https://webolmo-data-snorkel.allen.ai/20251210_snorkel_batch003__llm_step_webvoyager_websites__76</t>
  </si>
  <si>
    <t>4cfd5540-a437-45a0-93cf-d69d02018596</t>
  </si>
  <si>
    <r>
      <rPr>
        <rFont val="Aptos Narrow"/>
        <color rgb="FF1155CC"/>
        <sz val="11.0"/>
        <u/>
      </rPr>
      <t>https://webolmo-data-snorkel.allen.ai/20251210_snorkel_batch002__llm_step_webvoyager_websites__77</t>
    </r>
  </si>
  <si>
    <t>4482f52a-1108-4f27-aa39-8ddc57a94885</t>
  </si>
  <si>
    <t>https://webolmo-data-snorkel.allen.ai/20251210_snorkel_batch009__llm_step_webvoyager_websites__11</t>
  </si>
  <si>
    <t>The result did not match with the requirement (design resources vs system design)</t>
  </si>
  <si>
    <t>cbfe1e4a-9447-4276-b682-ec82cdc55311</t>
  </si>
  <si>
    <t>https://webolmo-data-snorkel.allen.ai/20251210_snorkel_batch009__llm_step_onlinemind2web_websites__4</t>
  </si>
  <si>
    <t>80b2e848-8108-4648-ac08-c511fa4ecf25</t>
  </si>
  <si>
    <t>https://webolmo-data-snorkel.allen.ai/20251210_snorkel_batch010__llm_step_onlinemind2web_websites__56</t>
  </si>
  <si>
    <t>Require further personal information to be able to get the estimated date.</t>
  </si>
  <si>
    <t>bf64ae75-0a8b-40a2-8dfb-fdbd9f4e81f6</t>
  </si>
  <si>
    <r>
      <rPr>
        <rFont val="Aptos Narrow"/>
        <color rgb="FF1155CC"/>
        <sz val="11.0"/>
        <u/>
      </rPr>
      <t>https://webolmo-data-snorkel.allen.ai/20251210_snorkel_batch003__llm_step_onlinemind2web_websites__36</t>
    </r>
  </si>
  <si>
    <t>No related document to the search</t>
  </si>
  <si>
    <t>18cd3c51-8156-4d65-8dcd-1efb7f23cad9</t>
  </si>
  <si>
    <t>https://webolmo-data-snorkel.allen.ai/20251121_snorkel_batch006__webvoyager_like__2</t>
  </si>
  <si>
    <t xml:space="preserve">                                                                                                                                                                                                                                                                                                                                                                                                                                                                                                                                                                                                                                                                                                                                                                                                                                                                                                                                                                                                                                                                                                                                                                                                                                         </t>
  </si>
  <si>
    <t>2c9553f0-2357-4c9b-af56-83dfbcde5b66</t>
  </si>
  <si>
    <r>
      <rPr>
        <rFont val="Aptos Narrow"/>
        <color rgb="FF1155CC"/>
        <sz val="11.0"/>
        <u/>
      </rPr>
      <t>https://webolmo-data-snorkel.allen.ai/20260113_snorkel_batch002_procedural__finance_news_nav_and_open_first__2</t>
    </r>
  </si>
  <si>
    <t>326debf2-9b54-433d-9f6b-5f5a8f7237bf</t>
  </si>
  <si>
    <r>
      <rPr>
        <rFont val="Aptos Narrow"/>
        <color rgb="FF1155CC"/>
        <sz val="11.0"/>
        <u/>
      </rPr>
      <t>https://webolmo-data-snorkel.allen.ai/20251126_snorkel_batch015__llm_step_popular_websites__92</t>
    </r>
  </si>
  <si>
    <t>9220b5be-e103-4a29-9eb1-af4a351deee3</t>
  </si>
  <si>
    <t>https://webolmo-data-snorkel.allen.ai/20251126_snorkel_batch015__llm_step_webvoyager_websites__71</t>
  </si>
  <si>
    <t>Data not available</t>
  </si>
  <si>
    <t>a047bac1-53fc-4cc8-b2d7-eb72761ba955</t>
  </si>
  <si>
    <t>https://webolmo-data-snorkel.allen.ai/20260113_snorkel_batch006_procedural__career_find_salary__5</t>
  </si>
  <si>
    <t>bf31e177-fb11-45fe-b1ed-9083a65b0f64</t>
  </si>
  <si>
    <r>
      <rPr>
        <rFont val="Aptos Narrow"/>
        <color rgb="FF1155CC"/>
        <sz val="11.0"/>
        <u/>
      </rPr>
      <t>https://webolmo-data-snorkel.allen.ai/20251210_snorkel_batch009__llm_step_onlinemind2web_websites__158</t>
    </r>
  </si>
  <si>
    <t>043bc76c-d7f2-4959-8d8f-6193219c2c42</t>
  </si>
  <si>
    <t>https://webolmo-data-snorkel.allen.ai/20251210_snorkel_batch006__llm_step_webvoyager_websites__97</t>
  </si>
  <si>
    <t>World' subsection within Newsand headline related to a recent major comedy event or comedian appears.</t>
  </si>
  <si>
    <t>abb7cc80-e0ce-4d49-8b7e-c5cb7b1b166d</t>
  </si>
  <si>
    <t>https://webolmo-data-snorkel.allen.ai/20251210_snorkel_batch006__llm_step_webvoyager_websites__79</t>
  </si>
  <si>
    <t>b46cff42-5a93-47ac-a632-202a3639a8bd</t>
  </si>
  <si>
    <t>https://webolmo-data-snorkel.allen.ai/20251210_snorkel_batch007__llm_step_webvoyager_websites__19</t>
  </si>
  <si>
    <t>91e3c4ec-a3a7-4533-83fe-fec4d5511ac4</t>
  </si>
  <si>
    <t>https://webolmo-data-snorkel.allen.ai/20260113_snorkel_batch005_procedural__general_news_nav__8</t>
  </si>
  <si>
    <t>615df029-1117-4e5b-8a3d-fc7ddaecebe1</t>
  </si>
  <si>
    <t>https://webolmo-data-snorkel.allen.ai/20260113_snorkel_batch007_procedural__book_event_tickets__103</t>
  </si>
  <si>
    <t>new tab 'Wicked The Musical Tickets' appears. A pop-up 'How many tickets?' appears.</t>
  </si>
  <si>
    <t>934e2a7f-f1b2-4e64-bc1d-e28398dc86d7</t>
  </si>
  <si>
    <t>https://webolmo-data-snorkel.allen.ai/20260113_snorkel_batch003_procedural__career_job_search__6</t>
  </si>
  <si>
    <t>includes_benefits filter does not appear</t>
  </si>
  <si>
    <t>13eb32f7-fc50-47bd-8c48-cd989f7a7fc0</t>
  </si>
  <si>
    <t>https://webolmo-data-snorkel.allen.ai/20260107_snorkel_batch002_step_tasks__maps_travel_time__49</t>
  </si>
  <si>
    <t>9c4b8ec5-f68b-4b77-8c20-4a12eae80950</t>
  </si>
  <si>
    <t>https://webolmo-data-snorkel.allen.ai/20251126_snorkel_batch013__llm_step_webvoyager_websites__152</t>
  </si>
  <si>
    <t>2f244e0c-7e91-4ad9-8d06-b3fa5c9dca5c</t>
  </si>
  <si>
    <t>https://webolmo-data-snorkel.allen.ai/20251126_snorkel_batch017__llm_step_popular_websites__74</t>
  </si>
  <si>
    <t>location does not appear</t>
  </si>
  <si>
    <t>fec65eb6-091d-4dc3-8147-d2eafe1fcc37</t>
  </si>
  <si>
    <t>https://webolmo-data-snorkel.allen.ai/20260113_snorkel_batch003_procedural__sports_news_nav__10</t>
  </si>
  <si>
    <t>8ff46583-ab8c-4d42-b95f-35783ab96e94</t>
  </si>
  <si>
    <t>https://webolmo-data-snorkel.allen.ai/20251210_snorkel_batch010__llm_step_webvoyager_websites__91</t>
  </si>
  <si>
    <t>6136ec97-529b-4e12-a738-f6711001d113</t>
  </si>
  <si>
    <t>https://webolmo-data-snorkel.allen.ai/20251121_snorkel_batch001__webvoyager_like__239</t>
  </si>
  <si>
    <t>dcc26b6a-4a6f-4408-b9af-b11e49f448c5</t>
  </si>
  <si>
    <t>https://webolmo-data-snorkel.allen.ai/20251210_snorkel_batch007__llm_step_webvoyager_websites__106</t>
  </si>
  <si>
    <t>d349a5db-01dc-4146-8f4d-79c04c1cdb37</t>
  </si>
  <si>
    <t>https://webolmo-data-snorkel.allen.ai/20251210_snorkel_batch006__llm_step_popular_websites__132</t>
  </si>
  <si>
    <t>There is no result for battery for 2016 Ford Transit Connect.</t>
  </si>
  <si>
    <t>d0abe077-6811-4930-8879-d267f3404532</t>
  </si>
  <si>
    <t>https://webolmo-data-snorkel.allen.ai/20251210_snorkel_batch009__llm_step_webvoyager_websites__70</t>
  </si>
  <si>
    <t>9077a328-1a00-4227-9034-68597ef9a68d</t>
  </si>
  <si>
    <t>https://webolmo-data-snorkel.allen.ai/20251126_snorkel_batch014__llm_step_popular_websites__59</t>
  </si>
  <si>
    <t>There is no Anime &amp; Manga section on the main page.</t>
  </si>
  <si>
    <t>9455b10c-918c-471b-8829-2a5a6481bb8a</t>
  </si>
  <si>
    <t>https://webolmo-data-snorkel.allen.ai/20260107_snorkel_batch002_step_tasks__real_estate_search_and_filter__37</t>
  </si>
  <si>
    <t>66dee4cc-7ca4-4707-ba9c-80b82fd80f1d</t>
  </si>
  <si>
    <t>https://webolmo-data-snorkel.allen.ai/20251219_snorkel_batch001__llm_navqa_popular_websites__32</t>
  </si>
  <si>
    <t>e1f45c3d-e33b-496b-93de-5bae81a732b5</t>
  </si>
  <si>
    <t>https://webolmo-data-snorkel.allen.ai/20260113_snorkel_batch001_procedural__maps_distance__11</t>
  </si>
  <si>
    <t>ef00eb16-1965-4394-bf98-5b9401f4a9fc</t>
  </si>
  <si>
    <t>https://webolmo-data-snorkel.allen.ai/20260107_snorkel_batch003_step_tasks__hotel_search__5</t>
  </si>
  <si>
    <t>Need to specifically say how many children and how many adults the guest has.</t>
  </si>
  <si>
    <t>8e64bef5-61b8-400a-bda7-3d1896fc8971</t>
  </si>
  <si>
    <t>https://webolmo-data-snorkel.allen.ai/20260113_snorkel_batch002_procedural__health_diagnosis_search_and_open_first__3</t>
  </si>
  <si>
    <t>a1d5456e-09e4-4b1b-9eca-e27890a8b5e6</t>
  </si>
  <si>
    <t>https://webolmo-data-snorkel.allen.ai/20251126_snorkel_batch013__llm_step_onlinemind2web_websites__55</t>
  </si>
  <si>
    <t>có 1 cookie popup</t>
  </si>
  <si>
    <t>8948c554-0e59-4418-93f1-a4724542f995</t>
  </si>
  <si>
    <t>https://webolmo-data-snorkel.allen.ai/20251210_snorkel_batch006__llm_step_onlinemind2web_websites__144</t>
  </si>
  <si>
    <t>4b025988-35c7-4571-b1b1-fb12670f4f59</t>
  </si>
  <si>
    <t>https://webolmo-data-snorkel.allen.ai/20260113_snorkel_batch006_procedural__health_diagnosis_search_and_open_first__5</t>
  </si>
  <si>
    <t>4953e36c-0c28-457a-8dfa-1d17f05de919</t>
  </si>
  <si>
    <t>https://webolmo-data-snorkel.allen.ai/20251210_snorkel_batch009__llm_step_onlinemind2web_websites__150</t>
  </si>
  <si>
    <t>af2f17e4-4c43-4710-ba06-f261789d09b6</t>
  </si>
  <si>
    <t>https://webolmo-data-snorkel.allen.ai/20251210_snorkel_batch008__llm_step_webvoyager_websites__150</t>
  </si>
  <si>
    <t>330add14-50e8-4a49-8f4e-f5b9e4b68caa</t>
  </si>
  <si>
    <t>https://webolmo-data-snorkel.allen.ai/20251126_snorkel_batch013__llm_step_onlinemind2web_websites__18</t>
  </si>
  <si>
    <t>d11fb1db-f5cf-4498-997d-978b96ddf3f8</t>
  </si>
  <si>
    <t>https://webolmo-data-snorkel.allen.ai/20251210_snorkel_batch009__llm_step_onlinemind2web_websites__160</t>
  </si>
  <si>
    <t>no result in step 2</t>
  </si>
  <si>
    <t>1dedfdd6-738f-41a3-90e7-1ef3cf994a4d</t>
  </si>
  <si>
    <t>https://webolmo-data-snorkel.allen.ai/20251210_snorkel_batch009__llm_step_webvoyager_websites__92</t>
  </si>
  <si>
    <t>cab0e293-314a-4664-9890-d94bcc1776c3</t>
  </si>
  <si>
    <t>https://webolmo-data-snorkel.allen.ai/20251126_snorkel_batch011__llm_step_popular_websites__111</t>
  </si>
  <si>
    <t>stuck in step 4</t>
  </si>
  <si>
    <t>ee2ab9e8-acb4-4874-acd9-a1e87bf675f3</t>
  </si>
  <si>
    <t>https://webolmo-data-snorkel.allen.ai/20260113_snorkel_batch001_procedural__maps_satellite_view__10</t>
  </si>
  <si>
    <t>8f8fad18-1fab-4c75-a62f-ab7592312718</t>
  </si>
  <si>
    <t>https://webolmo-data-snorkel.allen.ai/20251210_snorkel_batch004__llm_step_webvoyager_websites__82</t>
  </si>
  <si>
    <t>bf5a7ba7-a62d-4390-b6f1-30d31ac41d58</t>
  </si>
  <si>
    <t>https://webolmo-data-snorkel.allen.ai/20251126_snorkel_batch012__llm_step_onlinemind2web_websites__106</t>
  </si>
  <si>
    <t>dfba65fa-14f9-4e1c-8210-d8220d522be1</t>
  </si>
  <si>
    <t>https://webolmo-data-snorkel.allen.ai/20251210_snorkel_batch007__llm_step_webvoyager_websites__28</t>
  </si>
  <si>
    <t>19/01</t>
  </si>
  <si>
    <t>adbd346d-0c00-4e84-8a82-53926b8b52eb</t>
  </si>
  <si>
    <t>https://webolmo-data-snorkel.allen.ai/20260113_snorkel_batch001_procedural__real_estate_search_and_filter__11</t>
  </si>
  <si>
    <t>new tab appear in step 5</t>
  </si>
  <si>
    <t>337b64b1-c09e-45a9-9110-6bb20672e02a</t>
  </si>
  <si>
    <t>https://webolmo-data-snorkel.allen.ai/20260113_snorkel_batch004_procedural__general_news_nav__9</t>
  </si>
  <si>
    <t>0f6eb69a-7114-4f43-9e33-7ac1034e33f1</t>
  </si>
  <si>
    <t>https://webolmo-data-snorkel.allen.ai/20260113_snorkel_batch001_procedural__games_slow_paced_arcade__8</t>
  </si>
  <si>
    <t>91d79fd5-b892-4756-80aa-b9dabd4d507d</t>
  </si>
  <si>
    <t>https://webolmo-data-snorkel.allen.ai/20251210_snorkel_batch007__llm_step_popular_websites__73</t>
  </si>
  <si>
    <t>73a04d01-c7d8-4b1c-8ece-05babb4431f7</t>
  </si>
  <si>
    <t>https://webolmo-data-snorkel.allen.ai/20251126_snorkel_batch018__llm_step_webvoyager_websites__110</t>
  </si>
  <si>
    <t>new tab appear.</t>
  </si>
  <si>
    <t>b24cc3bc-0789-443c-a62e-8e55de61ed68</t>
  </si>
  <si>
    <t>https://webolmo-data-snorkel.allen.ai/20260113_snorkel_batch002_procedural__maps_route_planning__2</t>
  </si>
  <si>
    <t>20/1</t>
  </si>
  <si>
    <t>6a2fc316-7f03-4823-a673-777493392b5b</t>
  </si>
  <si>
    <t>https://webolmo-data-snorkel.allen.ai/20251210_snorkel_batch003__llm_step_popular_websites__131</t>
  </si>
  <si>
    <t>fb990b67-7c5e-4f8b-aa5e-115bce700bd3</t>
  </si>
  <si>
    <r>
      <rPr>
        <rFont val="Arial"/>
        <color rgb="FF1155CC"/>
        <sz val="11.0"/>
        <u/>
      </rPr>
      <t>https://webolmo-data-snorkel.allen.ai/20251210_snorkel_batch001__llm_step_webvoyager_websites__7</t>
    </r>
    <r>
      <rPr>
        <rFont val="Arial"/>
        <sz val="11.0"/>
      </rPr>
      <t>7</t>
    </r>
  </si>
  <si>
    <t>50f5f30e-b5f5-4917-963a-5ae62e238229</t>
  </si>
  <si>
    <t>https://webolmo-data-snorkel.allen.ai/20251126_snorkel_batch020__llm_step_webvoyager_websites__138</t>
  </si>
  <si>
    <t>c3c6d998-20fd-471f-bb3d-f2ac1c966003</t>
  </si>
  <si>
    <t>https://webolmo-data-snorkel.allen.ai/20260113_snorkel_batch003_procedural__maps_travel_time__8</t>
  </si>
  <si>
    <t>cycling directions dont appear</t>
  </si>
  <si>
    <t>d3f2c69d-610f-4499-aeba-de41ed23310d</t>
  </si>
  <si>
    <t>https://webolmo-data-snorkel.allen.ai/20260113_snorkel_batch002_procedural__career_company_research__2</t>
  </si>
  <si>
    <t>filter dont appear in step 4</t>
  </si>
  <si>
    <t>fbe1abc1-54aa-403e-8242-2360d9f43e19</t>
  </si>
  <si>
    <t>https://webolmo-data-snorkel.allen.ai/20251210_snorkel_batch002__llm_step_popular_websites__33</t>
  </si>
  <si>
    <t>f0f2ff7c-1f8a-457b-a542-fe12c72e2c29</t>
  </si>
  <si>
    <t>https://webolmo-data-snorkel.allen.ai/20260113_snorkel_batch007_procedural__find_videos__123</t>
  </si>
  <si>
    <t>duration=20-60 minutes, view count=100K-1M in step 3 dont appear</t>
  </si>
  <si>
    <t>22/1</t>
  </si>
  <si>
    <t>821e6215-8253-4554-9f2f-62f2d0422c6c</t>
  </si>
  <si>
    <t>https://webolmo-data-snorkel.allen.ai/20251210_snorkel_batch009__llm_step_webvoyager_websites__10</t>
  </si>
  <si>
    <t>24610bb6-e8b4-4ed3-8079-fb745054f527</t>
  </si>
  <si>
    <t>https://webolmo-data-snorkel.allen.ai/20251219_snorkel_batch004__llm_navqa_onlinemind2web_websites__93</t>
  </si>
  <si>
    <t>69313ea3-b608-49e6-b3da-6a691090a634</t>
  </si>
  <si>
    <t>https://webolmo-data-snorkel.allen.ai/20260113_snorkel_batch005_procedural__maps_nearby__2</t>
  </si>
  <si>
    <t>There is no nearby button.</t>
  </si>
  <si>
    <t>ea194d35-052d-485d-9e09-d5ee65c466d9</t>
  </si>
  <si>
    <t>https://webolmo-data-snorkel.allen.ai/20251210_snorkel_batch002__llm_step_webvoyager_websites__92</t>
  </si>
  <si>
    <t>2d83c8ab-a53b-40ec-aa24-d0d3e81d7e5a</t>
  </si>
  <si>
    <t>https://webolmo-data-snorkel.allen.ai/20251210_snorkel_batch008__llm_step_popular_websites__2</t>
  </si>
  <si>
    <t>There is no Sectors or Industry Performance page.</t>
  </si>
  <si>
    <t>382c755c-5939-42b1-8973-ec58515cfc5b</t>
  </si>
  <si>
    <t>https://webolmo-data-snorkel.allen.ai/20251126_snorkel_batch011__llm_step_webvoyager_websites__119</t>
  </si>
  <si>
    <t>f238190c-05f3-42ae-8d02-1140518634ef</t>
  </si>
  <si>
    <t>https://webolmo-data-snorkel.allen.ai/20251126_snorkel_batch012__llm_step_webvoyager_websites__33</t>
  </si>
  <si>
    <t>There is no author's argument for less regulation in housing</t>
  </si>
  <si>
    <t>4026cc7d-2e2f-4799-9917-fca1399a8f83</t>
  </si>
  <si>
    <t>https://webolmo-data-snorkel.allen.ai/20251210_snorkel_batch009__llm_step_webvoyager_websites__47</t>
  </si>
  <si>
    <t>There is no recipe that includes chicken and lists nutrition facts.</t>
  </si>
  <si>
    <t>91dc489b-6936-44dd-be81-ae845d4bcf18</t>
  </si>
  <si>
    <t>https://webolmo-data-snorkel.allen.ai/20251210_snorkel_batch005__llm_step_webvoyager_websites__18</t>
  </si>
  <si>
    <t>fc85d70a-fc24-417f-b64c-deb9b76865ae</t>
  </si>
  <si>
    <t>https://webolmo-data-snorkel.allen.ai/20251126_snorkel_batch019__llm_step_onlinemind2web_websites__98</t>
  </si>
  <si>
    <t>bbd6bfab-4ee5-4c1f-ace6-9b011096eae0</t>
  </si>
  <si>
    <t>https://webolmo-data-snorkel.allen.ai/20251210_snorkel_batch001__llm_step_popular_websites__158</t>
  </si>
  <si>
    <t>There is no filters to add information.</t>
  </si>
  <si>
    <t>d0a9e63f-61d1-4c57-934f-3c205b2ea7d5</t>
  </si>
  <si>
    <t>https://webolmo-data-snorkel.allen.ai/20260113_snorkel_batch002_procedural__general_news_nav__7</t>
  </si>
  <si>
    <t>Nguyễn Phúc Quảng</t>
  </si>
  <si>
    <t>7389c52e-a18a-4fb1-9384-0f16a9e0d351</t>
  </si>
  <si>
    <t>https://webolmo-data-snorkel.allen.ai/20251126_snorkel_batch016__llm_step_popular_websites__131</t>
  </si>
  <si>
    <t>There is no  issues about climate change or environmental protection published between 2018 and 2022.</t>
  </si>
  <si>
    <t>196e9f2f-8936-4ba1-906c-442202386cf6</t>
  </si>
  <si>
    <t>https://webolmo-data-snorkel.allen.ai/20251210_snorkel_batch002__llm_step_popular_websites__103</t>
  </si>
  <si>
    <t>3e76f6ea-e235-419b-87c9-1abf9aa6eee6</t>
  </si>
  <si>
    <t>https://webolmo-data-snorkel.allen.ai/20251121_snorkel_batch008__webvoyager_like__410</t>
  </si>
  <si>
    <t>7332c4a3-3cbe-4e70-979e-63119ca4f7b9</t>
  </si>
  <si>
    <t>https://webolmo-data-snorkel.allen.ai/20251126_snorkel_batch014__llm_step_onlinemind2web_websites__78</t>
  </si>
  <si>
    <t>There is no datasets found.</t>
  </si>
  <si>
    <t>cda71efb-de8f-46f5-97f9-a5fbafcd9175</t>
  </si>
  <si>
    <t>https://webolmo-data-snorkel.allen.ai/20251219_snorkel_batch001__llm_navqa_popular_websites__50</t>
  </si>
  <si>
    <t>requiring zip code.</t>
  </si>
  <si>
    <t>3c2bec1f-e0bc-4d13-8fbc-459eb0fca8d2</t>
  </si>
  <si>
    <t>https://webolmo-data-snorkel.allen.ai/20251210_snorkel_batch008__llm_step_onlinemind2web_websites__117</t>
  </si>
  <si>
    <t>The filter does not have Year: 2023.</t>
  </si>
  <si>
    <t>295e9bee-39c5-4011-b914-9baa19cfdc5d</t>
  </si>
  <si>
    <t>https://webolmo-data-snorkel.allen.ai/20251210_snorkel_batch006__llm_step_popular_websites__84</t>
  </si>
  <si>
    <t>I don' find the fee of this puppy.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</si>
</sst>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
    <numFmt numFmtId="165" formatCode="0.0"/>
    <numFmt numFmtId="166" formatCode="m/d"/>
  </numFmts>
  <fonts count="61">
    <font>
      <sz val="11.0"/>
      <color theme="1"/>
      <name val="Aptos Narrow"/>
      <scheme val="minor"/>
    </font>
    <font>
      <b/>
      <color rgb="FFFFFFFF"/>
      <name val="Aptos Narrow"/>
    </font>
    <font>
      <color theme="1"/>
      <name val="Aptos Narrow"/>
    </font>
    <font>
      <u/>
      <color rgb="FF0000FF"/>
    </font>
    <font>
      <b/>
      <color rgb="FFFFFFFF"/>
      <name val="Arial"/>
    </font>
    <font>
      <b/>
      <sz val="11.0"/>
      <color rgb="FF000000"/>
      <name val="Arial"/>
    </font>
    <font/>
    <font>
      <b/>
      <color rgb="FF000000"/>
      <name val="Arial"/>
    </font>
    <font>
      <b/>
      <sz val="13.0"/>
      <color theme="1"/>
      <name val="Arial"/>
    </font>
    <font>
      <b/>
      <sz val="13.0"/>
      <color rgb="FF980000"/>
      <name val="Arial"/>
    </font>
    <font>
      <b/>
      <sz val="13.0"/>
      <color theme="1"/>
      <name val="Aptos Narrow"/>
    </font>
    <font>
      <color theme="1"/>
      <name val="Arial"/>
    </font>
    <font>
      <b/>
      <sz val="13.0"/>
      <color rgb="FF980000"/>
      <name val="Aptos Narrow"/>
    </font>
    <font>
      <b/>
      <sz val="11.0"/>
      <color rgb="FFFFFFFF"/>
      <name val="Aptos Narrow"/>
    </font>
    <font>
      <b/>
      <sz val="11.0"/>
      <color rgb="FFFFFFFF"/>
      <name val="Arial"/>
    </font>
    <font>
      <sz val="11.0"/>
      <color rgb="FFFF0000"/>
      <name val="Aptos Narrow"/>
    </font>
    <font>
      <u/>
      <sz val="11.0"/>
      <color rgb="FFFF0000"/>
      <name val="Arial"/>
    </font>
    <font>
      <u/>
      <sz val="11.0"/>
      <color rgb="FF467886"/>
      <name val="Arial"/>
    </font>
    <font>
      <u/>
      <sz val="11.0"/>
      <color theme="10"/>
      <name val="Aptos Narrow"/>
    </font>
    <font>
      <sz val="11.0"/>
      <color rgb="FFFF0000"/>
      <name val="Arial"/>
    </font>
    <font>
      <sz val="11.0"/>
      <color theme="1"/>
      <name val="Aptos Narrow"/>
    </font>
    <font>
      <color rgb="FFFF0000"/>
      <name val="Arial"/>
    </font>
    <font>
      <u/>
      <sz val="11.0"/>
      <color rgb="FFFF0000"/>
      <name val="Aptos Narrow"/>
    </font>
    <font>
      <u/>
      <sz val="11.0"/>
      <color theme="10"/>
      <name val="Aptos Narrow"/>
    </font>
    <font>
      <u/>
      <sz val="11.0"/>
      <color rgb="FFFF0000"/>
      <name val="Aptos Narrow"/>
    </font>
    <font>
      <u/>
      <sz val="11.0"/>
      <color rgb="FFFF0000"/>
      <name val="Arial"/>
    </font>
    <font>
      <sz val="11.0"/>
      <color theme="1"/>
      <name val="Arial"/>
    </font>
    <font>
      <u/>
      <sz val="11.0"/>
      <color rgb="FF467886"/>
      <name val="Arial"/>
    </font>
    <font>
      <color rgb="FFFF0000"/>
      <name val="Aptos Narrow"/>
    </font>
    <font>
      <color rgb="FFFFFFFF"/>
      <name val="Aptos Narrow"/>
    </font>
    <font>
      <b/>
      <sz val="11.0"/>
      <color theme="1"/>
      <name val="Aptos Narrow"/>
    </font>
    <font>
      <u/>
      <sz val="11.0"/>
      <color rgb="FF467886"/>
      <name val="Arial"/>
    </font>
    <font>
      <u/>
      <color rgb="FF0000FF"/>
    </font>
    <font>
      <u/>
      <color theme="1"/>
      <name val="Aptos Narrow"/>
    </font>
    <font>
      <u/>
      <sz val="11.0"/>
      <color theme="10"/>
      <name val="Aptos Narrow"/>
    </font>
    <font>
      <u/>
      <color rgb="FF0000FF"/>
      <name val="Arial"/>
    </font>
    <font>
      <u/>
      <sz val="11.0"/>
      <color rgb="FF467886"/>
      <name val="Arial"/>
    </font>
    <font>
      <u/>
      <color rgb="FF0000FF"/>
    </font>
    <font>
      <u/>
      <color rgb="FF467886"/>
      <name val="Arial"/>
    </font>
    <font>
      <u/>
      <color rgb="FF0000FF"/>
      <name val="Arial"/>
    </font>
    <font>
      <u/>
      <sz val="11.0"/>
      <color rgb="FF467886"/>
      <name val="Arial"/>
    </font>
    <font>
      <u/>
      <sz val="11.0"/>
      <color rgb="FF467886"/>
      <name val="Aptos Narrow"/>
    </font>
    <font>
      <u/>
      <sz val="12.0"/>
      <color rgb="FF0000FF"/>
      <name val="Inter"/>
    </font>
    <font>
      <u/>
      <sz val="12.0"/>
      <color rgb="FF467886"/>
      <name val="Inter"/>
    </font>
    <font>
      <u/>
      <sz val="11.0"/>
      <color rgb="FF0000FF"/>
      <name val="Aptos Narrow"/>
    </font>
    <font>
      <u/>
      <sz val="11.0"/>
      <color rgb="FF467886"/>
      <name val="Aptos Narrow"/>
    </font>
    <font>
      <u/>
      <sz val="11.0"/>
      <color rgb="FF0000FF"/>
      <name val="Arial"/>
    </font>
    <font>
      <u/>
      <sz val="11.0"/>
      <color rgb="FF467886"/>
      <name val="Arial"/>
    </font>
    <font>
      <u/>
      <sz val="11.0"/>
      <color rgb="FF467886"/>
      <name val="Aptos Narrow"/>
    </font>
    <font>
      <u/>
      <sz val="11.0"/>
      <color rgb="FF467886"/>
      <name val="Aptos Narrow"/>
    </font>
    <font>
      <u/>
      <sz val="11.0"/>
      <color rgb="FF0000FF"/>
      <name val="Arial"/>
    </font>
    <font>
      <u/>
      <sz val="11.0"/>
      <color rgb="FF0000FF"/>
      <name val="Aptos Narrow"/>
    </font>
    <font>
      <u/>
      <sz val="11.0"/>
      <color rgb="FF467886"/>
      <name val="Aptos Narrow"/>
    </font>
    <font>
      <u/>
      <sz val="11.0"/>
      <color rgb="FF467886"/>
      <name val="Aptos Narrow"/>
    </font>
    <font>
      <u/>
      <sz val="11.0"/>
      <color rgb="FF467886"/>
      <name val="Aptos Narrow"/>
    </font>
    <font>
      <u/>
      <sz val="11.0"/>
      <color rgb="FF0000FF"/>
      <name val="Arial"/>
    </font>
    <font>
      <sz val="12.0"/>
      <color rgb="FF373C44"/>
      <name val="System-ui"/>
    </font>
    <font>
      <u/>
      <sz val="11.0"/>
      <color rgb="FF0000FF"/>
      <name val="Aptos Narrow"/>
    </font>
    <font>
      <u/>
      <sz val="11.0"/>
      <color rgb="FF467886"/>
      <name val="Arial"/>
    </font>
    <font>
      <u/>
      <sz val="11.0"/>
      <color rgb="FF467886"/>
      <name val="Aptos Narrow"/>
    </font>
    <font>
      <b/>
      <u/>
      <sz val="11.0"/>
      <color rgb="FF467886"/>
      <name val="Arial"/>
    </font>
  </fonts>
  <fills count="12">
    <fill>
      <patternFill patternType="none"/>
    </fill>
    <fill>
      <patternFill patternType="lightGray"/>
    </fill>
    <fill>
      <patternFill patternType="solid">
        <fgColor rgb="FFA64D79"/>
        <bgColor rgb="FFA64D79"/>
      </patternFill>
    </fill>
    <fill>
      <patternFill patternType="solid">
        <fgColor rgb="FFD5A6BD"/>
        <bgColor rgb="FFD5A6BD"/>
      </patternFill>
    </fill>
    <fill>
      <patternFill patternType="solid">
        <fgColor rgb="FFF9CB9C"/>
        <bgColor rgb="FFF9CB9C"/>
      </patternFill>
    </fill>
    <fill>
      <patternFill patternType="solid">
        <fgColor rgb="FFFFE599"/>
        <bgColor rgb="FFFFE599"/>
      </patternFill>
    </fill>
    <fill>
      <patternFill patternType="solid">
        <fgColor rgb="FFEAD1DC"/>
        <bgColor rgb="FFEAD1DC"/>
      </patternFill>
    </fill>
    <fill>
      <patternFill patternType="solid">
        <fgColor rgb="FFFFF2CC"/>
        <bgColor rgb="FFFFF2CC"/>
      </patternFill>
    </fill>
    <fill>
      <patternFill patternType="solid">
        <fgColor rgb="FFEFEFEF"/>
        <bgColor rgb="FFEFEFEF"/>
      </patternFill>
    </fill>
    <fill>
      <patternFill patternType="solid">
        <fgColor theme="4"/>
        <bgColor theme="4"/>
      </patternFill>
    </fill>
    <fill>
      <patternFill patternType="solid">
        <fgColor theme="0"/>
        <bgColor theme="0"/>
      </patternFill>
    </fill>
    <fill>
      <patternFill patternType="solid">
        <fgColor rgb="FFFFFFFF"/>
        <bgColor rgb="FFFFFFFF"/>
      </patternFill>
    </fill>
  </fills>
  <borders count="13">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1" numFmtId="0" xfId="0" applyAlignment="1" applyBorder="1" applyFont="1">
      <alignment horizontal="center"/>
    </xf>
    <xf borderId="3" fillId="0" fontId="1" numFmtId="0" xfId="0" applyAlignment="1" applyBorder="1" applyFont="1">
      <alignment horizontal="center"/>
    </xf>
    <xf borderId="4" fillId="0" fontId="2" numFmtId="0" xfId="0" applyBorder="1" applyFont="1"/>
    <xf borderId="5" fillId="0" fontId="2" numFmtId="0" xfId="0" applyBorder="1" applyFont="1"/>
    <xf borderId="5" fillId="0" fontId="3" numFmtId="0" xfId="0" applyBorder="1" applyFont="1"/>
    <xf borderId="6" fillId="0" fontId="2" numFmtId="0" xfId="0" applyBorder="1" applyFont="1"/>
    <xf borderId="5" fillId="0" fontId="2" numFmtId="164" xfId="0" applyBorder="1" applyFont="1" applyNumberFormat="1"/>
    <xf borderId="0" fillId="0" fontId="2" numFmtId="0" xfId="0" applyAlignment="1" applyFont="1">
      <alignment horizontal="center" shrinkToFit="0" vertical="center" wrapText="1"/>
    </xf>
    <xf borderId="7" fillId="2" fontId="4" numFmtId="0" xfId="0" applyAlignment="1" applyBorder="1" applyFill="1" applyFont="1">
      <alignment horizontal="center" shrinkToFit="0" vertical="center" wrapText="1"/>
    </xf>
    <xf borderId="8" fillId="3" fontId="5" numFmtId="0" xfId="0" applyAlignment="1" applyBorder="1" applyFill="1" applyFont="1">
      <alignment horizontal="center" shrinkToFit="0" vertical="center" wrapText="1"/>
    </xf>
    <xf borderId="9" fillId="0" fontId="6" numFmtId="0" xfId="0" applyBorder="1" applyFont="1"/>
    <xf borderId="10" fillId="0" fontId="6" numFmtId="0" xfId="0" applyBorder="1" applyFont="1"/>
    <xf borderId="8" fillId="4" fontId="5" numFmtId="0" xfId="0" applyAlignment="1" applyBorder="1" applyFill="1" applyFont="1">
      <alignment horizontal="center" shrinkToFit="0" vertical="center" wrapText="1"/>
    </xf>
    <xf borderId="11" fillId="0" fontId="6" numFmtId="0" xfId="0" applyBorder="1" applyFont="1"/>
    <xf borderId="12" fillId="3" fontId="7" numFmtId="0" xfId="0" applyAlignment="1" applyBorder="1" applyFont="1">
      <alignment horizontal="center" shrinkToFit="0" vertical="center" wrapText="1"/>
    </xf>
    <xf borderId="12" fillId="4" fontId="7" numFmtId="0" xfId="0" applyAlignment="1" applyBorder="1" applyFont="1">
      <alignment horizontal="center" shrinkToFit="0" vertical="center" wrapText="1"/>
    </xf>
    <xf borderId="12" fillId="4" fontId="7" numFmtId="164" xfId="0" applyAlignment="1" applyBorder="1" applyFont="1" applyNumberFormat="1">
      <alignment horizontal="center" shrinkToFit="0" vertical="center" wrapText="1"/>
    </xf>
    <xf borderId="12" fillId="3" fontId="7" numFmtId="164" xfId="0" applyAlignment="1" applyBorder="1" applyFont="1" applyNumberFormat="1">
      <alignment horizontal="center" shrinkToFit="0" vertical="center" wrapText="1"/>
    </xf>
    <xf borderId="12" fillId="5" fontId="7" numFmtId="164" xfId="0" applyAlignment="1" applyBorder="1" applyFill="1" applyFont="1" applyNumberFormat="1">
      <alignment horizontal="center" shrinkToFit="0" vertical="center" wrapText="1"/>
    </xf>
    <xf borderId="12" fillId="5" fontId="7" numFmtId="0" xfId="0" applyAlignment="1" applyBorder="1" applyFont="1">
      <alignment horizontal="center" shrinkToFit="0" vertical="center" wrapText="1"/>
    </xf>
    <xf borderId="12" fillId="6" fontId="8" numFmtId="0" xfId="0" applyAlignment="1" applyBorder="1" applyFill="1" applyFont="1">
      <alignment horizontal="center" shrinkToFit="0" vertical="center" wrapText="1"/>
    </xf>
    <xf borderId="12" fillId="6" fontId="9" numFmtId="0" xfId="0" applyAlignment="1" applyBorder="1" applyFont="1">
      <alignment horizontal="center" shrinkToFit="0" vertical="center" wrapText="1"/>
    </xf>
    <xf borderId="12" fillId="6" fontId="10" numFmtId="165" xfId="0" applyAlignment="1" applyBorder="1" applyFont="1" applyNumberFormat="1">
      <alignment horizontal="center" shrinkToFit="0" vertical="center" wrapText="1"/>
    </xf>
    <xf borderId="12" fillId="6" fontId="10" numFmtId="0" xfId="0" applyAlignment="1" applyBorder="1" applyFont="1">
      <alignment horizontal="center" shrinkToFit="0" vertical="center" wrapText="1"/>
    </xf>
    <xf borderId="12" fillId="7" fontId="8" numFmtId="0" xfId="0" applyAlignment="1" applyBorder="1" applyFill="1" applyFont="1">
      <alignment horizontal="center" shrinkToFit="0" vertical="center" wrapText="1"/>
    </xf>
    <xf borderId="12" fillId="0" fontId="11" numFmtId="0" xfId="0" applyAlignment="1" applyBorder="1" applyFont="1">
      <alignment horizontal="center" shrinkToFit="0" vertical="center" wrapText="1"/>
    </xf>
    <xf borderId="12" fillId="0" fontId="12" numFmtId="0" xfId="0" applyAlignment="1" applyBorder="1" applyFont="1">
      <alignment horizontal="center" shrinkToFit="0" vertical="center" wrapText="1"/>
    </xf>
    <xf borderId="12" fillId="0" fontId="10" numFmtId="165" xfId="0" applyAlignment="1" applyBorder="1" applyFont="1" applyNumberFormat="1">
      <alignment horizontal="center" shrinkToFit="0" vertical="center" wrapText="1"/>
    </xf>
    <xf borderId="12" fillId="0" fontId="2" numFmtId="0" xfId="0" applyAlignment="1" applyBorder="1" applyFont="1">
      <alignment horizontal="center" shrinkToFit="0" vertical="center" wrapText="1"/>
    </xf>
    <xf borderId="12" fillId="8" fontId="11" numFmtId="0" xfId="0" applyAlignment="1" applyBorder="1" applyFill="1" applyFont="1">
      <alignment horizontal="center" shrinkToFit="0" vertical="center" wrapText="1"/>
    </xf>
    <xf borderId="12" fillId="8" fontId="12" numFmtId="0" xfId="0" applyAlignment="1" applyBorder="1" applyFont="1">
      <alignment horizontal="center" shrinkToFit="0" vertical="center" wrapText="1"/>
    </xf>
    <xf borderId="12" fillId="8" fontId="10" numFmtId="165" xfId="0" applyAlignment="1" applyBorder="1" applyFont="1" applyNumberFormat="1">
      <alignment horizontal="center" shrinkToFit="0" vertical="center" wrapText="1"/>
    </xf>
    <xf borderId="12" fillId="8" fontId="2" numFmtId="0" xfId="0" applyAlignment="1" applyBorder="1" applyFont="1">
      <alignment horizontal="center" shrinkToFit="0" vertical="center" wrapText="1"/>
    </xf>
    <xf borderId="0" fillId="9" fontId="13" numFmtId="0" xfId="0" applyAlignment="1" applyFill="1" applyFont="1">
      <alignment horizontal="center"/>
    </xf>
    <xf borderId="0" fillId="9" fontId="14" numFmtId="0" xfId="0" applyAlignment="1" applyFont="1">
      <alignment horizontal="center"/>
    </xf>
    <xf borderId="0" fillId="9" fontId="14" numFmtId="0" xfId="0" applyAlignment="1" applyFont="1">
      <alignment horizontal="center" shrinkToFit="0" vertical="center" wrapText="1"/>
    </xf>
    <xf borderId="0" fillId="9" fontId="14" numFmtId="166" xfId="0" applyAlignment="1" applyFont="1" applyNumberFormat="1">
      <alignment horizontal="center"/>
    </xf>
    <xf borderId="0" fillId="10" fontId="2" numFmtId="0" xfId="0" applyAlignment="1" applyFill="1" applyFont="1">
      <alignment horizontal="center"/>
    </xf>
    <xf borderId="0" fillId="10" fontId="15" numFmtId="0" xfId="0" applyAlignment="1" applyFont="1">
      <alignment horizontal="center" vertical="bottom"/>
    </xf>
    <xf borderId="0" fillId="10" fontId="16" numFmtId="0" xfId="0" applyAlignment="1" applyFont="1">
      <alignment horizontal="center"/>
    </xf>
    <xf borderId="0" fillId="10" fontId="17" numFmtId="0" xfId="0" applyAlignment="1" applyFont="1">
      <alignment horizontal="center"/>
    </xf>
    <xf borderId="0" fillId="10" fontId="11" numFmtId="0" xfId="0" applyAlignment="1" applyFont="1">
      <alignment horizontal="center"/>
    </xf>
    <xf borderId="0" fillId="10" fontId="18" numFmtId="0" xfId="0" applyAlignment="1" applyFont="1">
      <alignment horizontal="center"/>
    </xf>
    <xf borderId="0" fillId="10" fontId="19" numFmtId="0" xfId="0" applyAlignment="1" applyFont="1">
      <alignment horizontal="center" vertical="bottom"/>
    </xf>
    <xf borderId="0" fillId="10" fontId="20" numFmtId="0" xfId="0" applyAlignment="1" applyFont="1">
      <alignment horizontal="center" vertical="bottom"/>
    </xf>
    <xf borderId="0" fillId="10" fontId="21" numFmtId="0" xfId="0" applyAlignment="1" applyFont="1">
      <alignment horizontal="center"/>
    </xf>
    <xf borderId="0" fillId="10" fontId="22" numFmtId="0" xfId="0" applyAlignment="1" applyFont="1">
      <alignment horizontal="center"/>
    </xf>
    <xf borderId="0" fillId="8" fontId="2" numFmtId="0" xfId="0" applyAlignment="1" applyFont="1">
      <alignment horizontal="center"/>
    </xf>
    <xf borderId="0" fillId="8" fontId="20" numFmtId="0" xfId="0" applyAlignment="1" applyFont="1">
      <alignment horizontal="center" vertical="bottom"/>
    </xf>
    <xf borderId="0" fillId="8" fontId="23" numFmtId="0" xfId="0" applyAlignment="1" applyFont="1">
      <alignment horizontal="center"/>
    </xf>
    <xf borderId="0" fillId="8" fontId="11" numFmtId="0" xfId="0" applyAlignment="1" applyFont="1">
      <alignment horizontal="center"/>
    </xf>
    <xf borderId="0" fillId="8" fontId="19" numFmtId="0" xfId="0" applyAlignment="1" applyFont="1">
      <alignment horizontal="center" vertical="bottom"/>
    </xf>
    <xf borderId="0" fillId="8" fontId="24" numFmtId="0" xfId="0" applyAlignment="1" applyFont="1">
      <alignment horizontal="center"/>
    </xf>
    <xf borderId="0" fillId="8" fontId="15" numFmtId="0" xfId="0" applyAlignment="1" applyFont="1">
      <alignment horizontal="center" vertical="bottom"/>
    </xf>
    <xf borderId="0" fillId="8" fontId="25" numFmtId="0" xfId="0" applyAlignment="1" applyFont="1">
      <alignment horizontal="center"/>
    </xf>
    <xf borderId="0" fillId="8" fontId="26" numFmtId="0" xfId="0" applyAlignment="1" applyFont="1">
      <alignment horizontal="center" vertical="bottom"/>
    </xf>
    <xf borderId="0" fillId="8" fontId="27" numFmtId="0" xfId="0" applyAlignment="1" applyFont="1">
      <alignment horizontal="center"/>
    </xf>
    <xf borderId="0" fillId="8" fontId="28" numFmtId="0" xfId="0" applyAlignment="1" applyFont="1">
      <alignment horizontal="center"/>
    </xf>
    <xf borderId="0" fillId="8" fontId="11" numFmtId="0" xfId="0" applyAlignment="1" applyFont="1">
      <alignment horizontal="center" vertical="center"/>
    </xf>
    <xf borderId="0" fillId="10" fontId="2" numFmtId="0" xfId="0" applyAlignment="1" applyFont="1">
      <alignment horizontal="center" shrinkToFit="0" vertical="center" wrapText="1"/>
    </xf>
    <xf borderId="0" fillId="0" fontId="29" numFmtId="0" xfId="0" applyFont="1"/>
    <xf borderId="0" fillId="0" fontId="30" numFmtId="0" xfId="0" applyFont="1"/>
    <xf borderId="0" fillId="9" fontId="13" numFmtId="0" xfId="0" applyFont="1"/>
    <xf borderId="0" fillId="9" fontId="14" numFmtId="0" xfId="0" applyFont="1"/>
    <xf borderId="0" fillId="9" fontId="14" numFmtId="0" xfId="0" applyAlignment="1" applyFont="1">
      <alignment vertical="center"/>
    </xf>
    <xf borderId="0" fillId="0" fontId="11" numFmtId="0" xfId="0" applyFont="1"/>
    <xf borderId="0" fillId="10" fontId="2" numFmtId="0" xfId="0" applyAlignment="1" applyFont="1">
      <alignment horizontal="center" vertical="center"/>
    </xf>
    <xf borderId="0" fillId="10" fontId="11" numFmtId="0" xfId="0" applyFont="1"/>
    <xf borderId="0" fillId="10" fontId="31" numFmtId="0" xfId="0" applyFont="1"/>
    <xf borderId="0" fillId="10" fontId="2" numFmtId="0" xfId="0" applyFont="1"/>
    <xf borderId="0" fillId="10" fontId="32" numFmtId="0" xfId="0" applyFont="1"/>
    <xf borderId="0" fillId="10" fontId="2" numFmtId="0" xfId="0" applyAlignment="1" applyFont="1">
      <alignment vertical="center"/>
    </xf>
    <xf borderId="0" fillId="10" fontId="33" numFmtId="0" xfId="0" applyFont="1"/>
    <xf borderId="0" fillId="10" fontId="34" numFmtId="0" xfId="0" applyFont="1"/>
    <xf borderId="0" fillId="10" fontId="35" numFmtId="0" xfId="0" applyFont="1"/>
    <xf borderId="0" fillId="0" fontId="2" numFmtId="0" xfId="0" applyAlignment="1" applyFont="1">
      <alignment horizontal="center" vertical="center"/>
    </xf>
    <xf borderId="0" fillId="0" fontId="36" numFmtId="0" xfId="0" applyFont="1"/>
    <xf borderId="0" fillId="0" fontId="37" numFmtId="0" xfId="0" applyFont="1"/>
    <xf borderId="0" fillId="0" fontId="2" numFmtId="0" xfId="0" applyAlignment="1" applyFont="1">
      <alignment vertical="center"/>
    </xf>
    <xf borderId="0" fillId="0" fontId="2" numFmtId="0" xfId="0" applyFont="1"/>
    <xf borderId="0" fillId="0" fontId="38" numFmtId="0" xfId="0" applyFont="1"/>
    <xf borderId="0" fillId="0" fontId="39" numFmtId="0" xfId="0" applyFont="1"/>
    <xf borderId="0" fillId="10" fontId="26" numFmtId="0" xfId="0" applyAlignment="1" applyFont="1">
      <alignment vertical="bottom"/>
    </xf>
    <xf borderId="0" fillId="10" fontId="40" numFmtId="0" xfId="0" applyAlignment="1" applyFont="1">
      <alignment vertical="bottom"/>
    </xf>
    <xf borderId="0" fillId="10" fontId="20" numFmtId="0" xfId="0" applyAlignment="1" applyFont="1">
      <alignment vertical="bottom"/>
    </xf>
    <xf borderId="0" fillId="10" fontId="41" numFmtId="0" xfId="0" applyAlignment="1" applyFont="1">
      <alignment vertical="bottom"/>
    </xf>
    <xf borderId="0" fillId="10" fontId="42" numFmtId="0" xfId="0" applyAlignment="1" applyFont="1">
      <alignment vertical="bottom"/>
    </xf>
    <xf borderId="0" fillId="10" fontId="43" numFmtId="0" xfId="0" applyAlignment="1" applyFont="1">
      <alignment vertical="bottom"/>
    </xf>
    <xf borderId="0" fillId="10" fontId="44" numFmtId="0" xfId="0" applyAlignment="1" applyFont="1">
      <alignment vertical="bottom"/>
    </xf>
    <xf borderId="0" fillId="0" fontId="20" numFmtId="0" xfId="0" applyAlignment="1" applyFont="1">
      <alignment vertical="bottom"/>
    </xf>
    <xf borderId="0" fillId="0" fontId="45" numFmtId="0" xfId="0" applyAlignment="1" applyFont="1">
      <alignment vertical="bottom"/>
    </xf>
    <xf borderId="0" fillId="0" fontId="26" numFmtId="0" xfId="0" applyAlignment="1" applyFont="1">
      <alignment vertical="bottom"/>
    </xf>
    <xf borderId="0" fillId="0" fontId="2" numFmtId="0" xfId="0" applyAlignment="1" applyFont="1">
      <alignment vertical="center"/>
    </xf>
    <xf borderId="0" fillId="10" fontId="20" numFmtId="0" xfId="0" applyFont="1"/>
    <xf borderId="0" fillId="10" fontId="46" numFmtId="0" xfId="0" applyFont="1"/>
    <xf borderId="0" fillId="0" fontId="20" numFmtId="0" xfId="0" applyFont="1"/>
    <xf borderId="0" fillId="11" fontId="26" numFmtId="0" xfId="0" applyAlignment="1" applyFill="1" applyFont="1">
      <alignment vertical="bottom"/>
    </xf>
    <xf borderId="0" fillId="0" fontId="11" numFmtId="164" xfId="0" applyAlignment="1" applyFont="1" applyNumberFormat="1">
      <alignment vertical="center"/>
    </xf>
    <xf borderId="0" fillId="0" fontId="11" numFmtId="164" xfId="0" applyFont="1" applyNumberFormat="1"/>
    <xf borderId="0" fillId="0" fontId="47" numFmtId="0" xfId="0" applyAlignment="1" applyFont="1">
      <alignment vertical="bottom"/>
    </xf>
    <xf borderId="0" fillId="10" fontId="48" numFmtId="0" xfId="0" applyFont="1"/>
    <xf borderId="0" fillId="10" fontId="26" numFmtId="0" xfId="0" applyFont="1"/>
    <xf borderId="0" fillId="10" fontId="20" numFmtId="0" xfId="0" applyAlignment="1" applyFont="1">
      <alignment shrinkToFit="0" wrapText="1"/>
    </xf>
    <xf borderId="0" fillId="10" fontId="49" numFmtId="0" xfId="0" applyAlignment="1" applyFont="1">
      <alignment shrinkToFit="0" wrapText="1"/>
    </xf>
    <xf borderId="0" fillId="10" fontId="26" numFmtId="0" xfId="0" applyAlignment="1" applyFont="1">
      <alignment shrinkToFit="0" wrapText="1"/>
    </xf>
    <xf borderId="0" fillId="10" fontId="11" numFmtId="0" xfId="0" applyAlignment="1" applyFont="1">
      <alignment shrinkToFit="0" vertical="center" wrapText="1"/>
    </xf>
    <xf borderId="0" fillId="0" fontId="11" numFmtId="0" xfId="0" applyAlignment="1" applyFont="1">
      <alignment horizontal="right"/>
    </xf>
    <xf borderId="0" fillId="11" fontId="26" numFmtId="0" xfId="0" applyAlignment="1" applyFont="1">
      <alignment shrinkToFit="0" wrapText="1"/>
    </xf>
    <xf borderId="0" fillId="10" fontId="50" numFmtId="0" xfId="0" applyAlignment="1" applyFont="1">
      <alignment shrinkToFit="0" wrapText="1"/>
    </xf>
    <xf borderId="0" fillId="10" fontId="51" numFmtId="0" xfId="0" applyAlignment="1" applyFont="1">
      <alignment shrinkToFit="0" wrapText="1"/>
    </xf>
    <xf borderId="0" fillId="10" fontId="52" numFmtId="0" xfId="0" applyAlignment="1" applyFont="1">
      <alignment shrinkToFit="0" vertical="bottom" wrapText="1"/>
    </xf>
    <xf borderId="0" fillId="0" fontId="20" numFmtId="0" xfId="0" applyAlignment="1" applyFont="1">
      <alignment shrinkToFit="0" wrapText="1"/>
    </xf>
    <xf borderId="0" fillId="0" fontId="53" numFmtId="0" xfId="0" applyAlignment="1" applyFont="1">
      <alignment shrinkToFit="0" vertical="bottom" wrapText="1"/>
    </xf>
    <xf borderId="0" fillId="0" fontId="26" numFmtId="0" xfId="0" applyAlignment="1" applyFont="1">
      <alignment shrinkToFit="0" wrapText="1"/>
    </xf>
    <xf borderId="0" fillId="0" fontId="54" numFmtId="0" xfId="0" applyAlignment="1" applyFont="1">
      <alignment shrinkToFit="0" wrapText="1"/>
    </xf>
    <xf quotePrefix="1" borderId="0" fillId="10" fontId="20" numFmtId="0" xfId="0" applyAlignment="1" applyFont="1">
      <alignment vertical="bottom"/>
    </xf>
    <xf borderId="0" fillId="10" fontId="55" numFmtId="0" xfId="0" applyAlignment="1" applyFont="1">
      <alignment vertical="bottom"/>
    </xf>
    <xf borderId="0" fillId="10" fontId="56" numFmtId="0" xfId="0" applyAlignment="1" applyFont="1">
      <alignment vertical="bottom"/>
    </xf>
    <xf borderId="0" fillId="10" fontId="26" numFmtId="0" xfId="0" applyAlignment="1" applyFont="1">
      <alignment horizontal="center"/>
    </xf>
    <xf borderId="0" fillId="0" fontId="57" numFmtId="0" xfId="0" applyAlignment="1" applyFont="1">
      <alignment vertical="bottom"/>
    </xf>
    <xf borderId="0" fillId="11" fontId="58" numFmtId="0" xfId="0" applyFont="1"/>
    <xf borderId="0" fillId="11" fontId="26" numFmtId="0" xfId="0" applyFont="1"/>
    <xf borderId="0" fillId="11" fontId="26" numFmtId="0" xfId="0" applyAlignment="1" applyFont="1">
      <alignment horizontal="center"/>
    </xf>
    <xf borderId="0" fillId="11" fontId="20" numFmtId="0" xfId="0" applyAlignment="1" applyFont="1">
      <alignment vertical="bottom"/>
    </xf>
    <xf borderId="0" fillId="11" fontId="26" numFmtId="0" xfId="0" applyAlignment="1" applyFont="1">
      <alignment shrinkToFit="0" vertical="bottom" wrapText="0"/>
    </xf>
    <xf borderId="0" fillId="0" fontId="20" numFmtId="0" xfId="0" applyAlignment="1" applyFont="1">
      <alignment shrinkToFit="0" vertical="bottom" wrapText="0"/>
    </xf>
    <xf borderId="0" fillId="10" fontId="20" numFmtId="0" xfId="0" applyAlignment="1" applyFont="1">
      <alignment shrinkToFit="0" vertical="bottom" wrapText="0"/>
    </xf>
    <xf borderId="0" fillId="0" fontId="59" numFmtId="0" xfId="0" applyAlignment="1" applyFont="1">
      <alignment shrinkToFit="0" vertical="bottom" wrapText="0"/>
    </xf>
    <xf borderId="0" fillId="10" fontId="26" numFmtId="0" xfId="0" applyAlignment="1" applyFont="1">
      <alignment shrinkToFit="0" vertical="bottom" wrapText="0"/>
    </xf>
    <xf borderId="0" fillId="0" fontId="60" numFmtId="0" xfId="0" applyAlignment="1" applyFont="1">
      <alignment vertical="bottom"/>
    </xf>
  </cellXfs>
  <cellStyles count="1">
    <cellStyle xfId="0" name="Normal" builtinId="0"/>
  </cellStyles>
  <dxfs count="6">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theme="0"/>
          <bgColor theme="0"/>
        </patternFill>
      </fill>
      <border/>
    </dxf>
    <dxf>
      <font/>
      <fill>
        <patternFill patternType="solid">
          <fgColor rgb="FFB7E1CD"/>
          <bgColor rgb="FFB7E1CD"/>
        </patternFill>
      </fill>
      <border/>
    </dxf>
  </dxfs>
  <tableStyles count="6">
    <tableStyle count="3" pivot="0" name="Detail1-Nguyễn Ngọc Tân-G008@gd-style">
      <tableStyleElement dxfId="1" type="headerRow"/>
      <tableStyleElement dxfId="2" type="firstRowStripe"/>
      <tableStyleElement dxfId="3" type="secondRowStripe"/>
    </tableStyle>
    <tableStyle count="2" pivot="0" name="SN02-style">
      <tableStyleElement dxfId="4" type="firstRowStripe"/>
      <tableStyleElement dxfId="4" type="secondRowStripe"/>
    </tableStyle>
    <tableStyle count="2" pivot="0" name="SN02-style 2">
      <tableStyleElement dxfId="4" type="firstRowStripe"/>
      <tableStyleElement dxfId="4" type="secondRowStripe"/>
    </tableStyle>
    <tableStyle count="2" pivot="0" name="SN02-style 3">
      <tableStyleElement dxfId="4" type="firstRowStripe"/>
      <tableStyleElement dxfId="4" type="secondRowStripe"/>
    </tableStyle>
    <tableStyle count="2" pivot="0" name="SN02-style 4">
      <tableStyleElement dxfId="4" type="firstRowStripe"/>
      <tableStyleElement dxfId="4" type="secondRowStripe"/>
    </tableStyle>
    <tableStyle count="2" pivot="0" name="SN02-style 5">
      <tableStyleElement dxfId="4"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42" displayName="Table_1" name="Table_1" id="1">
  <tableColumns count="12">
    <tableColumn name="#" id="1"/>
    <tableColumn name="Full Name" id="2"/>
    <tableColumn name="User name" id="3"/>
    <tableColumn name="Team ID" id="4"/>
    <tableColumn name="Ngày" id="5"/>
    <tableColumn name="UID" id="6"/>
    <tableColumn name="Task Link" id="7"/>
    <tableColumn name="Status" id="8"/>
    <tableColumn name="Feedback (optional)" id="9"/>
    <tableColumn name="# checklist" id="10"/>
    <tableColumn name="decision" id="11"/>
    <tableColumn name="trace_id" id="12"/>
  </tableColumns>
  <tableStyleInfo name="Detail1-Nguyễn Ngọc Tân-G008@gd-style" showColumnStripes="0" showFirstColumn="1" showLastColumn="1" showRowStripes="1"/>
</table>
</file>

<file path=xl/tables/table2.xml><?xml version="1.0" encoding="utf-8"?>
<table xmlns="http://schemas.openxmlformats.org/spreadsheetml/2006/main" headerRowCount="0" ref="L213:M222" displayName="Table_2" name="Table_2" id="2">
  <tableColumns count="2">
    <tableColumn name="Column1" id="1"/>
    <tableColumn name="Column2" id="2"/>
  </tableColumns>
  <tableStyleInfo name="SN02-style" showColumnStripes="0" showFirstColumn="1" showLastColumn="1" showRowStripes="1"/>
</table>
</file>

<file path=xl/tables/table3.xml><?xml version="1.0" encoding="utf-8"?>
<table xmlns="http://schemas.openxmlformats.org/spreadsheetml/2006/main" headerRowCount="0" ref="L233:M337" displayName="Table_3" name="Table_3" id="3">
  <tableColumns count="2">
    <tableColumn name="Column1" id="1"/>
    <tableColumn name="Column2" id="2"/>
  </tableColumns>
  <tableStyleInfo name="SN02-style 2" showColumnStripes="0" showFirstColumn="1" showLastColumn="1" showRowStripes="1"/>
</table>
</file>

<file path=xl/tables/table4.xml><?xml version="1.0" encoding="utf-8"?>
<table xmlns="http://schemas.openxmlformats.org/spreadsheetml/2006/main" headerRowCount="0" ref="L350:M374" displayName="Table_4" name="Table_4" id="4">
  <tableColumns count="2">
    <tableColumn name="Column1" id="1"/>
    <tableColumn name="Column2" id="2"/>
  </tableColumns>
  <tableStyleInfo name="SN02-style 3" showColumnStripes="0" showFirstColumn="1" showLastColumn="1" showRowStripes="1"/>
</table>
</file>

<file path=xl/tables/table5.xml><?xml version="1.0" encoding="utf-8"?>
<table xmlns="http://schemas.openxmlformats.org/spreadsheetml/2006/main" headerRowCount="0" ref="L581:M621" displayName="Table_5" name="Table_5" id="5">
  <tableColumns count="2">
    <tableColumn name="Column1" id="1"/>
    <tableColumn name="Column2" id="2"/>
  </tableColumns>
  <tableStyleInfo name="SN02-style 4" showColumnStripes="0" showFirstColumn="1" showLastColumn="1" showRowStripes="1"/>
</table>
</file>

<file path=xl/tables/table6.xml><?xml version="1.0" encoding="utf-8"?>
<table xmlns="http://schemas.openxmlformats.org/spreadsheetml/2006/main" headerRowCount="0" ref="L719:M4378" displayName="Table_6" name="Table_6" id="6">
  <tableColumns count="2">
    <tableColumn name="Column1" id="1"/>
    <tableColumn name="Column2" id="2"/>
  </tableColumns>
  <tableStyleInfo name="SN02-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ebolmo-data-snorkel.allen.ai/20251126_snorkel_batch019__llm_step_webvoyager_websites__99" TargetMode="External"/><Relationship Id="rId20" Type="http://schemas.openxmlformats.org/officeDocument/2006/relationships/hyperlink" Target="https://webolmo-data-snorkel.allen.ai/20260107_snorkel_batch003_step_tasks__shopping_search_and_add_to_cart__23" TargetMode="External"/><Relationship Id="rId42" Type="http://schemas.openxmlformats.org/officeDocument/2006/relationships/drawing" Target="../drawings/drawing1.xml"/><Relationship Id="rId41" Type="http://schemas.openxmlformats.org/officeDocument/2006/relationships/hyperlink" Target="https://webolmo-data-snorkel.allen.ai/20260113_snorkel_batch003_procedural__maps_distance__11" TargetMode="External"/><Relationship Id="rId22" Type="http://schemas.openxmlformats.org/officeDocument/2006/relationships/hyperlink" Target="https://webolmo-data-snorkel.allen.ai/20251126_snorkel_batch013__llm_step_onlinemind2web_websites__26" TargetMode="External"/><Relationship Id="rId44" Type="http://schemas.openxmlformats.org/officeDocument/2006/relationships/table" Target="../tables/table1.xml"/><Relationship Id="rId21" Type="http://schemas.openxmlformats.org/officeDocument/2006/relationships/hyperlink" Target="https://webolmo-data-snorkel.allen.ai/20260107_snorkel_batch003_step_tasks__career_company_research__39" TargetMode="External"/><Relationship Id="rId24" Type="http://schemas.openxmlformats.org/officeDocument/2006/relationships/hyperlink" Target="https://webolmo-data-snorkel.allen.ai/20260107_snorkel_batch002_step_tasks__maps_nearby__18" TargetMode="External"/><Relationship Id="rId23" Type="http://schemas.openxmlformats.org/officeDocument/2006/relationships/hyperlink" Target="https://webolmo-data-snorkel.allen.ai/20260107_snorkel_batch002_step_tasks__maps_route_planning__21" TargetMode="External"/><Relationship Id="rId1" Type="http://schemas.openxmlformats.org/officeDocument/2006/relationships/hyperlink" Target="https://webolmo-data-snorkel.allen.ai/20251219_snorkel_batch010__llm_navqa_popular_websites__98" TargetMode="External"/><Relationship Id="rId2" Type="http://schemas.openxmlformats.org/officeDocument/2006/relationships/hyperlink" Target="https://webolmo-data-snorkel.allen.ai/20251219_snorkel_batch006__llm_navqa_onlinemind2web_websites__103" TargetMode="External"/><Relationship Id="rId3" Type="http://schemas.openxmlformats.org/officeDocument/2006/relationships/hyperlink" Target="https://webolmo-data-snorkel.allen.ai/20251219_snorkel_batch009__llm_navqa_popular_websites__127" TargetMode="External"/><Relationship Id="rId4" Type="http://schemas.openxmlformats.org/officeDocument/2006/relationships/hyperlink" Target="https://webolmo-data-snorkel.allen.ai/20251219_snorkel_batch002__llm_navqa_webvoyager_websites__76" TargetMode="External"/><Relationship Id="rId9" Type="http://schemas.openxmlformats.org/officeDocument/2006/relationships/hyperlink" Target="https://webolmo-data-snorkel.allen.ai/20251126_snorkel_batch011__llm_step_webvoyager_websites__0" TargetMode="External"/><Relationship Id="rId26" Type="http://schemas.openxmlformats.org/officeDocument/2006/relationships/hyperlink" Target="https://webolmo-data-snorkel.allen.ai/20260107_snorkel_batch001_step_tasks__general_news_nav__29" TargetMode="External"/><Relationship Id="rId25" Type="http://schemas.openxmlformats.org/officeDocument/2006/relationships/hyperlink" Target="https://webolmo-data-snorkel.allen.ai/20260107_snorkel_batch001_step_tasks__general_news_nav__3" TargetMode="External"/><Relationship Id="rId28" Type="http://schemas.openxmlformats.org/officeDocument/2006/relationships/hyperlink" Target="https://webolmo-data-snorkel.allen.ai/20251126_snorkel_batch016__llm_step_popular_websites__152" TargetMode="External"/><Relationship Id="rId27" Type="http://schemas.openxmlformats.org/officeDocument/2006/relationships/hyperlink" Target="https://webolmo-data-snorkel.allen.ai/20251126_snorkel_batch019__llm_step_popular_websites__86" TargetMode="External"/><Relationship Id="rId5" Type="http://schemas.openxmlformats.org/officeDocument/2006/relationships/hyperlink" Target="https://webolmo-data-snorkel.allen.ai/20251219_snorkel_batch003__llm_navqa_popular_websites__29" TargetMode="External"/><Relationship Id="rId6" Type="http://schemas.openxmlformats.org/officeDocument/2006/relationships/hyperlink" Target="https://webolmo-data-snorkel.allen.ai/20251219_snorkel_batch006__llm_navqa_onlinemind2web_websites__25" TargetMode="External"/><Relationship Id="rId29" Type="http://schemas.openxmlformats.org/officeDocument/2006/relationships/hyperlink" Target="https://webolmo-data-snorkel.allen.ai/20260107_snorkel_batch003_step_tasks__car_rental_search__7" TargetMode="External"/><Relationship Id="rId7" Type="http://schemas.openxmlformats.org/officeDocument/2006/relationships/hyperlink" Target="https://webolmo-data-snorkel.allen.ai/20251121_snorkel_batch001__webvoyager_like__475" TargetMode="External"/><Relationship Id="rId8" Type="http://schemas.openxmlformats.org/officeDocument/2006/relationships/hyperlink" Target="https://webolmo-data-snorkel.allen.ai/20251219_snorkel_batch007__llm_navqa_webvoyager_websites__149" TargetMode="External"/><Relationship Id="rId31" Type="http://schemas.openxmlformats.org/officeDocument/2006/relationships/hyperlink" Target="https://webolmo-data-snorkel.allen.ai/20260107_snorkel_batch002_step_tasks__maps_route_planning__34" TargetMode="External"/><Relationship Id="rId30" Type="http://schemas.openxmlformats.org/officeDocument/2006/relationships/hyperlink" Target="https://webolmo-data-snorkel.allen.ai/20251210_snorkel_batch001__llm_step_onlinemind2web_websites__169" TargetMode="External"/><Relationship Id="rId11" Type="http://schemas.openxmlformats.org/officeDocument/2006/relationships/hyperlink" Target="https://webolmo-data-snorkel.allen.ai/20251126_snorkel_batch012__llm_step_onlinemind2web_websites__39" TargetMode="External"/><Relationship Id="rId33" Type="http://schemas.openxmlformats.org/officeDocument/2006/relationships/hyperlink" Target="https://webolmo-data-snorkel.allen.ai/20260107_snorkel_batch002_step_tasks__maps_distance__12" TargetMode="External"/><Relationship Id="rId10" Type="http://schemas.openxmlformats.org/officeDocument/2006/relationships/hyperlink" Target="https://webolmo-data-snorkel.allen.ai/20251126_snorkel_batch014__llm_step_popular_websites__6" TargetMode="External"/><Relationship Id="rId32" Type="http://schemas.openxmlformats.org/officeDocument/2006/relationships/hyperlink" Target="https://webolmo-data-snorkel.allen.ai/20260107_snorkel_batch001_step_tasks__maps_directions__4" TargetMode="External"/><Relationship Id="rId13" Type="http://schemas.openxmlformats.org/officeDocument/2006/relationships/hyperlink" Target="https://webolmo-data-snorkel.allen.ai/20251126_snorkel_batch020__llm_step_popular_websites__100" TargetMode="External"/><Relationship Id="rId35" Type="http://schemas.openxmlformats.org/officeDocument/2006/relationships/hyperlink" Target="https://webolmo-data-snorkel.allen.ai/20260107_snorkel_batch002_step_tasks__maps_route_planning__9" TargetMode="External"/><Relationship Id="rId12" Type="http://schemas.openxmlformats.org/officeDocument/2006/relationships/hyperlink" Target="https://webolmo-data-snorkel.allen.ai/20251126_snorkel_batch011__llm_step_popular_websites__32" TargetMode="External"/><Relationship Id="rId34" Type="http://schemas.openxmlformats.org/officeDocument/2006/relationships/hyperlink" Target="https://webolmo-data-snorkel.allen.ai/20260107_snorkel_batch002_step_tasks__maps_distance__20" TargetMode="External"/><Relationship Id="rId15" Type="http://schemas.openxmlformats.org/officeDocument/2006/relationships/hyperlink" Target="https://webolmo-data-snorkel.allen.ai/20251126_snorkel_batch014__llm_step_webvoyager_websites__75" TargetMode="External"/><Relationship Id="rId37" Type="http://schemas.openxmlformats.org/officeDocument/2006/relationships/hyperlink" Target="https://webolmo-data-snorkel.allen.ai/20251210_snorkel_batch003__llm_step_webvoyager_websites__94" TargetMode="External"/><Relationship Id="rId14" Type="http://schemas.openxmlformats.org/officeDocument/2006/relationships/hyperlink" Target="https://webolmo-data-snorkel.allen.ai/20251126_snorkel_batch012__llm_step_webvoyager_websites__9" TargetMode="External"/><Relationship Id="rId36" Type="http://schemas.openxmlformats.org/officeDocument/2006/relationships/hyperlink" Target="https://webolmo-data-snorkel.allen.ai/20251126_snorkel_batch016__llm_step_onlinemind2web_websites__18" TargetMode="External"/><Relationship Id="rId17" Type="http://schemas.openxmlformats.org/officeDocument/2006/relationships/hyperlink" Target="https://webolmo-data-snorkel.allen.ai/20251219_snorkel_batch008__llm_navqa_webvoyager_websites__24" TargetMode="External"/><Relationship Id="rId39" Type="http://schemas.openxmlformats.org/officeDocument/2006/relationships/hyperlink" Target="https://webolmo-data-snorkel.allen.ai/20260113_snorkel_batch006_procedural__maps_nearby__7" TargetMode="External"/><Relationship Id="rId16" Type="http://schemas.openxmlformats.org/officeDocument/2006/relationships/hyperlink" Target="https://webolmo-data-snorkel.allen.ai/20260107_snorkel_batch003_step_tasks__career_job_search__18" TargetMode="External"/><Relationship Id="rId38" Type="http://schemas.openxmlformats.org/officeDocument/2006/relationships/hyperlink" Target="https://webolmo-data-snorkel.allen.ai/20260113_snorkel_batch001_procedural__maps_visual_search__3" TargetMode="External"/><Relationship Id="rId19" Type="http://schemas.openxmlformats.org/officeDocument/2006/relationships/hyperlink" Target="https://webolmo-data-snorkel.allen.ai/20260107_snorkel_batch003_step_tasks__food_recipes__13" TargetMode="External"/><Relationship Id="rId18" Type="http://schemas.openxmlformats.org/officeDocument/2006/relationships/hyperlink" Target="https://webolmo-data-snorkel.allen.ai/20260107_snorkel_batch001_step_tasks__general_news_nav__1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G001@gdsonline.tech" TargetMode="External"/><Relationship Id="rId2" Type="http://schemas.openxmlformats.org/officeDocument/2006/relationships/hyperlink" Target="mailto:G002@gdsonline.tech" TargetMode="External"/><Relationship Id="rId3" Type="http://schemas.openxmlformats.org/officeDocument/2006/relationships/hyperlink" Target="mailto:G003@gdsonline.tech" TargetMode="External"/><Relationship Id="rId4" Type="http://schemas.openxmlformats.org/officeDocument/2006/relationships/hyperlink" Target="mailto:G004@gdsonline.tech" TargetMode="External"/><Relationship Id="rId5" Type="http://schemas.openxmlformats.org/officeDocument/2006/relationships/hyperlink" Target="mailto:G005@gdsonline.tech"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ebolmo-data-snorkel.allen.ai/20251219_snorkel_batch005__llm_navqa_popular_websites__48" TargetMode="External"/><Relationship Id="rId194" Type="http://schemas.openxmlformats.org/officeDocument/2006/relationships/hyperlink" Target="https://webolmo-data-snorkel.allen.ai/20251219_snorkel_batch003__llm_navqa_popular_websites__115" TargetMode="External"/><Relationship Id="rId193" Type="http://schemas.openxmlformats.org/officeDocument/2006/relationships/hyperlink" Target="https://webolmo-data-snorkel.allen.ai/20251219_snorkel_batch008__llm_navqa_popular_websites__74" TargetMode="External"/><Relationship Id="rId192" Type="http://schemas.openxmlformats.org/officeDocument/2006/relationships/hyperlink" Target="https://webolmo-data-snorkel.allen.ai/20251219_snorkel_batch010__llm_navqa_onlinemind2web_websites__40" TargetMode="External"/><Relationship Id="rId191" Type="http://schemas.openxmlformats.org/officeDocument/2006/relationships/hyperlink" Target="https://webolmo-data-snorkel.allen.ai/20251219_snorkel_batch003__llm_navqa_webvoyager_websites__71" TargetMode="External"/><Relationship Id="rId187" Type="http://schemas.openxmlformats.org/officeDocument/2006/relationships/hyperlink" Target="https://webolmo-data-snorkel.allen.ai/20251219_snorkel_batch002__llm_navqa_popular_websites__155" TargetMode="External"/><Relationship Id="rId186" Type="http://schemas.openxmlformats.org/officeDocument/2006/relationships/hyperlink" Target="https://webolmo-data-snorkel.allen.ai/20251219_snorkel_batch005__llm_navqa_webvoyager_websites__108" TargetMode="External"/><Relationship Id="rId185" Type="http://schemas.openxmlformats.org/officeDocument/2006/relationships/hyperlink" Target="https://webolmo-data-snorkel.allen.ai/20251219_snorkel_batch008__llm_navqa_webvoyager_websites__66" TargetMode="External"/><Relationship Id="rId184" Type="http://schemas.openxmlformats.org/officeDocument/2006/relationships/hyperlink" Target="https://webolmo-data-snorkel.allen.ai/20251121_snorkel_batch001__webvoyager_like__239" TargetMode="External"/><Relationship Id="rId189" Type="http://schemas.openxmlformats.org/officeDocument/2006/relationships/hyperlink" Target="https://webolmo-data-snorkel.allen.ai/20251219_snorkel_batch009__llm_navqa_onlinemind2web_websites__63" TargetMode="External"/><Relationship Id="rId188" Type="http://schemas.openxmlformats.org/officeDocument/2006/relationships/hyperlink" Target="https://webolmo-data-snorkel.allen.ai/20251219_snorkel_batch005__llm_navqa_webvoyager_websites__115" TargetMode="External"/><Relationship Id="rId183" Type="http://schemas.openxmlformats.org/officeDocument/2006/relationships/hyperlink" Target="https://webolmo-data-snorkel.allen.ai/20251121_snorkel_batch001__webvoyager_like__121" TargetMode="External"/><Relationship Id="rId182" Type="http://schemas.openxmlformats.org/officeDocument/2006/relationships/hyperlink" Target="https://webolmo-data-snorkel.allen.ai/20251219_snorkel_batch009__llm_navqa_webvoyager_websites__161" TargetMode="External"/><Relationship Id="rId181" Type="http://schemas.openxmlformats.org/officeDocument/2006/relationships/hyperlink" Target="https://webolmo-data-snorkel.allen.ai/20251219_snorkel_batch006__llm_navqa_onlinemind2web_websites__129" TargetMode="External"/><Relationship Id="rId180" Type="http://schemas.openxmlformats.org/officeDocument/2006/relationships/hyperlink" Target="https://webolmo-data-snorkel.allen.ai/20251219_snorkel_batch009__llm_navqa_onlinemind2web_websites__46" TargetMode="External"/><Relationship Id="rId176" Type="http://schemas.openxmlformats.org/officeDocument/2006/relationships/hyperlink" Target="https://webolmo-data-snorkel.allen.ai/20251219_snorkel_batch009__llm_navqa_onlinemind2web_websites__76" TargetMode="External"/><Relationship Id="rId175" Type="http://schemas.openxmlformats.org/officeDocument/2006/relationships/hyperlink" Target="https://webolmo-data-snorkel.allen.ai/20251219_snorkel_batch009__llm_navqa_popular_websites__25" TargetMode="External"/><Relationship Id="rId174" Type="http://schemas.openxmlformats.org/officeDocument/2006/relationships/hyperlink" Target="https://webolmo-data-snorkel.allen.ai/20251219_snorkel_batch010__llm_navqa_popular_websites__68" TargetMode="External"/><Relationship Id="rId173" Type="http://schemas.openxmlformats.org/officeDocument/2006/relationships/hyperlink" Target="https://webolmo-data-snorkel.allen.ai/20251219_snorkel_batch004__llm_navqa_webvoyager_websites__150" TargetMode="External"/><Relationship Id="rId179" Type="http://schemas.openxmlformats.org/officeDocument/2006/relationships/hyperlink" Target="https://webolmo-data-snorkel.allen.ai/20251219_snorkel_batch004__llm_navqa_webvoyager_websites__157" TargetMode="External"/><Relationship Id="rId178" Type="http://schemas.openxmlformats.org/officeDocument/2006/relationships/hyperlink" Target="https://webolmo-data-snorkel.allen.ai/20251219_snorkel_batch007__llm_navqa_webvoyager_websites__21" TargetMode="External"/><Relationship Id="rId177" Type="http://schemas.openxmlformats.org/officeDocument/2006/relationships/hyperlink" Target="https://webolmo-data-snorkel.allen.ai/20251219_snorkel_batch010__llm_navqa_onlinemind2web_websites__34" TargetMode="External"/><Relationship Id="rId198" Type="http://schemas.openxmlformats.org/officeDocument/2006/relationships/hyperlink" Target="https://webolmo-data-snorkel.allen.ai/20251219_snorkel_batch006__llm_navqa_onlinemind2web_websites__79" TargetMode="External"/><Relationship Id="rId197" Type="http://schemas.openxmlformats.org/officeDocument/2006/relationships/hyperlink" Target="https://webolmo-data-snorkel.allen.ai/20251219_snorkel_batch002__llm_navqa_onlinemind2web_websites__149" TargetMode="External"/><Relationship Id="rId196" Type="http://schemas.openxmlformats.org/officeDocument/2006/relationships/hyperlink" Target="https://webolmo-data-snorkel.allen.ai/20251219_snorkel_batch003__llm_navqa_popular_websites__150" TargetMode="External"/><Relationship Id="rId195" Type="http://schemas.openxmlformats.org/officeDocument/2006/relationships/hyperlink" Target="https://webolmo-data-snorkel.allen.ai/20251219_snorkel_batch002__llm_navqa_popular_websites__127" TargetMode="External"/><Relationship Id="rId199" Type="http://schemas.openxmlformats.org/officeDocument/2006/relationships/hyperlink" Target="https://webolmo-data-snorkel.allen.ai/20251219_snorkel_batch009__llm_navqa_webvoyager_websites__0" TargetMode="External"/><Relationship Id="rId150" Type="http://schemas.openxmlformats.org/officeDocument/2006/relationships/hyperlink" Target="https://webolmo-data-snorkel.allen.ai/20251219_snorkel_batch007__llm_navqa_onlinemind2web_websites__76" TargetMode="External"/><Relationship Id="rId392" Type="http://schemas.openxmlformats.org/officeDocument/2006/relationships/hyperlink" Target="https://webolmo-data-snorkel.allen.ai/20251126_snorkel_batch013__llm_step_popular_websites__19" TargetMode="External"/><Relationship Id="rId391" Type="http://schemas.openxmlformats.org/officeDocument/2006/relationships/hyperlink" Target="https://webolmo-data-snorkel.allen.ai/20251126_snorkel_batch020__llm_step_webvoyager_websites__22" TargetMode="External"/><Relationship Id="rId390" Type="http://schemas.openxmlformats.org/officeDocument/2006/relationships/hyperlink" Target="https://webolmo-data-snorkel.allen.ai/20251126_snorkel_batch011__llm_step_onlinemind2web_websites__11" TargetMode="External"/><Relationship Id="rId1" Type="http://schemas.openxmlformats.org/officeDocument/2006/relationships/hyperlink" Target="https://webolmo-data-snorkel.allen.ai/20251219_snorkel_batch008__llm_navqa_onlinemind2web_websites__138" TargetMode="External"/><Relationship Id="rId2" Type="http://schemas.openxmlformats.org/officeDocument/2006/relationships/hyperlink" Target="https://webolmo-data-snorkel.allen.ai/20251219_snorkel_batch007__llm_navqa_onlinemind2web_websites__38" TargetMode="External"/><Relationship Id="rId3" Type="http://schemas.openxmlformats.org/officeDocument/2006/relationships/hyperlink" Target="https://webolmo-data-snorkel.allen.ai/20251219_snorkel_batch002__llm_navqa_popular_websites__13" TargetMode="External"/><Relationship Id="rId149" Type="http://schemas.openxmlformats.org/officeDocument/2006/relationships/hyperlink" Target="https://webolmo-data-snorkel.allen.ai/20251219_snorkel_batch010__llm_navqa_webvoyager_websites__18" TargetMode="External"/><Relationship Id="rId4" Type="http://schemas.openxmlformats.org/officeDocument/2006/relationships/hyperlink" Target="https://webolmo-data-snorkel.allen.ai/20251219_snorkel_batch006__llm_navqa_popular_websites__139" TargetMode="External"/><Relationship Id="rId148" Type="http://schemas.openxmlformats.org/officeDocument/2006/relationships/hyperlink" Target="https://webolmo-data-snorkel.allen.ai/20251219_snorkel_batch002__llm_navqa_webvoyager_websites__28" TargetMode="External"/><Relationship Id="rId9" Type="http://schemas.openxmlformats.org/officeDocument/2006/relationships/hyperlink" Target="https://webolmo-data-snorkel.allen.ai/20251219_snorkel_batch006__llm_navqa_webvoyager_websites__42" TargetMode="External"/><Relationship Id="rId143" Type="http://schemas.openxmlformats.org/officeDocument/2006/relationships/hyperlink" Target="https://webolmo-data-snorkel.allen.ai/20251219_snorkel_batch009__llm_navqa_popular_websites__132" TargetMode="External"/><Relationship Id="rId385" Type="http://schemas.openxmlformats.org/officeDocument/2006/relationships/hyperlink" Target="https://webolmo-data-snorkel.allen.ai/20251126_snorkel_batch018__llm_step_webvoyager_websites__128" TargetMode="External"/><Relationship Id="rId142" Type="http://schemas.openxmlformats.org/officeDocument/2006/relationships/hyperlink" Target="https://webolmo-data-snorkel.allen.ai/20251219_snorkel_batch004__llm_navqa_popular_websites__9" TargetMode="External"/><Relationship Id="rId384" Type="http://schemas.openxmlformats.org/officeDocument/2006/relationships/hyperlink" Target="https://webolmo-data-snorkel.allen.ai/20251126_snorkel_batch012__llm_step_popular_websites__80" TargetMode="External"/><Relationship Id="rId141" Type="http://schemas.openxmlformats.org/officeDocument/2006/relationships/hyperlink" Target="https://webolmo-data-snorkel.allen.ai/20251219_snorkel_batch006__llm_navqa_popular_websites__117" TargetMode="External"/><Relationship Id="rId383" Type="http://schemas.openxmlformats.org/officeDocument/2006/relationships/hyperlink" Target="https://webolmo-data-snorkel.allen.ai/20251126_snorkel_batch011__llm_step_onlinemind2web_websites__67" TargetMode="External"/><Relationship Id="rId140" Type="http://schemas.openxmlformats.org/officeDocument/2006/relationships/hyperlink" Target="https://webolmo-data-snorkel.allen.ai/20251219_snorkel_batch005__llm_navqa_onlinemind2web_websites__156" TargetMode="External"/><Relationship Id="rId382" Type="http://schemas.openxmlformats.org/officeDocument/2006/relationships/hyperlink" Target="https://webolmo-data-snorkel.allen.ai/20251126_snorkel_batch014__llm_step_webvoyager_websites__70" TargetMode="External"/><Relationship Id="rId5" Type="http://schemas.openxmlformats.org/officeDocument/2006/relationships/hyperlink" Target="https://webolmo-data-snorkel.allen.ai/20251219_snorkel_batch010__llm_navqa_popular_websites__4" TargetMode="External"/><Relationship Id="rId147" Type="http://schemas.openxmlformats.org/officeDocument/2006/relationships/hyperlink" Target="https://webolmo-data-snorkel.allen.ai/20251121_snorkel_batch001__webvoyager_like__206" TargetMode="External"/><Relationship Id="rId389" Type="http://schemas.openxmlformats.org/officeDocument/2006/relationships/hyperlink" Target="https://webolmo-data-snorkel.allen.ai/20251126_snorkel_batch015__llm_step_popular_websites__83" TargetMode="External"/><Relationship Id="rId6" Type="http://schemas.openxmlformats.org/officeDocument/2006/relationships/hyperlink" Target="https://webolmo-data-snorkel.allen.ai/20251219_snorkel_batch009__llm_navqa_popular_websites__67" TargetMode="External"/><Relationship Id="rId146" Type="http://schemas.openxmlformats.org/officeDocument/2006/relationships/hyperlink" Target="https://webolmo-data-snorkel.allen.ai/20251219_snorkel_batch006__llm_navqa_onlinemind2web_websites__96" TargetMode="External"/><Relationship Id="rId388" Type="http://schemas.openxmlformats.org/officeDocument/2006/relationships/hyperlink" Target="https://webolmo-data-snorkel.allen.ai/20251126_snorkel_batch012__llm_step_popular_websites__131" TargetMode="External"/><Relationship Id="rId7" Type="http://schemas.openxmlformats.org/officeDocument/2006/relationships/hyperlink" Target="https://webolmo-data-snorkel.allen.ai/20251219_snorkel_batch010__llm_navqa_onlinemind2web_websites__131" TargetMode="External"/><Relationship Id="rId145" Type="http://schemas.openxmlformats.org/officeDocument/2006/relationships/hyperlink" Target="https://webolmo-data-snorkel.allen.ai/20251219_snorkel_batch009__llm_navqa_onlinemind2web_websites__87" TargetMode="External"/><Relationship Id="rId387" Type="http://schemas.openxmlformats.org/officeDocument/2006/relationships/hyperlink" Target="https://webolmo-data-snorkel.allen.ai/20251126_snorkel_batch018__llm_step_popular_websites__115" TargetMode="External"/><Relationship Id="rId8" Type="http://schemas.openxmlformats.org/officeDocument/2006/relationships/hyperlink" Target="https://webolmo-data-snorkel.allen.ai/20251121_snorkel_batch001__webvoyager_like__254" TargetMode="External"/><Relationship Id="rId144" Type="http://schemas.openxmlformats.org/officeDocument/2006/relationships/hyperlink" Target="https://webolmo-data-snorkel.allen.ai/20251219_snorkel_batch007__llm_navqa_popular_websites__125" TargetMode="External"/><Relationship Id="rId386" Type="http://schemas.openxmlformats.org/officeDocument/2006/relationships/hyperlink" Target="https://webolmo-data-snorkel.allen.ai/20251126_snorkel_batch020__llm_step_onlinemind2web_websites__48" TargetMode="External"/><Relationship Id="rId381" Type="http://schemas.openxmlformats.org/officeDocument/2006/relationships/hyperlink" Target="https://webolmo-data-snorkel.allen.ai/20251126_snorkel_batch019__llm_step_onlinemind2web_websites__21" TargetMode="External"/><Relationship Id="rId380" Type="http://schemas.openxmlformats.org/officeDocument/2006/relationships/hyperlink" Target="https://webolmo-data-snorkel.allen.ai/20251126_snorkel_batch014__llm_step_popular_websites__155" TargetMode="External"/><Relationship Id="rId139" Type="http://schemas.openxmlformats.org/officeDocument/2006/relationships/hyperlink" Target="https://webolmo-data-snorkel.allen.ai/20251121_snorkel_batch001__webvoyager_like__59" TargetMode="External"/><Relationship Id="rId138" Type="http://schemas.openxmlformats.org/officeDocument/2006/relationships/hyperlink" Target="https://webolmo-data-snorkel.allen.ai/20251219_snorkel_batch008__llm_navqa_popular_websites__106" TargetMode="External"/><Relationship Id="rId137" Type="http://schemas.openxmlformats.org/officeDocument/2006/relationships/hyperlink" Target="https://webolmo-data-snorkel.allen.ai/20251219_snorkel_batch006__llm_navqa_popular_websites__100" TargetMode="External"/><Relationship Id="rId379" Type="http://schemas.openxmlformats.org/officeDocument/2006/relationships/hyperlink" Target="https://webolmo-data-snorkel.allen.ai/20251126_snorkel_batch013__llm_step_webvoyager_websites__115" TargetMode="External"/><Relationship Id="rId132" Type="http://schemas.openxmlformats.org/officeDocument/2006/relationships/hyperlink" Target="https://webolmo-data-snorkel.allen.ai/20251219_snorkel_batch008__llm_navqa_webvoyager_websites__133" TargetMode="External"/><Relationship Id="rId374" Type="http://schemas.openxmlformats.org/officeDocument/2006/relationships/hyperlink" Target="https://webolmo-data-snorkel.allen.ai/20251126_snorkel_batch014__llm_step_popular_websites__26" TargetMode="External"/><Relationship Id="rId131" Type="http://schemas.openxmlformats.org/officeDocument/2006/relationships/hyperlink" Target="https://webolmo-data-snorkel.allen.ai/20251219_snorkel_batch006__llm_navqa_popular_websites__55" TargetMode="External"/><Relationship Id="rId373" Type="http://schemas.openxmlformats.org/officeDocument/2006/relationships/hyperlink" Target="https://webolmo-data-snorkel.allen.ai/20251126_snorkel_batch016__llm_step_onlinemind2web_websites__44" TargetMode="External"/><Relationship Id="rId130" Type="http://schemas.openxmlformats.org/officeDocument/2006/relationships/hyperlink" Target="https://webolmo-data-snorkel.allen.ai/20251219_snorkel_batch010__llm_navqa_popular_websites__9" TargetMode="External"/><Relationship Id="rId372" Type="http://schemas.openxmlformats.org/officeDocument/2006/relationships/hyperlink" Target="https://webolmo-data-snorkel.allen.ai/20251126_snorkel_batch016__llm_step_popular_websites__67" TargetMode="External"/><Relationship Id="rId371" Type="http://schemas.openxmlformats.org/officeDocument/2006/relationships/hyperlink" Target="https://webolmo-data-snorkel.allen.ai/20251126_snorkel_batch012__llm_step_onlinemind2web_websites__39" TargetMode="External"/><Relationship Id="rId136" Type="http://schemas.openxmlformats.org/officeDocument/2006/relationships/hyperlink" Target="https://webolmo-data-snorkel.allen.ai/20251219_snorkel_batch009__llm_navqa_webvoyager_websites__94" TargetMode="External"/><Relationship Id="rId378" Type="http://schemas.openxmlformats.org/officeDocument/2006/relationships/hyperlink" Target="https://webolmo-data-snorkel.allen.ai/20251126_snorkel_batch015__llm_step_onlinemind2web_websites__74" TargetMode="External"/><Relationship Id="rId135" Type="http://schemas.openxmlformats.org/officeDocument/2006/relationships/hyperlink" Target="https://webolmo-data-snorkel.allen.ai/20251219_snorkel_batch007__llm_navqa_popular_websites__109" TargetMode="External"/><Relationship Id="rId377" Type="http://schemas.openxmlformats.org/officeDocument/2006/relationships/hyperlink" Target="https://webolmo-data-snorkel.allen.ai/20251126_snorkel_batch019__llm_step_webvoyager_websites__156" TargetMode="External"/><Relationship Id="rId134" Type="http://schemas.openxmlformats.org/officeDocument/2006/relationships/hyperlink" Target="https://webolmo-data-snorkel.allen.ai/20251219_snorkel_batch001__llm_navqa_popular_websites__159" TargetMode="External"/><Relationship Id="rId376" Type="http://schemas.openxmlformats.org/officeDocument/2006/relationships/hyperlink" Target="https://webolmo-data-snorkel.allen.ai/20251126_snorkel_batch020__llm_step_webvoyager_websites__95" TargetMode="External"/><Relationship Id="rId133" Type="http://schemas.openxmlformats.org/officeDocument/2006/relationships/hyperlink" Target="https://webolmo-data-snorkel.allen.ai/20251219_snorkel_batch006__llm_navqa_popular_websites__110" TargetMode="External"/><Relationship Id="rId375" Type="http://schemas.openxmlformats.org/officeDocument/2006/relationships/hyperlink" Target="https://webolmo-data-snorkel.allen.ai/20251126_snorkel_batch014__llm_step_webvoyager_websites__90" TargetMode="External"/><Relationship Id="rId172" Type="http://schemas.openxmlformats.org/officeDocument/2006/relationships/hyperlink" Target="https://webolmo-data-snorkel.allen.ai/20251219_snorkel_batch006__llm_navqa_onlinemind2web_websites__152" TargetMode="External"/><Relationship Id="rId171" Type="http://schemas.openxmlformats.org/officeDocument/2006/relationships/hyperlink" Target="https://webolmo-data-snorkel.allen.ai/20251219_snorkel_batch007__llm_navqa_onlinemind2web_websites__110" TargetMode="External"/><Relationship Id="rId170" Type="http://schemas.openxmlformats.org/officeDocument/2006/relationships/hyperlink" Target="https://webolmo-data-snorkel.allen.ai/20251219_snorkel_batch008__llm_navqa_onlinemind2web_websites__52" TargetMode="External"/><Relationship Id="rId165" Type="http://schemas.openxmlformats.org/officeDocument/2006/relationships/hyperlink" Target="https://webolmo-data-snorkel.allen.ai/20251219_snorkel_batch008__llm_navqa_webvoyager_websites__121" TargetMode="External"/><Relationship Id="rId164" Type="http://schemas.openxmlformats.org/officeDocument/2006/relationships/hyperlink" Target="https://webolmo-data-snorkel.allen.ai/20251219_snorkel_batch005__llm_navqa_popular_websites__140" TargetMode="External"/><Relationship Id="rId163" Type="http://schemas.openxmlformats.org/officeDocument/2006/relationships/hyperlink" Target="https://webolmo-data-snorkel.allen.ai/20251121_snorkel_batch001__webvoyager_like__33" TargetMode="External"/><Relationship Id="rId162" Type="http://schemas.openxmlformats.org/officeDocument/2006/relationships/hyperlink" Target="https://webolmo-data-snorkel.allen.ai/20251219_snorkel_batch008__llm_navqa_onlinemind2web_websites__165" TargetMode="External"/><Relationship Id="rId169" Type="http://schemas.openxmlformats.org/officeDocument/2006/relationships/hyperlink" Target="https://webolmo-data-snorkel.allen.ai/20251219_snorkel_batch009__llm_navqa_onlinemind2web_websites__74" TargetMode="External"/><Relationship Id="rId168" Type="http://schemas.openxmlformats.org/officeDocument/2006/relationships/hyperlink" Target="https://webolmo-data-snorkel.allen.ai/20251219_snorkel_batch008__llm_navqa_popular_websites__130" TargetMode="External"/><Relationship Id="rId167" Type="http://schemas.openxmlformats.org/officeDocument/2006/relationships/hyperlink" Target="https://webolmo-data-snorkel.allen.ai/20251219_snorkel_batch002__llm_navqa_onlinemind2web_websites__17" TargetMode="External"/><Relationship Id="rId166" Type="http://schemas.openxmlformats.org/officeDocument/2006/relationships/hyperlink" Target="https://webolmo-data-snorkel.allen.ai/20251219_snorkel_batch007__llm_navqa_popular_websites__5" TargetMode="External"/><Relationship Id="rId161" Type="http://schemas.openxmlformats.org/officeDocument/2006/relationships/hyperlink" Target="https://webolmo-data-snorkel.allen.ai/20251219_snorkel_batch005__llm_navqa_onlinemind2web_websites__168" TargetMode="External"/><Relationship Id="rId160" Type="http://schemas.openxmlformats.org/officeDocument/2006/relationships/hyperlink" Target="https://webolmo-data-snorkel.allen.ai/20251121_snorkel_batch001__webvoyager_like__32" TargetMode="External"/><Relationship Id="rId159" Type="http://schemas.openxmlformats.org/officeDocument/2006/relationships/hyperlink" Target="https://webolmo-data-snorkel.allen.ai/20251219_snorkel_batch005__llm_navqa_popular_websites__139" TargetMode="External"/><Relationship Id="rId154" Type="http://schemas.openxmlformats.org/officeDocument/2006/relationships/hyperlink" Target="https://webolmo-data-snorkel.allen.ai/20251121_snorkel_batch001__webvoyager_like__470" TargetMode="External"/><Relationship Id="rId396" Type="http://schemas.openxmlformats.org/officeDocument/2006/relationships/hyperlink" Target="https://webolmo-data-snorkel.allen.ai/20251126_snorkel_batch020__llm_step_popular_websites__31" TargetMode="External"/><Relationship Id="rId153" Type="http://schemas.openxmlformats.org/officeDocument/2006/relationships/hyperlink" Target="https://webolmo-data-snorkel.allen.ai/20251219_snorkel_batch010__llm_navqa_onlinemind2web_websites__95" TargetMode="External"/><Relationship Id="rId395" Type="http://schemas.openxmlformats.org/officeDocument/2006/relationships/hyperlink" Target="https://webolmo-data-snorkel.allen.ai/20251126_snorkel_batch015__llm_step_onlinemind2web_websites__169" TargetMode="External"/><Relationship Id="rId152" Type="http://schemas.openxmlformats.org/officeDocument/2006/relationships/hyperlink" Target="https://webolmo-data-snorkel.allen.ai/20251219_snorkel_batch006__llm_navqa_popular_websites__41" TargetMode="External"/><Relationship Id="rId394" Type="http://schemas.openxmlformats.org/officeDocument/2006/relationships/hyperlink" Target="https://webolmo-data-snorkel.allen.ai/20251126_snorkel_batch014__llm_step_onlinemind2web_websites__76" TargetMode="External"/><Relationship Id="rId151" Type="http://schemas.openxmlformats.org/officeDocument/2006/relationships/hyperlink" Target="https://webolmo-data-snorkel.allen.ai/20251219_snorkel_batch002__llm_navqa_popular_websites__30" TargetMode="External"/><Relationship Id="rId393" Type="http://schemas.openxmlformats.org/officeDocument/2006/relationships/hyperlink" Target="https://webolmo-data-snorkel.allen.ai/20251126_snorkel_batch019__llm_step_webvoyager_websites__128" TargetMode="External"/><Relationship Id="rId158" Type="http://schemas.openxmlformats.org/officeDocument/2006/relationships/hyperlink" Target="https://webolmo-data-snorkel.allen.ai/20251219_snorkel_batch010__llm_navqa_popular_websites__30" TargetMode="External"/><Relationship Id="rId157" Type="http://schemas.openxmlformats.org/officeDocument/2006/relationships/hyperlink" Target="https://webolmo-data-snorkel.allen.ai/20251219_snorkel_batch010__llm_navqa_popular_websites__117" TargetMode="External"/><Relationship Id="rId399" Type="http://schemas.openxmlformats.org/officeDocument/2006/relationships/hyperlink" Target="https://webolmo-data-snorkel.allen.ai/20251126_snorkel_batch013__llm_step_webvoyager_websites__114" TargetMode="External"/><Relationship Id="rId156" Type="http://schemas.openxmlformats.org/officeDocument/2006/relationships/hyperlink" Target="https://webolmo-data-snorkel.allen.ai/20251219_snorkel_batch001__llm_navqa_onlinemind2web_websites__41" TargetMode="External"/><Relationship Id="rId398" Type="http://schemas.openxmlformats.org/officeDocument/2006/relationships/hyperlink" Target="https://webolmo-data-snorkel.allen.ai/20251126_snorkel_batch013__llm_step_webvoyager_websites__118" TargetMode="External"/><Relationship Id="rId155" Type="http://schemas.openxmlformats.org/officeDocument/2006/relationships/hyperlink" Target="https://webolmo-data-snorkel.allen.ai/20251219_snorkel_batch005__llm_navqa_popular_websites__102" TargetMode="External"/><Relationship Id="rId397" Type="http://schemas.openxmlformats.org/officeDocument/2006/relationships/hyperlink" Target="https://webolmo-data-snorkel.allen.ai/20251126_snorkel_batch014__llm_step_onlinemind2web_websites__153" TargetMode="External"/><Relationship Id="rId808" Type="http://schemas.openxmlformats.org/officeDocument/2006/relationships/table" Target="../tables/table5.xml"/><Relationship Id="rId807" Type="http://schemas.openxmlformats.org/officeDocument/2006/relationships/table" Target="../tables/table4.xml"/><Relationship Id="rId806" Type="http://schemas.openxmlformats.org/officeDocument/2006/relationships/table" Target="../tables/table3.xml"/><Relationship Id="rId805" Type="http://schemas.openxmlformats.org/officeDocument/2006/relationships/table" Target="../tables/table2.xml"/><Relationship Id="rId809" Type="http://schemas.openxmlformats.org/officeDocument/2006/relationships/table" Target="../tables/table6.xml"/><Relationship Id="rId40" Type="http://schemas.openxmlformats.org/officeDocument/2006/relationships/hyperlink" Target="https://webolmo-data-snorkel.allen.ai/20251219_snorkel_batch004__llm_navqa_webvoyager_websites__21" TargetMode="External"/><Relationship Id="rId42" Type="http://schemas.openxmlformats.org/officeDocument/2006/relationships/hyperlink" Target="https://webolmo-data-snorkel.allen.ai/20251121_snorkel_batch001__webvoyager_like__455" TargetMode="External"/><Relationship Id="rId41" Type="http://schemas.openxmlformats.org/officeDocument/2006/relationships/hyperlink" Target="https://webolmo-data-snorkel.allen.ai/20251219_snorkel_batch006__llm_navqa_webvoyager_websites__8" TargetMode="External"/><Relationship Id="rId44" Type="http://schemas.openxmlformats.org/officeDocument/2006/relationships/hyperlink" Target="https://webolmo-data-snorkel.allen.ai/20251219_snorkel_batch002__llm_navqa_webvoyager_websites__156" TargetMode="External"/><Relationship Id="rId43" Type="http://schemas.openxmlformats.org/officeDocument/2006/relationships/hyperlink" Target="https://webolmo-data-snorkel.allen.ai/20251219_snorkel_batch006__llm_navqa_onlinemind2web_websites__88" TargetMode="External"/><Relationship Id="rId46" Type="http://schemas.openxmlformats.org/officeDocument/2006/relationships/hyperlink" Target="https://webolmo-data-snorkel.allen.ai/20251219_snorkel_batch008__llm_navqa_webvoyager_websites__10" TargetMode="External"/><Relationship Id="rId45" Type="http://schemas.openxmlformats.org/officeDocument/2006/relationships/hyperlink" Target="https://webolmo-data-snorkel.allen.ai/20251121_snorkel_batch001__webvoyager_like__467" TargetMode="External"/><Relationship Id="rId509" Type="http://schemas.openxmlformats.org/officeDocument/2006/relationships/hyperlink" Target="https://webolmo-data-snorkel.allen.ai/20260107_snorkel_batch002_step_tasks__maps_travel_time__69" TargetMode="External"/><Relationship Id="rId508" Type="http://schemas.openxmlformats.org/officeDocument/2006/relationships/hyperlink" Target="https://webolmo-data-snorkel.allen.ai/20260107_snorkel_batch002_step_tasks__maps_route_planning__21" TargetMode="External"/><Relationship Id="rId503" Type="http://schemas.openxmlformats.org/officeDocument/2006/relationships/hyperlink" Target="https://webolmo-data-snorkel.allen.ai/20251126_snorkel_batch018__llm_step_onlinemind2web_websites__137" TargetMode="External"/><Relationship Id="rId745" Type="http://schemas.openxmlformats.org/officeDocument/2006/relationships/hyperlink" Target="https://webolmo-data-snorkel.allen.ai/20251210_snorkel_batch006__llm_step_onlinemind2web_websites__144" TargetMode="External"/><Relationship Id="rId502" Type="http://schemas.openxmlformats.org/officeDocument/2006/relationships/hyperlink" Target="https://webolmo-data-snorkel.allen.ai/20251126_snorkel_batch011__llm_step_onlinemind2web_websites__30" TargetMode="External"/><Relationship Id="rId744" Type="http://schemas.openxmlformats.org/officeDocument/2006/relationships/hyperlink" Target="https://webolmo-data-snorkel.allen.ai/20260113_snorkel_batch003_procedural__maps_distance__11" TargetMode="External"/><Relationship Id="rId501" Type="http://schemas.openxmlformats.org/officeDocument/2006/relationships/hyperlink" Target="https://webolmo-data-snorkel.allen.ai/20260107_snorkel_batch002_step_tasks__maps_travel_time__24" TargetMode="External"/><Relationship Id="rId743" Type="http://schemas.openxmlformats.org/officeDocument/2006/relationships/hyperlink" Target="https://webolmo-data-snorkel.allen.ai/20251126_snorkel_batch013__llm_step_onlinemind2web_websites__55" TargetMode="External"/><Relationship Id="rId500" Type="http://schemas.openxmlformats.org/officeDocument/2006/relationships/hyperlink" Target="https://webolmo-data-snorkel.allen.ai/20251126_snorkel_batch012__llm_step_webvoyager_websites__104" TargetMode="External"/><Relationship Id="rId742" Type="http://schemas.openxmlformats.org/officeDocument/2006/relationships/hyperlink" Target="https://webolmo-data-snorkel.allen.ai/20260113_snorkel_batch002_procedural__health_diagnosis_search_and_open_first__3" TargetMode="External"/><Relationship Id="rId507" Type="http://schemas.openxmlformats.org/officeDocument/2006/relationships/hyperlink" Target="https://webolmo-data-snorkel.allen.ai/20251126_snorkel_batch013__llm_step_onlinemind2web_websites__26" TargetMode="External"/><Relationship Id="rId749" Type="http://schemas.openxmlformats.org/officeDocument/2006/relationships/hyperlink" Target="https://webolmo-data-snorkel.allen.ai/20251126_snorkel_batch013__llm_step_onlinemind2web_websites__18" TargetMode="External"/><Relationship Id="rId506" Type="http://schemas.openxmlformats.org/officeDocument/2006/relationships/hyperlink" Target="https://webolmo-data-snorkel.allen.ai/20260107_snorkel_batch003_step_tasks__career_company_research__39" TargetMode="External"/><Relationship Id="rId748" Type="http://schemas.openxmlformats.org/officeDocument/2006/relationships/hyperlink" Target="https://webolmo-data-snorkel.allen.ai/20251210_snorkel_batch008__llm_step_webvoyager_websites__150" TargetMode="External"/><Relationship Id="rId505" Type="http://schemas.openxmlformats.org/officeDocument/2006/relationships/hyperlink" Target="https://webolmo-data-snorkel.allen.ai/20260107_snorkel_batch003_step_tasks__shopping_search_and_add_to_cart__23" TargetMode="External"/><Relationship Id="rId747" Type="http://schemas.openxmlformats.org/officeDocument/2006/relationships/hyperlink" Target="https://webolmo-data-snorkel.allen.ai/20251210_snorkel_batch009__llm_step_onlinemind2web_websites__150" TargetMode="External"/><Relationship Id="rId504" Type="http://schemas.openxmlformats.org/officeDocument/2006/relationships/hyperlink" Target="https://webolmo-data-snorkel.allen.ai/20260107_snorkel_batch001_step_tasks__general_news_nav_and_open_first__39" TargetMode="External"/><Relationship Id="rId746" Type="http://schemas.openxmlformats.org/officeDocument/2006/relationships/hyperlink" Target="https://webolmo-data-snorkel.allen.ai/20260113_snorkel_batch006_procedural__health_diagnosis_search_and_open_first__5" TargetMode="External"/><Relationship Id="rId48" Type="http://schemas.openxmlformats.org/officeDocument/2006/relationships/hyperlink" Target="https://webolmo-data-snorkel.allen.ai/20251219_snorkel_batch001__llm_navqa_popular_websites__103" TargetMode="External"/><Relationship Id="rId47" Type="http://schemas.openxmlformats.org/officeDocument/2006/relationships/hyperlink" Target="https://webolmo-data-snorkel.allen.ai/20251219_snorkel_batch010__llm_navqa_webvoyager_websites__147" TargetMode="External"/><Relationship Id="rId49" Type="http://schemas.openxmlformats.org/officeDocument/2006/relationships/hyperlink" Target="https://webolmo-data-snorkel.allen.ai/20251219_snorkel_batch004__llm_navqa_webvoyager_websites__137" TargetMode="External"/><Relationship Id="rId741" Type="http://schemas.openxmlformats.org/officeDocument/2006/relationships/hyperlink" Target="https://webolmo-data-snorkel.allen.ai/20260107_snorkel_batch003_step_tasks__hotel_search__5" TargetMode="External"/><Relationship Id="rId740" Type="http://schemas.openxmlformats.org/officeDocument/2006/relationships/hyperlink" Target="https://webolmo-data-snorkel.allen.ai/20260113_snorkel_batch001_procedural__maps_distance__11" TargetMode="External"/><Relationship Id="rId31" Type="http://schemas.openxmlformats.org/officeDocument/2006/relationships/hyperlink" Target="https://webolmo-data-snorkel.allen.ai/20251219_snorkel_batch010__llm_navqa_popular_websites__88" TargetMode="External"/><Relationship Id="rId30" Type="http://schemas.openxmlformats.org/officeDocument/2006/relationships/hyperlink" Target="https://webolmo-data-snorkel.allen.ai/20251219_snorkel_batch009__llm_navqa_popular_websites__66" TargetMode="External"/><Relationship Id="rId33" Type="http://schemas.openxmlformats.org/officeDocument/2006/relationships/hyperlink" Target="https://webolmo-data-snorkel.allen.ai/20251219_snorkel_batch010__llm_navqa_webvoyager_websites__141" TargetMode="External"/><Relationship Id="rId32" Type="http://schemas.openxmlformats.org/officeDocument/2006/relationships/hyperlink" Target="https://webolmo-data-snorkel.allen.ai/20251126_snorkel_batch011__llm_step_onlinemind2web_websites__122" TargetMode="External"/><Relationship Id="rId35" Type="http://schemas.openxmlformats.org/officeDocument/2006/relationships/hyperlink" Target="https://webolmo-data-snorkel.allen.ai/20251219_snorkel_batch005__llm_navqa_webvoyager_websites__82" TargetMode="External"/><Relationship Id="rId34" Type="http://schemas.openxmlformats.org/officeDocument/2006/relationships/hyperlink" Target="https://webolmo-data-snorkel.allen.ai/20251219_snorkel_batch005__llm_navqa_popular_websites__88" TargetMode="External"/><Relationship Id="rId739" Type="http://schemas.openxmlformats.org/officeDocument/2006/relationships/hyperlink" Target="https://webolmo-data-snorkel.allen.ai/20251219_snorkel_batch001__llm_navqa_popular_websites__32" TargetMode="External"/><Relationship Id="rId734" Type="http://schemas.openxmlformats.org/officeDocument/2006/relationships/hyperlink" Target="https://webolmo-data-snorkel.allen.ai/20251210_snorkel_batch007__llm_step_webvoyager_websites__106" TargetMode="External"/><Relationship Id="rId733" Type="http://schemas.openxmlformats.org/officeDocument/2006/relationships/hyperlink" Target="https://webolmo-data-snorkel.allen.ai/20251121_snorkel_batch001__webvoyager_like__239" TargetMode="External"/><Relationship Id="rId732" Type="http://schemas.openxmlformats.org/officeDocument/2006/relationships/hyperlink" Target="https://webolmo-data-snorkel.allen.ai/20251210_snorkel_batch010__llm_step_webvoyager_websites__91" TargetMode="External"/><Relationship Id="rId731" Type="http://schemas.openxmlformats.org/officeDocument/2006/relationships/hyperlink" Target="https://webolmo-data-snorkel.allen.ai/20260113_snorkel_batch003_procedural__sports_news_nav__10" TargetMode="External"/><Relationship Id="rId738" Type="http://schemas.openxmlformats.org/officeDocument/2006/relationships/hyperlink" Target="https://webolmo-data-snorkel.allen.ai/20260107_snorkel_batch002_step_tasks__real_estate_search_and_filter__37" TargetMode="External"/><Relationship Id="rId737" Type="http://schemas.openxmlformats.org/officeDocument/2006/relationships/hyperlink" Target="https://webolmo-data-snorkel.allen.ai/20251126_snorkel_batch014__llm_step_popular_websites__59" TargetMode="External"/><Relationship Id="rId736" Type="http://schemas.openxmlformats.org/officeDocument/2006/relationships/hyperlink" Target="https://webolmo-data-snorkel.allen.ai/20251210_snorkel_batch009__llm_step_webvoyager_websites__70" TargetMode="External"/><Relationship Id="rId735" Type="http://schemas.openxmlformats.org/officeDocument/2006/relationships/hyperlink" Target="https://webolmo-data-snorkel.allen.ai/20251210_snorkel_batch006__llm_step_popular_websites__132" TargetMode="External"/><Relationship Id="rId37" Type="http://schemas.openxmlformats.org/officeDocument/2006/relationships/hyperlink" Target="https://webolmo-data-snorkel.allen.ai/20251219_snorkel_batch003__llm_navqa_popular_websites__107" TargetMode="External"/><Relationship Id="rId36" Type="http://schemas.openxmlformats.org/officeDocument/2006/relationships/hyperlink" Target="https://webolmo-data-snorkel.allen.ai/20251219_snorkel_batch006__llm_navqa_popular_websites__128" TargetMode="External"/><Relationship Id="rId39" Type="http://schemas.openxmlformats.org/officeDocument/2006/relationships/hyperlink" Target="https://webolmo-data-snorkel.allen.ai/20251219_snorkel_batch007__llm_navqa_popular_websites__41" TargetMode="External"/><Relationship Id="rId38" Type="http://schemas.openxmlformats.org/officeDocument/2006/relationships/hyperlink" Target="https://webolmo-data-snorkel.allen.ai/20251219_snorkel_batch004__llm_navqa_onlinemind2web_websites__167" TargetMode="External"/><Relationship Id="rId730" Type="http://schemas.openxmlformats.org/officeDocument/2006/relationships/hyperlink" Target="https://webolmo-data-snorkel.allen.ai/20251126_snorkel_batch017__llm_step_popular_websites__74" TargetMode="External"/><Relationship Id="rId20" Type="http://schemas.openxmlformats.org/officeDocument/2006/relationships/hyperlink" Target="https://webolmo-data-snorkel.allen.ai/20251219_snorkel_batch004__llm_navqa_popular_websites__36" TargetMode="External"/><Relationship Id="rId22" Type="http://schemas.openxmlformats.org/officeDocument/2006/relationships/hyperlink" Target="https://webolmo-data-snorkel.allen.ai/20251219_snorkel_batch008__llm_navqa_onlinemind2web_websites__94" TargetMode="External"/><Relationship Id="rId21" Type="http://schemas.openxmlformats.org/officeDocument/2006/relationships/hyperlink" Target="https://webolmo-data-snorkel.allen.ai/20251219_snorkel_batch004__llm_navqa_webvoyager_websites__65" TargetMode="External"/><Relationship Id="rId24" Type="http://schemas.openxmlformats.org/officeDocument/2006/relationships/hyperlink" Target="https://webolmo-data-snorkel.allen.ai/20251219_snorkel_batch010__llm_navqa_webvoyager_websites__14" TargetMode="External"/><Relationship Id="rId23" Type="http://schemas.openxmlformats.org/officeDocument/2006/relationships/hyperlink" Target="https://webolmo-data-snorkel.allen.ai/20251219_snorkel_batch004__llm_navqa_popular_websites__126" TargetMode="External"/><Relationship Id="rId525" Type="http://schemas.openxmlformats.org/officeDocument/2006/relationships/hyperlink" Target="https://webolmo-data-snorkel.allen.ai/20251126_snorkel_batch016__llm_step_webvoyager_websites__40" TargetMode="External"/><Relationship Id="rId767" Type="http://schemas.openxmlformats.org/officeDocument/2006/relationships/hyperlink" Target="https://webolmo-data-snorkel.allen.ai/20260113_snorkel_batch002_procedural__career_company_research__2" TargetMode="External"/><Relationship Id="rId524" Type="http://schemas.openxmlformats.org/officeDocument/2006/relationships/hyperlink" Target="https://webolmo-data-snorkel.allen.ai/20251126_snorkel_batch015__llm_step_webvoyager_websites__22" TargetMode="External"/><Relationship Id="rId766" Type="http://schemas.openxmlformats.org/officeDocument/2006/relationships/hyperlink" Target="https://webolmo-data-snorkel.allen.ai/20260113_snorkel_batch003_procedural__maps_travel_time__8" TargetMode="External"/><Relationship Id="rId523" Type="http://schemas.openxmlformats.org/officeDocument/2006/relationships/hyperlink" Target="https://webolmo-data-snorkel.allen.ai/20251126_snorkel_batch017__llm_step_onlinemind2web_websites__107" TargetMode="External"/><Relationship Id="rId765" Type="http://schemas.openxmlformats.org/officeDocument/2006/relationships/hyperlink" Target="https://webolmo-data-snorkel.allen.ai/20251126_snorkel_batch020__llm_step_webvoyager_websites__138" TargetMode="External"/><Relationship Id="rId522" Type="http://schemas.openxmlformats.org/officeDocument/2006/relationships/hyperlink" Target="https://webolmo-data-snorkel.allen.ai/20251121_snorkel_batch004__webvoyager_like__226" TargetMode="External"/><Relationship Id="rId764" Type="http://schemas.openxmlformats.org/officeDocument/2006/relationships/hyperlink" Target="https://webolmo-data-snorkel.allen.ai/20251210_snorkel_batch001__llm_step_webvoyager_websites__7" TargetMode="External"/><Relationship Id="rId529" Type="http://schemas.openxmlformats.org/officeDocument/2006/relationships/hyperlink" Target="https://webolmo-data-snorkel.allen.ai/20251126_snorkel_batch015__llm_step_webvoyager_websites__4" TargetMode="External"/><Relationship Id="rId528" Type="http://schemas.openxmlformats.org/officeDocument/2006/relationships/hyperlink" Target="https://webolmo-data-snorkel.allen.ai/20251126_snorkel_batch020__llm_step_webvoyager_websites__37" TargetMode="External"/><Relationship Id="rId527" Type="http://schemas.openxmlformats.org/officeDocument/2006/relationships/hyperlink" Target="https://webolmo-data-snorkel.allen.ai/20260107_snorkel_batch001_step_tasks__maps_directions_with_mode__36" TargetMode="External"/><Relationship Id="rId769" Type="http://schemas.openxmlformats.org/officeDocument/2006/relationships/hyperlink" Target="https://webolmo-data-snorkel.allen.ai/20260113_snorkel_batch007_procedural__find_videos__123" TargetMode="External"/><Relationship Id="rId526" Type="http://schemas.openxmlformats.org/officeDocument/2006/relationships/hyperlink" Target="https://webolmo-data-snorkel.allen.ai/20260107_snorkel_batch002_step_tasks__maps_travel_time__50" TargetMode="External"/><Relationship Id="rId768" Type="http://schemas.openxmlformats.org/officeDocument/2006/relationships/hyperlink" Target="https://webolmo-data-snorkel.allen.ai/20251210_snorkel_batch002__llm_step_popular_websites__33" TargetMode="External"/><Relationship Id="rId26" Type="http://schemas.openxmlformats.org/officeDocument/2006/relationships/hyperlink" Target="https://webolmo-data-snorkel.allen.ai/20251219_snorkel_batch005__llm_navqa_popular_websites__42" TargetMode="External"/><Relationship Id="rId25" Type="http://schemas.openxmlformats.org/officeDocument/2006/relationships/hyperlink" Target="https://webolmo-data-snorkel.allen.ai/20251219_snorkel_batch005__llm_navqa_onlinemind2web_websites__127" TargetMode="External"/><Relationship Id="rId28" Type="http://schemas.openxmlformats.org/officeDocument/2006/relationships/hyperlink" Target="https://webolmo-data-snorkel.allen.ai/20251121_snorkel_batch001__webvoyager_like__299" TargetMode="External"/><Relationship Id="rId27" Type="http://schemas.openxmlformats.org/officeDocument/2006/relationships/hyperlink" Target="https://webolmo-data-snorkel.allen.ai/20251219_snorkel_batch010__llm_navqa_popular_websites__7" TargetMode="External"/><Relationship Id="rId521" Type="http://schemas.openxmlformats.org/officeDocument/2006/relationships/hyperlink" Target="https://webolmo-data-snorkel.allen.ai/20260107_snorkel_batch002_step_tasks__real_estate_search_and_filter__14" TargetMode="External"/><Relationship Id="rId763" Type="http://schemas.openxmlformats.org/officeDocument/2006/relationships/hyperlink" Target="https://webolmo-data-snorkel.allen.ai/20251210_snorkel_batch003__llm_step_popular_websites__131" TargetMode="External"/><Relationship Id="rId29" Type="http://schemas.openxmlformats.org/officeDocument/2006/relationships/hyperlink" Target="https://webolmo-data-snorkel.allen.ai/20251219_snorkel_batch009__llm_navqa_popular_websites__18" TargetMode="External"/><Relationship Id="rId520" Type="http://schemas.openxmlformats.org/officeDocument/2006/relationships/hyperlink" Target="https://webolmo-data-snorkel.allen.ai/20251121_snorkel_batch005__webvoyager_like__415" TargetMode="External"/><Relationship Id="rId762" Type="http://schemas.openxmlformats.org/officeDocument/2006/relationships/hyperlink" Target="https://webolmo-data-snorkel.allen.ai/20260113_snorkel_batch002_procedural__maps_route_planning__2" TargetMode="External"/><Relationship Id="rId761" Type="http://schemas.openxmlformats.org/officeDocument/2006/relationships/hyperlink" Target="https://webolmo-data-snorkel.allen.ai/20251126_snorkel_batch018__llm_step_webvoyager_websites__110" TargetMode="External"/><Relationship Id="rId760" Type="http://schemas.openxmlformats.org/officeDocument/2006/relationships/hyperlink" Target="https://webolmo-data-snorkel.allen.ai/20251210_snorkel_batch007__llm_step_popular_websites__73" TargetMode="External"/><Relationship Id="rId11" Type="http://schemas.openxmlformats.org/officeDocument/2006/relationships/hyperlink" Target="https://webolmo-data-snorkel.allen.ai/20251219_snorkel_batch001__llm_navqa_popular_websites__86" TargetMode="External"/><Relationship Id="rId10" Type="http://schemas.openxmlformats.org/officeDocument/2006/relationships/hyperlink" Target="https://webolmo-data-snorkel.allen.ai/20251121_snorkel_batch001__webvoyager_like__373" TargetMode="External"/><Relationship Id="rId13" Type="http://schemas.openxmlformats.org/officeDocument/2006/relationships/hyperlink" Target="https://webolmo-data-snorkel.allen.ai/20251219_snorkel_batch008__llm_navqa_onlinemind2web_websites__68" TargetMode="External"/><Relationship Id="rId12" Type="http://schemas.openxmlformats.org/officeDocument/2006/relationships/hyperlink" Target="https://webolmo-data-snorkel.allen.ai/20251121_snorkel_batch001__webvoyager_like__385" TargetMode="External"/><Relationship Id="rId519" Type="http://schemas.openxmlformats.org/officeDocument/2006/relationships/hyperlink" Target="https://webolmo-data-snorkel.allen.ai/20260107_snorkel_batch002_step_tasks__maps_route_planning__15" TargetMode="External"/><Relationship Id="rId514" Type="http://schemas.openxmlformats.org/officeDocument/2006/relationships/hyperlink" Target="https://webolmo-data-snorkel.allen.ai/20251126_snorkel_batch013__llm_step_webvoyager_websites__41" TargetMode="External"/><Relationship Id="rId756" Type="http://schemas.openxmlformats.org/officeDocument/2006/relationships/hyperlink" Target="https://webolmo-data-snorkel.allen.ai/20251210_snorkel_batch007__llm_step_webvoyager_websites__28" TargetMode="External"/><Relationship Id="rId513" Type="http://schemas.openxmlformats.org/officeDocument/2006/relationships/hyperlink" Target="https://webolmo-data-snorkel.allen.ai/20260107_snorkel_batch001_step_tasks__general_news_nav__29" TargetMode="External"/><Relationship Id="rId755" Type="http://schemas.openxmlformats.org/officeDocument/2006/relationships/hyperlink" Target="https://webolmo-data-snorkel.allen.ai/20251126_snorkel_batch012__llm_step_onlinemind2web_websites__106" TargetMode="External"/><Relationship Id="rId512" Type="http://schemas.openxmlformats.org/officeDocument/2006/relationships/hyperlink" Target="https://webolmo-data-snorkel.allen.ai/20251126_snorkel_batch016__llm_step_popular_websites__72" TargetMode="External"/><Relationship Id="rId754" Type="http://schemas.openxmlformats.org/officeDocument/2006/relationships/hyperlink" Target="https://webolmo-data-snorkel.allen.ai/20251210_snorkel_batch004__llm_step_webvoyager_websites__82" TargetMode="External"/><Relationship Id="rId511" Type="http://schemas.openxmlformats.org/officeDocument/2006/relationships/hyperlink" Target="https://webolmo-data-snorkel.allen.ai/20260107_snorkel_batch001_step_tasks__general_news_nav__3" TargetMode="External"/><Relationship Id="rId753" Type="http://schemas.openxmlformats.org/officeDocument/2006/relationships/hyperlink" Target="https://webolmo-data-snorkel.allen.ai/20260113_snorkel_batch001_procedural__maps_satellite_view__10" TargetMode="External"/><Relationship Id="rId518" Type="http://schemas.openxmlformats.org/officeDocument/2006/relationships/hyperlink" Target="https://webolmo-data-snorkel.allen.ai/20251126_snorkel_batch011__llm_step_webvoyager_websites__65" TargetMode="External"/><Relationship Id="rId517" Type="http://schemas.openxmlformats.org/officeDocument/2006/relationships/hyperlink" Target="https://webolmo-data-snorkel.allen.ai/20251126_snorkel_batch018__llm_step_onlinemind2web_websites__105" TargetMode="External"/><Relationship Id="rId759" Type="http://schemas.openxmlformats.org/officeDocument/2006/relationships/hyperlink" Target="https://webolmo-data-snorkel.allen.ai/20260113_snorkel_batch001_procedural__games_slow_paced_arcade__8" TargetMode="External"/><Relationship Id="rId516" Type="http://schemas.openxmlformats.org/officeDocument/2006/relationships/hyperlink" Target="https://webolmo-data-snorkel.allen.ai/20251126_snorkel_batch011__llm_step_webvoyager_websites__4" TargetMode="External"/><Relationship Id="rId758" Type="http://schemas.openxmlformats.org/officeDocument/2006/relationships/hyperlink" Target="https://webolmo-data-snorkel.allen.ai/20260113_snorkel_batch004_procedural__general_news_nav__9" TargetMode="External"/><Relationship Id="rId515" Type="http://schemas.openxmlformats.org/officeDocument/2006/relationships/hyperlink" Target="https://webolmo-data-snorkel.allen.ai/20251219_snorkel_batch001__llm_navqa_popular_websites__19" TargetMode="External"/><Relationship Id="rId757" Type="http://schemas.openxmlformats.org/officeDocument/2006/relationships/hyperlink" Target="https://webolmo-data-snorkel.allen.ai/20260113_snorkel_batch001_procedural__real_estate_search_and_filter__11" TargetMode="External"/><Relationship Id="rId15" Type="http://schemas.openxmlformats.org/officeDocument/2006/relationships/hyperlink" Target="https://webolmo-data-snorkel.allen.ai/20251219_snorkel_batch005__llm_navqa_onlinemind2web_websites__24" TargetMode="External"/><Relationship Id="rId14" Type="http://schemas.openxmlformats.org/officeDocument/2006/relationships/hyperlink" Target="https://webolmo-data-snorkel.allen.ai/20251219_snorkel_batch001__llm_navqa_webvoyager_websites__30" TargetMode="External"/><Relationship Id="rId17" Type="http://schemas.openxmlformats.org/officeDocument/2006/relationships/hyperlink" Target="https://webolmo-data-snorkel.allen.ai/20251219_snorkel_batch003__llm_navqa_onlinemind2web_websites__11" TargetMode="External"/><Relationship Id="rId16" Type="http://schemas.openxmlformats.org/officeDocument/2006/relationships/hyperlink" Target="https://webolmo-data-snorkel.allen.ai/20251219_snorkel_batch002__llm_navqa_webvoyager_websites__50" TargetMode="External"/><Relationship Id="rId19" Type="http://schemas.openxmlformats.org/officeDocument/2006/relationships/hyperlink" Target="https://webolmo-data-snorkel.allen.ai/20251219_snorkel_batch004__llm_navqa_webvoyager_websites__97" TargetMode="External"/><Relationship Id="rId510" Type="http://schemas.openxmlformats.org/officeDocument/2006/relationships/hyperlink" Target="https://webolmo-data-snorkel.allen.ai/20260107_snorkel_batch002_step_tasks__maps_nearby__18" TargetMode="External"/><Relationship Id="rId752" Type="http://schemas.openxmlformats.org/officeDocument/2006/relationships/hyperlink" Target="https://webolmo-data-snorkel.allen.ai/20251126_snorkel_batch011__llm_step_popular_websites__111" TargetMode="External"/><Relationship Id="rId18" Type="http://schemas.openxmlformats.org/officeDocument/2006/relationships/hyperlink" Target="https://webolmo-data-snorkel.allen.ai/20251219_snorkel_batch009__llm_navqa_webvoyager_websites__83" TargetMode="External"/><Relationship Id="rId751" Type="http://schemas.openxmlformats.org/officeDocument/2006/relationships/hyperlink" Target="https://webolmo-data-snorkel.allen.ai/20251210_snorkel_batch009__llm_step_webvoyager_websites__92" TargetMode="External"/><Relationship Id="rId750" Type="http://schemas.openxmlformats.org/officeDocument/2006/relationships/hyperlink" Target="https://webolmo-data-snorkel.allen.ai/20251210_snorkel_batch009__llm_step_onlinemind2web_websites__160" TargetMode="External"/><Relationship Id="rId84" Type="http://schemas.openxmlformats.org/officeDocument/2006/relationships/hyperlink" Target="https://webolmo-data-snorkel.allen.ai/20251219_snorkel_batch007__llm_navqa_webvoyager_websites__91" TargetMode="External"/><Relationship Id="rId83" Type="http://schemas.openxmlformats.org/officeDocument/2006/relationships/hyperlink" Target="https://webolmo-data-snorkel.allen.ai/20251219_snorkel_batch010__llm_navqa_webvoyager_websites__95" TargetMode="External"/><Relationship Id="rId86" Type="http://schemas.openxmlformats.org/officeDocument/2006/relationships/hyperlink" Target="https://webolmo-data-snorkel.allen.ai/20251219_snorkel_batch001__llm_navqa_webvoyager_websites__19" TargetMode="External"/><Relationship Id="rId85" Type="http://schemas.openxmlformats.org/officeDocument/2006/relationships/hyperlink" Target="https://webolmo-data-snorkel.allen.ai/20251219_snorkel_batch008__llm_navqa_popular_websites__62" TargetMode="External"/><Relationship Id="rId88" Type="http://schemas.openxmlformats.org/officeDocument/2006/relationships/hyperlink" Target="https://webolmo-data-snorkel.allen.ai/20251219_snorkel_batch007__llm_navqa_popular_websites__139" TargetMode="External"/><Relationship Id="rId87" Type="http://schemas.openxmlformats.org/officeDocument/2006/relationships/hyperlink" Target="https://webolmo-data-snorkel.allen.ai/20251219_snorkel_batch006__llm_navqa_webvoyager_websites__20" TargetMode="External"/><Relationship Id="rId89" Type="http://schemas.openxmlformats.org/officeDocument/2006/relationships/hyperlink" Target="https://webolmo-data-snorkel.allen.ai/20251219_snorkel_batch009__llm_navqa_onlinemind2web_websites__69" TargetMode="External"/><Relationship Id="rId709" Type="http://schemas.openxmlformats.org/officeDocument/2006/relationships/hyperlink" Target="https://webolmo-data-snorkel.allen.ai/20260113_snorkel_batch002_procedural__news_search__2" TargetMode="External"/><Relationship Id="rId708" Type="http://schemas.openxmlformats.org/officeDocument/2006/relationships/hyperlink" Target="https://webolmo-data-snorkel.allen.ai/20260113_snorkel_batch003_procedural__maps_directions_with_mode__7" TargetMode="External"/><Relationship Id="rId707" Type="http://schemas.openxmlformats.org/officeDocument/2006/relationships/hyperlink" Target="https://webolmo-data-snorkel.allen.ai/20251210_snorkel_batch002__llm_step_popular_websites__28" TargetMode="External"/><Relationship Id="rId706" Type="http://schemas.openxmlformats.org/officeDocument/2006/relationships/hyperlink" Target="https://webolmo-data-snorkel.allen.ai/20251126_snorkel_batch018__llm_step_webvoyager_websites__81" TargetMode="External"/><Relationship Id="rId80" Type="http://schemas.openxmlformats.org/officeDocument/2006/relationships/hyperlink" Target="https://webolmo-data-snorkel.allen.ai/20251219_snorkel_batch007__llm_navqa_popular_websites__157" TargetMode="External"/><Relationship Id="rId82" Type="http://schemas.openxmlformats.org/officeDocument/2006/relationships/hyperlink" Target="https://webolmo-data-snorkel.allen.ai/20251219_snorkel_batch010__llm_navqa_popular_websites__91" TargetMode="External"/><Relationship Id="rId81" Type="http://schemas.openxmlformats.org/officeDocument/2006/relationships/hyperlink" Target="https://webolmo-data-snorkel.allen.ai/20251219_snorkel_batch008__llm_navqa_webvoyager_websites__96" TargetMode="External"/><Relationship Id="rId701" Type="http://schemas.openxmlformats.org/officeDocument/2006/relationships/hyperlink" Target="https://webolmo-data-snorkel.allen.ai/20251126_snorkel_batch011__llm_step_onlinemind2web_websites__113" TargetMode="External"/><Relationship Id="rId700" Type="http://schemas.openxmlformats.org/officeDocument/2006/relationships/hyperlink" Target="https://webolmo-data-snorkel.allen.ai/20251210_snorkel_batch001__llm_step_popular_websites__112" TargetMode="External"/><Relationship Id="rId705" Type="http://schemas.openxmlformats.org/officeDocument/2006/relationships/hyperlink" Target="https://webolmo-data-snorkel.allen.ai/20260113_snorkel_batch007_procedural__find_videos__103" TargetMode="External"/><Relationship Id="rId704" Type="http://schemas.openxmlformats.org/officeDocument/2006/relationships/hyperlink" Target="https://webolmo-data-snorkel.allen.ai/20260107_snorkel_batch003_step_tasks__car_rental_search__48" TargetMode="External"/><Relationship Id="rId703" Type="http://schemas.openxmlformats.org/officeDocument/2006/relationships/hyperlink" Target="https://webolmo-data-snorkel.allen.ai/20260107_snorkel_batch002_step_tasks__real_estate_search_and_filter__17" TargetMode="External"/><Relationship Id="rId702" Type="http://schemas.openxmlformats.org/officeDocument/2006/relationships/hyperlink" Target="https://webolmo-data-snorkel.allen.ai/20251126_snorkel_batch012__llm_step_webvoyager_websites__93" TargetMode="External"/><Relationship Id="rId73" Type="http://schemas.openxmlformats.org/officeDocument/2006/relationships/hyperlink" Target="https://webolmo-data-snorkel.allen.ai/20251219_snorkel_batch002__llm_navqa_webvoyager_websites__162" TargetMode="External"/><Relationship Id="rId72" Type="http://schemas.openxmlformats.org/officeDocument/2006/relationships/hyperlink" Target="https://webolmo-data-snorkel.allen.ai/20251219_snorkel_batch005__llm_navqa_webvoyager_websites__19" TargetMode="External"/><Relationship Id="rId75" Type="http://schemas.openxmlformats.org/officeDocument/2006/relationships/hyperlink" Target="https://webolmo-data-snorkel.allen.ai/20251219_snorkel_batch007__llm_navqa_onlinemind2web_websites__123" TargetMode="External"/><Relationship Id="rId74" Type="http://schemas.openxmlformats.org/officeDocument/2006/relationships/hyperlink" Target="https://webolmo-data-snorkel.allen.ai/20251219_snorkel_batch010__llm_navqa_onlinemind2web_websites__137" TargetMode="External"/><Relationship Id="rId77" Type="http://schemas.openxmlformats.org/officeDocument/2006/relationships/hyperlink" Target="https://webolmo-data-snorkel.allen.ai/20251219_snorkel_batch002__llm_navqa_onlinemind2web_websites__67" TargetMode="External"/><Relationship Id="rId76" Type="http://schemas.openxmlformats.org/officeDocument/2006/relationships/hyperlink" Target="https://webolmo-data-snorkel.allen.ai/20251219_snorkel_batch007__llm_navqa_onlinemind2web_websites__169" TargetMode="External"/><Relationship Id="rId79" Type="http://schemas.openxmlformats.org/officeDocument/2006/relationships/hyperlink" Target="https://webolmo-data-snorkel.allen.ai/20251219_snorkel_batch005__llm_navqa_popular_websites__141" TargetMode="External"/><Relationship Id="rId78" Type="http://schemas.openxmlformats.org/officeDocument/2006/relationships/hyperlink" Target="https://webolmo-data-snorkel.allen.ai/20251219_snorkel_batch005__llm_navqa_webvoyager_websites__83" TargetMode="External"/><Relationship Id="rId71" Type="http://schemas.openxmlformats.org/officeDocument/2006/relationships/hyperlink" Target="https://webolmo-data-snorkel.allen.ai/20251219_snorkel_batch004__llm_navqa_popular_websites__76" TargetMode="External"/><Relationship Id="rId70" Type="http://schemas.openxmlformats.org/officeDocument/2006/relationships/hyperlink" Target="https://webolmo-data-snorkel.allen.ai/20251219_snorkel_batch001__llm_navqa_webvoyager_websites__50" TargetMode="External"/><Relationship Id="rId62" Type="http://schemas.openxmlformats.org/officeDocument/2006/relationships/hyperlink" Target="https://webolmo-data-snorkel.allen.ai/20251219_snorkel_batch006__llm_navqa_popular_websites__140" TargetMode="External"/><Relationship Id="rId61" Type="http://schemas.openxmlformats.org/officeDocument/2006/relationships/hyperlink" Target="https://webolmo-data-snorkel.allen.ai/20251219_snorkel_batch010__llm_navqa_webvoyager_websites__82" TargetMode="External"/><Relationship Id="rId64" Type="http://schemas.openxmlformats.org/officeDocument/2006/relationships/hyperlink" Target="https://webolmo-data-snorkel.allen.ai/20251219_snorkel_batch009__llm_navqa_onlinemind2web_websites__128" TargetMode="External"/><Relationship Id="rId63" Type="http://schemas.openxmlformats.org/officeDocument/2006/relationships/hyperlink" Target="https://webolmo-data-snorkel.allen.ai/20251219_snorkel_batch010__llm_navqa_popular_websites__44" TargetMode="External"/><Relationship Id="rId66" Type="http://schemas.openxmlformats.org/officeDocument/2006/relationships/hyperlink" Target="https://webolmo-data-snorkel.allen.ai/20251219_snorkel_batch001__llm_navqa_popular_websites__47" TargetMode="External"/><Relationship Id="rId65" Type="http://schemas.openxmlformats.org/officeDocument/2006/relationships/hyperlink" Target="https://webolmo-data-snorkel.allen.ai/20251219_snorkel_batch006__llm_navqa_webvoyager_websites__89" TargetMode="External"/><Relationship Id="rId68" Type="http://schemas.openxmlformats.org/officeDocument/2006/relationships/hyperlink" Target="https://webolmo-data-snorkel.allen.ai/20251121_snorkel_batch001__webvoyager_like__222" TargetMode="External"/><Relationship Id="rId67" Type="http://schemas.openxmlformats.org/officeDocument/2006/relationships/hyperlink" Target="https://webolmo-data-snorkel.allen.ai/20251219_snorkel_batch005__llm_navqa_popular_websites__8" TargetMode="External"/><Relationship Id="rId729" Type="http://schemas.openxmlformats.org/officeDocument/2006/relationships/hyperlink" Target="https://webolmo-data-snorkel.allen.ai/20251126_snorkel_batch013__llm_step_webvoyager_websites__152" TargetMode="External"/><Relationship Id="rId728" Type="http://schemas.openxmlformats.org/officeDocument/2006/relationships/hyperlink" Target="https://webolmo-data-snorkel.allen.ai/20260107_snorkel_batch002_step_tasks__maps_travel_time__49" TargetMode="External"/><Relationship Id="rId60" Type="http://schemas.openxmlformats.org/officeDocument/2006/relationships/hyperlink" Target="https://webolmo-data-snorkel.allen.ai/20251219_snorkel_batch006__llm_navqa_popular_websites__67" TargetMode="External"/><Relationship Id="rId723" Type="http://schemas.openxmlformats.org/officeDocument/2006/relationships/hyperlink" Target="https://webolmo-data-snorkel.allen.ai/20251210_snorkel_batch006__llm_step_webvoyager_websites__79" TargetMode="External"/><Relationship Id="rId722" Type="http://schemas.openxmlformats.org/officeDocument/2006/relationships/hyperlink" Target="https://webolmo-data-snorkel.allen.ai/20251210_snorkel_batch006__llm_step_webvoyager_websites__97" TargetMode="External"/><Relationship Id="rId721" Type="http://schemas.openxmlformats.org/officeDocument/2006/relationships/hyperlink" Target="https://webolmo-data-snorkel.allen.ai/20251210_snorkel_batch009__llm_step_onlinemind2web_websites__158" TargetMode="External"/><Relationship Id="rId720" Type="http://schemas.openxmlformats.org/officeDocument/2006/relationships/hyperlink" Target="https://webolmo-data-snorkel.allen.ai/20260113_snorkel_batch006_procedural__career_find_salary__5" TargetMode="External"/><Relationship Id="rId727" Type="http://schemas.openxmlformats.org/officeDocument/2006/relationships/hyperlink" Target="https://webolmo-data-snorkel.allen.ai/20260113_snorkel_batch003_procedural__career_job_search__6" TargetMode="External"/><Relationship Id="rId726" Type="http://schemas.openxmlformats.org/officeDocument/2006/relationships/hyperlink" Target="https://webolmo-data-snorkel.allen.ai/20260113_snorkel_batch007_procedural__book_event_tickets__103" TargetMode="External"/><Relationship Id="rId725" Type="http://schemas.openxmlformats.org/officeDocument/2006/relationships/hyperlink" Target="https://webolmo-data-snorkel.allen.ai/20260113_snorkel_batch005_procedural__general_news_nav__8" TargetMode="External"/><Relationship Id="rId724" Type="http://schemas.openxmlformats.org/officeDocument/2006/relationships/hyperlink" Target="https://webolmo-data-snorkel.allen.ai/20251210_snorkel_batch007__llm_step_webvoyager_websites__19" TargetMode="External"/><Relationship Id="rId69" Type="http://schemas.openxmlformats.org/officeDocument/2006/relationships/hyperlink" Target="https://webolmo-data-snorkel.allen.ai/20251219_snorkel_batch009__llm_navqa_webvoyager_websites__7" TargetMode="External"/><Relationship Id="rId51" Type="http://schemas.openxmlformats.org/officeDocument/2006/relationships/hyperlink" Target="https://webolmo-data-snorkel.allen.ai/20251219_snorkel_batch004__llm_navqa_webvoyager_websites__61" TargetMode="External"/><Relationship Id="rId50" Type="http://schemas.openxmlformats.org/officeDocument/2006/relationships/hyperlink" Target="https://webolmo-data-snorkel.allen.ai/20251219_snorkel_batch005__llm_navqa_popular_websites__118" TargetMode="External"/><Relationship Id="rId53" Type="http://schemas.openxmlformats.org/officeDocument/2006/relationships/hyperlink" Target="https://webolmo-data-snorkel.allen.ai/20251219_snorkel_batch003__llm_navqa_popular_websites__101" TargetMode="External"/><Relationship Id="rId52" Type="http://schemas.openxmlformats.org/officeDocument/2006/relationships/hyperlink" Target="https://webolmo-data-snorkel.allen.ai/20251219_snorkel_batch009__llm_navqa_onlinemind2web_websites__1" TargetMode="External"/><Relationship Id="rId55" Type="http://schemas.openxmlformats.org/officeDocument/2006/relationships/hyperlink" Target="https://webolmo-data-snorkel.allen.ai/20251121_snorkel_batch001__webvoyager_like__424" TargetMode="External"/><Relationship Id="rId54" Type="http://schemas.openxmlformats.org/officeDocument/2006/relationships/hyperlink" Target="https://webolmo-data-snorkel.allen.ai/20251219_snorkel_batch002__llm_navqa_popular_websites__99" TargetMode="External"/><Relationship Id="rId57" Type="http://schemas.openxmlformats.org/officeDocument/2006/relationships/hyperlink" Target="https://webolmo-data-snorkel.allen.ai/20251219_snorkel_batch002__llm_navqa_webvoyager_websites__96" TargetMode="External"/><Relationship Id="rId56" Type="http://schemas.openxmlformats.org/officeDocument/2006/relationships/hyperlink" Target="https://webolmo-data-snorkel.allen.ai/20251219_snorkel_batch006__llm_navqa_webvoyager_websites__135" TargetMode="External"/><Relationship Id="rId719" Type="http://schemas.openxmlformats.org/officeDocument/2006/relationships/hyperlink" Target="https://webolmo-data-snorkel.allen.ai/20251126_snorkel_batch015__llm_step_webvoyager_websites__71" TargetMode="External"/><Relationship Id="rId718" Type="http://schemas.openxmlformats.org/officeDocument/2006/relationships/hyperlink" Target="https://webolmo-data-snorkel.allen.ai/20251126_snorkel_batch015__llm_step_popular_websites__92" TargetMode="External"/><Relationship Id="rId717" Type="http://schemas.openxmlformats.org/officeDocument/2006/relationships/hyperlink" Target="https://webolmo-data-snorkel.allen.ai/20260113_snorkel_batch002_procedural__finance_news_nav_and_open_first__2" TargetMode="External"/><Relationship Id="rId712" Type="http://schemas.openxmlformats.org/officeDocument/2006/relationships/hyperlink" Target="https://webolmo-data-snorkel.allen.ai/20251210_snorkel_batch009__llm_step_webvoyager_websites__11" TargetMode="External"/><Relationship Id="rId711" Type="http://schemas.openxmlformats.org/officeDocument/2006/relationships/hyperlink" Target="https://webolmo-data-snorkel.allen.ai/20251210_snorkel_batch002__llm_step_webvoyager_websites__77" TargetMode="External"/><Relationship Id="rId710" Type="http://schemas.openxmlformats.org/officeDocument/2006/relationships/hyperlink" Target="https://webolmo-data-snorkel.allen.ai/20251210_snorkel_batch003__llm_step_webvoyager_websites__76" TargetMode="External"/><Relationship Id="rId716" Type="http://schemas.openxmlformats.org/officeDocument/2006/relationships/hyperlink" Target="https://webolmo-data-snorkel.allen.ai/20251121_snorkel_batch006__webvoyager_like__2" TargetMode="External"/><Relationship Id="rId715" Type="http://schemas.openxmlformats.org/officeDocument/2006/relationships/hyperlink" Target="https://webolmo-data-snorkel.allen.ai/20251210_snorkel_batch003__llm_step_onlinemind2web_websites__36" TargetMode="External"/><Relationship Id="rId714" Type="http://schemas.openxmlformats.org/officeDocument/2006/relationships/hyperlink" Target="https://webolmo-data-snorkel.allen.ai/20251210_snorkel_batch010__llm_step_onlinemind2web_websites__56" TargetMode="External"/><Relationship Id="rId713" Type="http://schemas.openxmlformats.org/officeDocument/2006/relationships/hyperlink" Target="https://webolmo-data-snorkel.allen.ai/20251210_snorkel_batch009__llm_step_onlinemind2web_websites__4" TargetMode="External"/><Relationship Id="rId59" Type="http://schemas.openxmlformats.org/officeDocument/2006/relationships/hyperlink" Target="https://webolmo-data-snorkel.allen.ai/20251219_snorkel_batch008__llm_navqa_webvoyager_websites__87" TargetMode="External"/><Relationship Id="rId58" Type="http://schemas.openxmlformats.org/officeDocument/2006/relationships/hyperlink" Target="https://webolmo-data-snorkel.allen.ai/20251219_snorkel_batch004__llm_navqa_webvoyager_websites__149" TargetMode="External"/><Relationship Id="rId590" Type="http://schemas.openxmlformats.org/officeDocument/2006/relationships/hyperlink" Target="https://webolmo-data-snorkel.allen.ai/20260107_snorkel_batch003_step_tasks__car_rental_search__7" TargetMode="External"/><Relationship Id="rId107" Type="http://schemas.openxmlformats.org/officeDocument/2006/relationships/hyperlink" Target="https://webolmo-data-snorkel.allen.ai/20251219_snorkel_batch006__llm_navqa_onlinemind2web_websites__80" TargetMode="External"/><Relationship Id="rId349" Type="http://schemas.openxmlformats.org/officeDocument/2006/relationships/hyperlink" Target="https://webolmo-data-snorkel.allen.ai/20251126_snorkel_batch016__llm_step_onlinemind2web_websites__152" TargetMode="External"/><Relationship Id="rId106" Type="http://schemas.openxmlformats.org/officeDocument/2006/relationships/hyperlink" Target="https://webolmo-data-snorkel.allen.ai/20251121_snorkel_batch001__webvoyager_like__339" TargetMode="External"/><Relationship Id="rId348" Type="http://schemas.openxmlformats.org/officeDocument/2006/relationships/hyperlink" Target="https://webolmo-data-snorkel.allen.ai/20251219_snorkel_batch001__llm_navqa_onlinemind2web_websites__152" TargetMode="External"/><Relationship Id="rId105" Type="http://schemas.openxmlformats.org/officeDocument/2006/relationships/hyperlink" Target="https://webolmo-data-snorkel.allen.ai/20251219_snorkel_batch002__llm_navqa_onlinemind2web_websites__14" TargetMode="External"/><Relationship Id="rId347" Type="http://schemas.openxmlformats.org/officeDocument/2006/relationships/hyperlink" Target="https://webolmo-data-snorkel.allen.ai/20251219_snorkel_batch004__llm_navqa_onlinemind2web_websites__87" TargetMode="External"/><Relationship Id="rId589" Type="http://schemas.openxmlformats.org/officeDocument/2006/relationships/hyperlink" Target="https://webolmo-data-snorkel.allen.ai/20260107_snorkel_batch002_step_tasks__maps_distance__43" TargetMode="External"/><Relationship Id="rId104" Type="http://schemas.openxmlformats.org/officeDocument/2006/relationships/hyperlink" Target="https://webolmo-data-snorkel.allen.ai/20251219_snorkel_batch008__llm_navqa_webvoyager_websites__1" TargetMode="External"/><Relationship Id="rId346" Type="http://schemas.openxmlformats.org/officeDocument/2006/relationships/hyperlink" Target="https://webolmo-data-snorkel.allen.ai/20251219_snorkel_batch002__llm_navqa_webvoyager_websites__73" TargetMode="External"/><Relationship Id="rId588" Type="http://schemas.openxmlformats.org/officeDocument/2006/relationships/hyperlink" Target="https://webolmo-data-snorkel.allen.ai/20251126_snorkel_batch013__llm_step_onlinemind2web_websites__43" TargetMode="External"/><Relationship Id="rId109" Type="http://schemas.openxmlformats.org/officeDocument/2006/relationships/hyperlink" Target="https://webolmo-data-snorkel.allen.ai/20251219_snorkel_batch010__llm_navqa_popular_websites__158" TargetMode="External"/><Relationship Id="rId108" Type="http://schemas.openxmlformats.org/officeDocument/2006/relationships/hyperlink" Target="https://webolmo-data-snorkel.allen.ai/20251219_snorkel_batch006__llm_navqa_onlinemind2web_websites__29" TargetMode="External"/><Relationship Id="rId341" Type="http://schemas.openxmlformats.org/officeDocument/2006/relationships/hyperlink" Target="https://webolmo-data-snorkel.allen.ai/20251121_snorkel_batch001__webvoyager_like__330" TargetMode="External"/><Relationship Id="rId583" Type="http://schemas.openxmlformats.org/officeDocument/2006/relationships/hyperlink" Target="https://webolmo-data-snorkel.allen.ai/20251126_snorkel_batch019__llm_step_webvoyager_websites__46" TargetMode="External"/><Relationship Id="rId340" Type="http://schemas.openxmlformats.org/officeDocument/2006/relationships/hyperlink" Target="https://webolmo-data-snorkel.allen.ai/20251219_snorkel_batch006__llm_navqa_popular_websites__10" TargetMode="External"/><Relationship Id="rId582" Type="http://schemas.openxmlformats.org/officeDocument/2006/relationships/hyperlink" Target="https://webolmo-data-snorkel.allen.ai/20251126_snorkel_batch012__llm_step_webvoyager_websites__96" TargetMode="External"/><Relationship Id="rId581" Type="http://schemas.openxmlformats.org/officeDocument/2006/relationships/hyperlink" Target="https://webolmo-data-snorkel.allen.ai/20251210_snorkel_batch001__llm_step_webvoyager_websites__21" TargetMode="External"/><Relationship Id="rId580" Type="http://schemas.openxmlformats.org/officeDocument/2006/relationships/hyperlink" Target="https://webolmo-data-snorkel.allen.ai/20251126_snorkel_batch019__llm_step_onlinemind2web_websites__62" TargetMode="External"/><Relationship Id="rId103" Type="http://schemas.openxmlformats.org/officeDocument/2006/relationships/hyperlink" Target="https://webolmo-data-snorkel.allen.ai/20251219_snorkel_batch004__llm_navqa_webvoyager_websites__118" TargetMode="External"/><Relationship Id="rId345" Type="http://schemas.openxmlformats.org/officeDocument/2006/relationships/hyperlink" Target="https://webolmo-data-snorkel.allen.ai/20251121_snorkel_batch001__webvoyager_like__22" TargetMode="External"/><Relationship Id="rId587" Type="http://schemas.openxmlformats.org/officeDocument/2006/relationships/hyperlink" Target="https://webolmo-data-snorkel.allen.ai/20251126_snorkel_batch016__llm_step_popular_websites__152" TargetMode="External"/><Relationship Id="rId102" Type="http://schemas.openxmlformats.org/officeDocument/2006/relationships/hyperlink" Target="https://webolmo-data-snorkel.allen.ai/20251219_snorkel_batch001__llm_navqa_onlinemind2web_websites__22" TargetMode="External"/><Relationship Id="rId344" Type="http://schemas.openxmlformats.org/officeDocument/2006/relationships/hyperlink" Target="https://webolmo-data-snorkel.allen.ai/20251219_snorkel_batch007__llm_navqa_webvoyager_websites__142" TargetMode="External"/><Relationship Id="rId586" Type="http://schemas.openxmlformats.org/officeDocument/2006/relationships/hyperlink" Target="https://webolmo-data-snorkel.allen.ai/20251126_snorkel_batch019__llm_step_popular_websites__86" TargetMode="External"/><Relationship Id="rId101" Type="http://schemas.openxmlformats.org/officeDocument/2006/relationships/hyperlink" Target="https://webolmo-data-snorkel.allen.ai/20251219_snorkel_batch005__llm_navqa_onlinemind2web_websites__85" TargetMode="External"/><Relationship Id="rId343" Type="http://schemas.openxmlformats.org/officeDocument/2006/relationships/hyperlink" Target="https://webolmo-data-snorkel.allen.ai/20251219_snorkel_batch007__llm_navqa_onlinemind2web_websites__54" TargetMode="External"/><Relationship Id="rId585" Type="http://schemas.openxmlformats.org/officeDocument/2006/relationships/hyperlink" Target="https://webolmo-data-snorkel.allen.ai/20260107_snorkel_batch001_step_tasks__finance_news_nav_and_open_first__0" TargetMode="External"/><Relationship Id="rId100" Type="http://schemas.openxmlformats.org/officeDocument/2006/relationships/hyperlink" Target="https://webolmo-data-snorkel.allen.ai/20251219_snorkel_batch005__llm_navqa_popular_websites__109" TargetMode="External"/><Relationship Id="rId342" Type="http://schemas.openxmlformats.org/officeDocument/2006/relationships/hyperlink" Target="https://webolmo-data-snorkel.allen.ai/20251121_snorkel_batch001__webvoyager_like__315" TargetMode="External"/><Relationship Id="rId584" Type="http://schemas.openxmlformats.org/officeDocument/2006/relationships/hyperlink" Target="https://webolmo-data-snorkel.allen.ai/20251126_snorkel_batch019__llm_step_webvoyager_websites__15" TargetMode="External"/><Relationship Id="rId338" Type="http://schemas.openxmlformats.org/officeDocument/2006/relationships/hyperlink" Target="https://webolmo-data-snorkel.allen.ai/20251219_snorkel_batch008__llm_navqa_onlinemind2web_websites__163" TargetMode="External"/><Relationship Id="rId337" Type="http://schemas.openxmlformats.org/officeDocument/2006/relationships/hyperlink" Target="https://webolmo-data-snorkel.allen.ai/20251219_snorkel_batch004__llm_navqa_onlinemind2web_websites__95" TargetMode="External"/><Relationship Id="rId579" Type="http://schemas.openxmlformats.org/officeDocument/2006/relationships/hyperlink" Target="https://webolmo-data-snorkel.allen.ai/20260107_snorkel_batch001_step_tasks__maps_directions_with_mode__42" TargetMode="External"/><Relationship Id="rId336" Type="http://schemas.openxmlformats.org/officeDocument/2006/relationships/hyperlink" Target="https://webolmo-data-snorkel.allen.ai/20251219_snorkel_batch001__llm_navqa_popular_websites__96" TargetMode="External"/><Relationship Id="rId578" Type="http://schemas.openxmlformats.org/officeDocument/2006/relationships/hyperlink" Target="https://webolmo-data-snorkel.allen.ai/20260107_snorkel_batch003_step_tasks__food_delivery__45" TargetMode="External"/><Relationship Id="rId335" Type="http://schemas.openxmlformats.org/officeDocument/2006/relationships/hyperlink" Target="https://webolmo-data-snorkel.allen.ai/20251219_snorkel_batch008__llm_navqa_onlinemind2web_websites__151" TargetMode="External"/><Relationship Id="rId577" Type="http://schemas.openxmlformats.org/officeDocument/2006/relationships/hyperlink" Target="https://webolmo-data-snorkel.allen.ai/20251126_snorkel_batch020__llm_step_webvoyager_websites__134" TargetMode="External"/><Relationship Id="rId339" Type="http://schemas.openxmlformats.org/officeDocument/2006/relationships/hyperlink" Target="https://webolmo-data-snorkel.allen.ai/20251219_snorkel_batch004__llm_navqa_popular_websites__95" TargetMode="External"/><Relationship Id="rId330" Type="http://schemas.openxmlformats.org/officeDocument/2006/relationships/hyperlink" Target="https://webolmo-data-snorkel.allen.ai/20251219_snorkel_batch002__llm_navqa_onlinemind2web_websites__161" TargetMode="External"/><Relationship Id="rId572" Type="http://schemas.openxmlformats.org/officeDocument/2006/relationships/hyperlink" Target="https://webolmo-data-snorkel.allen.ai/20260107_snorkel_batch003_step_tasks__hotel_search__7" TargetMode="External"/><Relationship Id="rId571" Type="http://schemas.openxmlformats.org/officeDocument/2006/relationships/hyperlink" Target="https://webolmo-data-snorkel.allen.ai/20251126_snorkel_batch013__llm_step_webvoyager_websites__6" TargetMode="External"/><Relationship Id="rId570" Type="http://schemas.openxmlformats.org/officeDocument/2006/relationships/hyperlink" Target="https://webolmo-data-snorkel.allen.ai/20251126_snorkel_batch011__llm_step_onlinemind2web_websites__134" TargetMode="External"/><Relationship Id="rId334" Type="http://schemas.openxmlformats.org/officeDocument/2006/relationships/hyperlink" Target="https://webolmo-data-snorkel.allen.ai/20251219_snorkel_batch006__llm_navqa_webvoyager_websites__128" TargetMode="External"/><Relationship Id="rId576" Type="http://schemas.openxmlformats.org/officeDocument/2006/relationships/hyperlink" Target="https://webolmo-data-snorkel.allen.ai/20260107_snorkel_batch003_step_tasks__food_recipes__7" TargetMode="External"/><Relationship Id="rId333" Type="http://schemas.openxmlformats.org/officeDocument/2006/relationships/hyperlink" Target="https://webolmo-data-snorkel.allen.ai/20251219_snorkel_batch005__llm_navqa_popular_websites__33" TargetMode="External"/><Relationship Id="rId575" Type="http://schemas.openxmlformats.org/officeDocument/2006/relationships/hyperlink" Target="https://webolmo-data-snorkel.allen.ai/20260107_snorkel_batch002_step_tasks__maps_visual_count__35" TargetMode="External"/><Relationship Id="rId332" Type="http://schemas.openxmlformats.org/officeDocument/2006/relationships/hyperlink" Target="https://webolmo-data-snorkel.allen.ai/20251219_snorkel_batch002__llm_navqa_onlinemind2web_websites__159" TargetMode="External"/><Relationship Id="rId574" Type="http://schemas.openxmlformats.org/officeDocument/2006/relationships/hyperlink" Target="https://webolmo-data-snorkel.allen.ai/20251126_snorkel_batch018__llm_step_onlinemind2web_websites__109" TargetMode="External"/><Relationship Id="rId331" Type="http://schemas.openxmlformats.org/officeDocument/2006/relationships/hyperlink" Target="https://webolmo-data-snorkel.allen.ai/20251219_snorkel_batch007__llm_navqa_webvoyager_websites__135" TargetMode="External"/><Relationship Id="rId573" Type="http://schemas.openxmlformats.org/officeDocument/2006/relationships/hyperlink" Target="https://webolmo-data-snorkel.allen.ai/20251121_snorkel_batch007__webvoyager_like__440" TargetMode="External"/><Relationship Id="rId370" Type="http://schemas.openxmlformats.org/officeDocument/2006/relationships/hyperlink" Target="https://webolmo-data-snorkel.allen.ai/20251126_snorkel_batch014__llm_step_popular_websites__6" TargetMode="External"/><Relationship Id="rId129" Type="http://schemas.openxmlformats.org/officeDocument/2006/relationships/hyperlink" Target="https://webolmo-data-snorkel.allen.ai/20251219_snorkel_batch008__llm_navqa_onlinemind2web_websites__136" TargetMode="External"/><Relationship Id="rId128" Type="http://schemas.openxmlformats.org/officeDocument/2006/relationships/hyperlink" Target="https://webolmo-data-snorkel.allen.ai/20251219_snorkel_batch006__llm_navqa_webvoyager_websites__148" TargetMode="External"/><Relationship Id="rId127" Type="http://schemas.openxmlformats.org/officeDocument/2006/relationships/hyperlink" Target="https://webolmo-data-snorkel.allen.ai/20251219_snorkel_batch009__llm_navqa_onlinemind2web_websites__29" TargetMode="External"/><Relationship Id="rId369" Type="http://schemas.openxmlformats.org/officeDocument/2006/relationships/hyperlink" Target="https://webolmo-data-snorkel.allen.ai/20251126_snorkel_batch018__llm_step_onlinemind2web_websites__129" TargetMode="External"/><Relationship Id="rId126" Type="http://schemas.openxmlformats.org/officeDocument/2006/relationships/hyperlink" Target="https://webolmo-data-snorkel.allen.ai/20251219_snorkel_batch005__llm_navqa_popular_websites__142" TargetMode="External"/><Relationship Id="rId368" Type="http://schemas.openxmlformats.org/officeDocument/2006/relationships/hyperlink" Target="https://webolmo-data-snorkel.allen.ai/20251126_snorkel_batch011__llm_step_webvoyager_websites__0" TargetMode="External"/><Relationship Id="rId121" Type="http://schemas.openxmlformats.org/officeDocument/2006/relationships/hyperlink" Target="https://webolmo-data-snorkel.allen.ai/20251219_snorkel_batch010__llm_navqa_onlinemind2web_websites__90" TargetMode="External"/><Relationship Id="rId363" Type="http://schemas.openxmlformats.org/officeDocument/2006/relationships/hyperlink" Target="https://webolmo-data-snorkel.allen.ai/20251219_snorkel_batch007__llm_navqa_webvoyager_websites__149" TargetMode="External"/><Relationship Id="rId120" Type="http://schemas.openxmlformats.org/officeDocument/2006/relationships/hyperlink" Target="https://webolmo-data-snorkel.allen.ai/20251219_snorkel_batch006__llm_navqa_popular_websites__104" TargetMode="External"/><Relationship Id="rId362" Type="http://schemas.openxmlformats.org/officeDocument/2006/relationships/hyperlink" Target="https://webolmo-data-snorkel.allen.ai/20251219_snorkel_batch005__llm_navqa_popular_websites__149" TargetMode="External"/><Relationship Id="rId361" Type="http://schemas.openxmlformats.org/officeDocument/2006/relationships/hyperlink" Target="https://webolmo-data-snorkel.allen.ai/20251121_snorkel_batch001__webvoyager_like__475" TargetMode="External"/><Relationship Id="rId360" Type="http://schemas.openxmlformats.org/officeDocument/2006/relationships/hyperlink" Target="https://webolmo-data-snorkel.allen.ai/20251219_snorkel_batch010__llm_navqa_webvoyager_websites__77" TargetMode="External"/><Relationship Id="rId125" Type="http://schemas.openxmlformats.org/officeDocument/2006/relationships/hyperlink" Target="https://webolmo-data-snorkel.allen.ai/20251219_snorkel_batch008__llm_navqa_webvoyager_websites__48" TargetMode="External"/><Relationship Id="rId367" Type="http://schemas.openxmlformats.org/officeDocument/2006/relationships/hyperlink" Target="https://webolmo-data-snorkel.allen.ai/20251126_snorkel_batch015__llm_step_onlinemind2web_websites__101" TargetMode="External"/><Relationship Id="rId124" Type="http://schemas.openxmlformats.org/officeDocument/2006/relationships/hyperlink" Target="https://webolmo-data-snorkel.allen.ai/20251219_snorkel_batch003__llm_navqa_webvoyager_websites__18" TargetMode="External"/><Relationship Id="rId366" Type="http://schemas.openxmlformats.org/officeDocument/2006/relationships/hyperlink" Target="https://webolmo-data-snorkel.allen.ai/20251219_snorkel_batch006__llm_navqa_onlinemind2web_websites__168" TargetMode="External"/><Relationship Id="rId123" Type="http://schemas.openxmlformats.org/officeDocument/2006/relationships/hyperlink" Target="https://webolmo-data-snorkel.allen.ai/20251219_snorkel_batch003__llm_navqa_onlinemind2web_websites__145" TargetMode="External"/><Relationship Id="rId365" Type="http://schemas.openxmlformats.org/officeDocument/2006/relationships/hyperlink" Target="https://webolmo-data-snorkel.allen.ai/20251126_snorkel_batch018__llm_step_webvoyager_websites__133" TargetMode="External"/><Relationship Id="rId122" Type="http://schemas.openxmlformats.org/officeDocument/2006/relationships/hyperlink" Target="https://webolmo-data-snorkel.allen.ai/20251219_snorkel_batch005__llm_navqa_popular_websites__14" TargetMode="External"/><Relationship Id="rId364" Type="http://schemas.openxmlformats.org/officeDocument/2006/relationships/hyperlink" Target="https://webolmo-data-snorkel.allen.ai/20251219_snorkel_batch005__llm_navqa_popular_websites__147" TargetMode="External"/><Relationship Id="rId95" Type="http://schemas.openxmlformats.org/officeDocument/2006/relationships/hyperlink" Target="https://webolmo-data-snorkel.allen.ai/20251219_snorkel_batch005__llm_navqa_popular_websites__104" TargetMode="External"/><Relationship Id="rId94" Type="http://schemas.openxmlformats.org/officeDocument/2006/relationships/hyperlink" Target="https://webolmo-data-snorkel.allen.ai/20251219_snorkel_batch001__llm_navqa_popular_websites__111" TargetMode="External"/><Relationship Id="rId97" Type="http://schemas.openxmlformats.org/officeDocument/2006/relationships/hyperlink" Target="https://webolmo-data-snorkel.allen.ai/20251219_snorkel_batch009__llm_navqa_webvoyager_websites__56" TargetMode="External"/><Relationship Id="rId96" Type="http://schemas.openxmlformats.org/officeDocument/2006/relationships/hyperlink" Target="https://webolmo-data-snorkel.allen.ai/20251219_snorkel_batch004__llm_navqa_onlinemind2web_websites__147" TargetMode="External"/><Relationship Id="rId99" Type="http://schemas.openxmlformats.org/officeDocument/2006/relationships/hyperlink" Target="https://webolmo-data-snorkel.allen.ai/20251219_snorkel_batch010__llm_navqa_webvoyager_websites__46" TargetMode="External"/><Relationship Id="rId98" Type="http://schemas.openxmlformats.org/officeDocument/2006/relationships/hyperlink" Target="https://webolmo-data-snorkel.allen.ai/20251219_snorkel_batch009__llm_navqa_onlinemind2web_websites__141" TargetMode="External"/><Relationship Id="rId91" Type="http://schemas.openxmlformats.org/officeDocument/2006/relationships/hyperlink" Target="https://webolmo-data-snorkel.allen.ai/20251219_snorkel_batch007__llm_navqa_onlinemind2web_websites__108" TargetMode="External"/><Relationship Id="rId90" Type="http://schemas.openxmlformats.org/officeDocument/2006/relationships/hyperlink" Target="https://webolmo-data-snorkel.allen.ai/20251219_snorkel_batch010__llm_navqa_webvoyager_websites__47" TargetMode="External"/><Relationship Id="rId93" Type="http://schemas.openxmlformats.org/officeDocument/2006/relationships/hyperlink" Target="https://webolmo-data-snorkel.allen.ai/20251219_snorkel_batch004__llm_navqa_onlinemind2web_websites__63" TargetMode="External"/><Relationship Id="rId92" Type="http://schemas.openxmlformats.org/officeDocument/2006/relationships/hyperlink" Target="https://webolmo-data-snorkel.allen.ai/20251219_snorkel_batch007__llm_navqa_webvoyager_websites__85" TargetMode="External"/><Relationship Id="rId118" Type="http://schemas.openxmlformats.org/officeDocument/2006/relationships/hyperlink" Target="https://webolmo-data-snorkel.allen.ai/20251126_snorkel_batch017__llm_step_onlinemind2web_websites__134" TargetMode="External"/><Relationship Id="rId117" Type="http://schemas.openxmlformats.org/officeDocument/2006/relationships/hyperlink" Target="https://webolmo-data-snorkel.allen.ai/20251219_snorkel_batch003__llm_navqa_onlinemind2web_websites__40" TargetMode="External"/><Relationship Id="rId359" Type="http://schemas.openxmlformats.org/officeDocument/2006/relationships/hyperlink" Target="https://webolmo-data-snorkel.allen.ai/20251219_snorkel_batch008__llm_navqa_onlinemind2web_websites__108" TargetMode="External"/><Relationship Id="rId116" Type="http://schemas.openxmlformats.org/officeDocument/2006/relationships/hyperlink" Target="https://webolmo-data-snorkel.allen.ai/20251219_snorkel_batch006__llm_navqa_popular_websites__116" TargetMode="External"/><Relationship Id="rId358" Type="http://schemas.openxmlformats.org/officeDocument/2006/relationships/hyperlink" Target="https://webolmo-data-snorkel.allen.ai/20251219_snorkel_batch008__llm_navqa_webvoyager_websites__150" TargetMode="External"/><Relationship Id="rId115" Type="http://schemas.openxmlformats.org/officeDocument/2006/relationships/hyperlink" Target="https://webolmo-data-snorkel.allen.ai/20251219_snorkel_batch003__llm_navqa_webvoyager_websites__87" TargetMode="External"/><Relationship Id="rId357" Type="http://schemas.openxmlformats.org/officeDocument/2006/relationships/hyperlink" Target="https://webolmo-data-snorkel.allen.ai/20251126_snorkel_batch018__llm_step_onlinemind2web_websites__146" TargetMode="External"/><Relationship Id="rId599" Type="http://schemas.openxmlformats.org/officeDocument/2006/relationships/hyperlink" Target="https://webolmo-data-snorkel.allen.ai/20251210_snorkel_batch001__llm_step_onlinemind2web_websites__50" TargetMode="External"/><Relationship Id="rId119" Type="http://schemas.openxmlformats.org/officeDocument/2006/relationships/hyperlink" Target="https://webolmo-data-snorkel.allen.ai/20251219_snorkel_batch008__llm_navqa_onlinemind2web_websites__86" TargetMode="External"/><Relationship Id="rId110" Type="http://schemas.openxmlformats.org/officeDocument/2006/relationships/hyperlink" Target="https://webolmo-data-snorkel.allen.ai/20251219_snorkel_batch010__llm_navqa_popular_websites__15" TargetMode="External"/><Relationship Id="rId352" Type="http://schemas.openxmlformats.org/officeDocument/2006/relationships/hyperlink" Target="https://webolmo-data-snorkel.allen.ai/20251219_snorkel_batch002__llm_navqa_onlinemind2web_websites__97" TargetMode="External"/><Relationship Id="rId594" Type="http://schemas.openxmlformats.org/officeDocument/2006/relationships/hyperlink" Target="https://webolmo-data-snorkel.allen.ai/20260107_snorkel_batch003_step_tasks__shopping_search_and_filter__42" TargetMode="External"/><Relationship Id="rId351" Type="http://schemas.openxmlformats.org/officeDocument/2006/relationships/hyperlink" Target="https://webolmo-data-snorkel.allen.ai/20251219_snorkel_batch009__llm_navqa_onlinemind2web_websites__25" TargetMode="External"/><Relationship Id="rId593" Type="http://schemas.openxmlformats.org/officeDocument/2006/relationships/hyperlink" Target="https://webolmo-data-snorkel.allen.ai/20251210_snorkel_batch001__llm_step_onlinemind2web_websites__169" TargetMode="External"/><Relationship Id="rId350" Type="http://schemas.openxmlformats.org/officeDocument/2006/relationships/hyperlink" Target="https://webolmo-data-snorkel.allen.ai/20251219_snorkel_batch007__llm_navqa_webvoyager_websites__123" TargetMode="External"/><Relationship Id="rId592" Type="http://schemas.openxmlformats.org/officeDocument/2006/relationships/hyperlink" Target="https://webolmo-data-snorkel.allen.ai/20260107_snorkel_batch001_step_tasks__news_search_and_open_nth__40" TargetMode="External"/><Relationship Id="rId591" Type="http://schemas.openxmlformats.org/officeDocument/2006/relationships/hyperlink" Target="https://webolmo-data-snorkel.allen.ai/20251210_snorkel_batch001__llm_step_webvoyager_websites__86" TargetMode="External"/><Relationship Id="rId114" Type="http://schemas.openxmlformats.org/officeDocument/2006/relationships/hyperlink" Target="https://webolmo-data-snorkel.allen.ai/20251219_snorkel_batch006__llm_navqa_popular_websites__127" TargetMode="External"/><Relationship Id="rId356" Type="http://schemas.openxmlformats.org/officeDocument/2006/relationships/hyperlink" Target="https://webolmo-data-snorkel.allen.ai/20251219_snorkel_batch009__llm_navqa_webvoyager_websites__166" TargetMode="External"/><Relationship Id="rId598" Type="http://schemas.openxmlformats.org/officeDocument/2006/relationships/hyperlink" Target="https://webolmo-data-snorkel.allen.ai/20260107_snorkel_batch002_step_tasks__maps_visual_search__13" TargetMode="External"/><Relationship Id="rId113" Type="http://schemas.openxmlformats.org/officeDocument/2006/relationships/hyperlink" Target="https://webolmo-data-snorkel.allen.ai/20251219_snorkel_batch009__llm_navqa_popular_websites__147" TargetMode="External"/><Relationship Id="rId355" Type="http://schemas.openxmlformats.org/officeDocument/2006/relationships/hyperlink" Target="https://webolmo-data-snorkel.allen.ai/20251219_snorkel_batch003__llm_navqa_webvoyager_websites__157" TargetMode="External"/><Relationship Id="rId597" Type="http://schemas.openxmlformats.org/officeDocument/2006/relationships/hyperlink" Target="https://webolmo-data-snorkel.allen.ai/20260107_snorkel_batch002_step_tasks__maps_route_planning__34" TargetMode="External"/><Relationship Id="rId112" Type="http://schemas.openxmlformats.org/officeDocument/2006/relationships/hyperlink" Target="https://webolmo-data-snorkel.allen.ai/20251121_snorkel_batch001__webvoyager_like__120" TargetMode="External"/><Relationship Id="rId354" Type="http://schemas.openxmlformats.org/officeDocument/2006/relationships/hyperlink" Target="https://webolmo-data-snorkel.allen.ai/20251219_snorkel_batch009__llm_navqa_onlinemind2web_websites__110" TargetMode="External"/><Relationship Id="rId596" Type="http://schemas.openxmlformats.org/officeDocument/2006/relationships/hyperlink" Target="https://webolmo-data-snorkel.allen.ai/20251126_snorkel_batch017__llm_step_webvoyager_websites__141" TargetMode="External"/><Relationship Id="rId111" Type="http://schemas.openxmlformats.org/officeDocument/2006/relationships/hyperlink" Target="https://webolmo-data-snorkel.allen.ai/20251219_snorkel_batch005__llm_navqa_webvoyager_websites__36" TargetMode="External"/><Relationship Id="rId353" Type="http://schemas.openxmlformats.org/officeDocument/2006/relationships/hyperlink" Target="https://webolmo-data-snorkel.allen.ai/20251219_snorkel_batch008__llm_navqa_webvoyager_websites__156" TargetMode="External"/><Relationship Id="rId595" Type="http://schemas.openxmlformats.org/officeDocument/2006/relationships/hyperlink" Target="https://webolmo-data-snorkel.allen.ai/20251126_snorkel_batch015__llm_step_onlinemind2web_websites__66" TargetMode="External"/><Relationship Id="rId305" Type="http://schemas.openxmlformats.org/officeDocument/2006/relationships/hyperlink" Target="https://webolmo-data-snorkel.allen.ai/20251121_snorkel_batch001__webvoyager_like__84" TargetMode="External"/><Relationship Id="rId547" Type="http://schemas.openxmlformats.org/officeDocument/2006/relationships/hyperlink" Target="https://webolmo-data-snorkel.allen.ai/20251126_snorkel_batch015__llm_step_popular_websites__26" TargetMode="External"/><Relationship Id="rId789" Type="http://schemas.openxmlformats.org/officeDocument/2006/relationships/hyperlink" Target="https://webolmo-data-snorkel.allen.ai/20251210_snorkel_batch001__llm_step_popular_websites__158" TargetMode="External"/><Relationship Id="rId304" Type="http://schemas.openxmlformats.org/officeDocument/2006/relationships/hyperlink" Target="https://webolmo-data-snorkel.allen.ai/20251219_snorkel_batch004__llm_navqa_webvoyager_websites__68" TargetMode="External"/><Relationship Id="rId546" Type="http://schemas.openxmlformats.org/officeDocument/2006/relationships/hyperlink" Target="https://webolmo-data-snorkel.allen.ai/20251126_snorkel_batch015__llm_step_popular_websites__104" TargetMode="External"/><Relationship Id="rId788" Type="http://schemas.openxmlformats.org/officeDocument/2006/relationships/hyperlink" Target="https://webolmo-data-snorkel.allen.ai/20251210_snorkel_batch001__llm_step_popular_websites__158" TargetMode="External"/><Relationship Id="rId303" Type="http://schemas.openxmlformats.org/officeDocument/2006/relationships/hyperlink" Target="https://webolmo-data-snorkel.allen.ai/20251121_snorkel_batch001__webvoyager_like__435" TargetMode="External"/><Relationship Id="rId545" Type="http://schemas.openxmlformats.org/officeDocument/2006/relationships/hyperlink" Target="https://webolmo-data-snorkel.allen.ai/20251126_snorkel_batch017__llm_step_popular_websites__146" TargetMode="External"/><Relationship Id="rId787" Type="http://schemas.openxmlformats.org/officeDocument/2006/relationships/hyperlink" Target="https://webolmo-data-snorkel.allen.ai/20251126_snorkel_batch019__llm_step_onlinemind2web_websites__98" TargetMode="External"/><Relationship Id="rId302" Type="http://schemas.openxmlformats.org/officeDocument/2006/relationships/hyperlink" Target="https://webolmo-data-snorkel.allen.ai/20251219_snorkel_batch003__llm_navqa_popular_websites__29" TargetMode="External"/><Relationship Id="rId544" Type="http://schemas.openxmlformats.org/officeDocument/2006/relationships/hyperlink" Target="https://webolmo-data-snorkel.allen.ai/20260107_snorkel_batch003_step_tasks__food_delivery__9" TargetMode="External"/><Relationship Id="rId786" Type="http://schemas.openxmlformats.org/officeDocument/2006/relationships/hyperlink" Target="https://webolmo-data-snorkel.allen.ai/20251126_snorkel_batch019__llm_step_onlinemind2web_websites__98" TargetMode="External"/><Relationship Id="rId309" Type="http://schemas.openxmlformats.org/officeDocument/2006/relationships/hyperlink" Target="https://webolmo-data-snorkel.allen.ai/20251219_snorkel_batch005__llm_navqa_webvoyager_websites__100" TargetMode="External"/><Relationship Id="rId308" Type="http://schemas.openxmlformats.org/officeDocument/2006/relationships/hyperlink" Target="https://webolmo-data-snorkel.allen.ai/20251219_snorkel_batch008__llm_navqa_webvoyager_websites__164" TargetMode="External"/><Relationship Id="rId307" Type="http://schemas.openxmlformats.org/officeDocument/2006/relationships/hyperlink" Target="https://webolmo-data-snorkel.allen.ai/20251219_snorkel_batch007__llm_navqa_webvoyager_websites__51" TargetMode="External"/><Relationship Id="rId549" Type="http://schemas.openxmlformats.org/officeDocument/2006/relationships/hyperlink" Target="https://webolmo-data-snorkel.allen.ai/20260107_snorkel_batch003_step_tasks__car_rental_search__6" TargetMode="External"/><Relationship Id="rId306" Type="http://schemas.openxmlformats.org/officeDocument/2006/relationships/hyperlink" Target="https://webolmo-data-snorkel.allen.ai/20251219_snorkel_batch010__llm_navqa_onlinemind2web_websites__35" TargetMode="External"/><Relationship Id="rId548" Type="http://schemas.openxmlformats.org/officeDocument/2006/relationships/hyperlink" Target="https://webolmo-data-snorkel.allen.ai/20251126_snorkel_batch017__llm_step_onlinemind2web_websites__122" TargetMode="External"/><Relationship Id="rId781" Type="http://schemas.openxmlformats.org/officeDocument/2006/relationships/hyperlink" Target="https://webolmo-data-snorkel.allen.ai/20251126_snorkel_batch012__llm_step_webvoyager_websites__33" TargetMode="External"/><Relationship Id="rId780" Type="http://schemas.openxmlformats.org/officeDocument/2006/relationships/hyperlink" Target="https://webolmo-data-snorkel.allen.ai/20251126_snorkel_batch012__llm_step_webvoyager_websites__33" TargetMode="External"/><Relationship Id="rId301" Type="http://schemas.openxmlformats.org/officeDocument/2006/relationships/hyperlink" Target="https://webolmo-data-snorkel.allen.ai/20251219_snorkel_batch007__llm_navqa_webvoyager_websites__87" TargetMode="External"/><Relationship Id="rId543" Type="http://schemas.openxmlformats.org/officeDocument/2006/relationships/hyperlink" Target="https://webolmo-data-snorkel.allen.ai/20251126_snorkel_batch017__llm_step_onlinemind2web_websites__82" TargetMode="External"/><Relationship Id="rId785" Type="http://schemas.openxmlformats.org/officeDocument/2006/relationships/hyperlink" Target="https://webolmo-data-snorkel.allen.ai/20251210_snorkel_batch005__llm_step_webvoyager_websites__18" TargetMode="External"/><Relationship Id="rId300" Type="http://schemas.openxmlformats.org/officeDocument/2006/relationships/hyperlink" Target="https://webolmo-data-snorkel.allen.ai/20251219_snorkel_batch002__llm_navqa_webvoyager_websites__76" TargetMode="External"/><Relationship Id="rId542" Type="http://schemas.openxmlformats.org/officeDocument/2006/relationships/hyperlink" Target="https://webolmo-data-snorkel.allen.ai/20251126_snorkel_batch012__llm_step_popular_websites__57" TargetMode="External"/><Relationship Id="rId784" Type="http://schemas.openxmlformats.org/officeDocument/2006/relationships/hyperlink" Target="https://webolmo-data-snorkel.allen.ai/20251210_snorkel_batch005__llm_step_webvoyager_websites__18" TargetMode="External"/><Relationship Id="rId541" Type="http://schemas.openxmlformats.org/officeDocument/2006/relationships/hyperlink" Target="https://webolmo-data-snorkel.allen.ai/20251126_snorkel_batch020__llm_step_webvoyager_websites__143" TargetMode="External"/><Relationship Id="rId783" Type="http://schemas.openxmlformats.org/officeDocument/2006/relationships/hyperlink" Target="https://webolmo-data-snorkel.allen.ai/20251210_snorkel_batch009__llm_step_webvoyager_websites__47" TargetMode="External"/><Relationship Id="rId540" Type="http://schemas.openxmlformats.org/officeDocument/2006/relationships/hyperlink" Target="https://webolmo-data-snorkel.allen.ai/20251126_snorkel_batch019__llm_step_webvoyager_websites__23" TargetMode="External"/><Relationship Id="rId782" Type="http://schemas.openxmlformats.org/officeDocument/2006/relationships/hyperlink" Target="https://webolmo-data-snorkel.allen.ai/20251210_snorkel_batch009__llm_step_webvoyager_websites__47" TargetMode="External"/><Relationship Id="rId536" Type="http://schemas.openxmlformats.org/officeDocument/2006/relationships/hyperlink" Target="https://webolmo-data-snorkel.allen.ai/20251126_snorkel_batch012__llm_step_onlinemind2web_websites__44" TargetMode="External"/><Relationship Id="rId778" Type="http://schemas.openxmlformats.org/officeDocument/2006/relationships/hyperlink" Target="https://webolmo-data-snorkel.allen.ai/20251126_snorkel_batch011__llm_step_webvoyager_websites__119" TargetMode="External"/><Relationship Id="rId535" Type="http://schemas.openxmlformats.org/officeDocument/2006/relationships/hyperlink" Target="https://webolmo-data-snorkel.allen.ai/20251126_snorkel_batch019__llm_step_popular_websites__37" TargetMode="External"/><Relationship Id="rId777" Type="http://schemas.openxmlformats.org/officeDocument/2006/relationships/hyperlink" Target="https://webolmo-data-snorkel.allen.ai/20251210_snorkel_batch008__llm_step_popular_websites__2" TargetMode="External"/><Relationship Id="rId534" Type="http://schemas.openxmlformats.org/officeDocument/2006/relationships/hyperlink" Target="https://webolmo-data-snorkel.allen.ai/20260107_snorkel_batch002_step_tasks__maps_visual_count__19" TargetMode="External"/><Relationship Id="rId776" Type="http://schemas.openxmlformats.org/officeDocument/2006/relationships/hyperlink" Target="https://webolmo-data-snorkel.allen.ai/20251210_snorkel_batch008__llm_step_popular_websites__2" TargetMode="External"/><Relationship Id="rId533" Type="http://schemas.openxmlformats.org/officeDocument/2006/relationships/hyperlink" Target="https://webolmo-data-snorkel.allen.ai/20251126_snorkel_batch016__llm_step_webvoyager_websites__33" TargetMode="External"/><Relationship Id="rId775" Type="http://schemas.openxmlformats.org/officeDocument/2006/relationships/hyperlink" Target="https://webolmo-data-snorkel.allen.ai/20251210_snorkel_batch002__llm_step_webvoyager_websites__92" TargetMode="External"/><Relationship Id="rId539" Type="http://schemas.openxmlformats.org/officeDocument/2006/relationships/hyperlink" Target="https://webolmo-data-snorkel.allen.ai/20251126_snorkel_batch017__llm_step_onlinemind2web_websites__50" TargetMode="External"/><Relationship Id="rId538" Type="http://schemas.openxmlformats.org/officeDocument/2006/relationships/hyperlink" Target="https://webolmo-data-snorkel.allen.ai/20251126_snorkel_batch012__llm_step_onlinemind2web_websites__148" TargetMode="External"/><Relationship Id="rId537" Type="http://schemas.openxmlformats.org/officeDocument/2006/relationships/hyperlink" Target="https://webolmo-data-snorkel.allen.ai/20260107_snorkel_batch001_step_tasks__general_news_nav_and_open_first__41" TargetMode="External"/><Relationship Id="rId779" Type="http://schemas.openxmlformats.org/officeDocument/2006/relationships/hyperlink" Target="https://webolmo-data-snorkel.allen.ai/20251126_snorkel_batch011__llm_step_webvoyager_websites__119" TargetMode="External"/><Relationship Id="rId770" Type="http://schemas.openxmlformats.org/officeDocument/2006/relationships/hyperlink" Target="https://webolmo-data-snorkel.allen.ai/20251210_snorkel_batch009__llm_step_webvoyager_websites__10" TargetMode="External"/><Relationship Id="rId532" Type="http://schemas.openxmlformats.org/officeDocument/2006/relationships/hyperlink" Target="https://webolmo-data-snorkel.allen.ai/20251126_snorkel_batch015__llm_step_webvoyager_websites__3" TargetMode="External"/><Relationship Id="rId774" Type="http://schemas.openxmlformats.org/officeDocument/2006/relationships/hyperlink" Target="https://webolmo-data-snorkel.allen.ai/20251210_snorkel_batch002__llm_step_webvoyager_websites__92" TargetMode="External"/><Relationship Id="rId531" Type="http://schemas.openxmlformats.org/officeDocument/2006/relationships/hyperlink" Target="https://webolmo-data-snorkel.allen.ai/20251126_snorkel_batch014__llm_step_webvoyager_websites__166" TargetMode="External"/><Relationship Id="rId773" Type="http://schemas.openxmlformats.org/officeDocument/2006/relationships/hyperlink" Target="https://webolmo-data-snorkel.allen.ai/20260113_snorkel_batch005_procedural__maps_nearby__2" TargetMode="External"/><Relationship Id="rId530" Type="http://schemas.openxmlformats.org/officeDocument/2006/relationships/hyperlink" Target="https://webolmo-data-snorkel.allen.ai/20251126_snorkel_batch016__llm_step_onlinemind2web_websites__17" TargetMode="External"/><Relationship Id="rId772" Type="http://schemas.openxmlformats.org/officeDocument/2006/relationships/hyperlink" Target="https://webolmo-data-snorkel.allen.ai/20260113_snorkel_batch005_procedural__maps_nearby__2" TargetMode="External"/><Relationship Id="rId771" Type="http://schemas.openxmlformats.org/officeDocument/2006/relationships/hyperlink" Target="https://webolmo-data-snorkel.allen.ai/20251219_snorkel_batch004__llm_navqa_onlinemind2web_websites__93" TargetMode="External"/><Relationship Id="rId327" Type="http://schemas.openxmlformats.org/officeDocument/2006/relationships/hyperlink" Target="https://webolmo-data-snorkel.allen.ai/20251219_snorkel_batch005__llm_navqa_webvoyager_websites__48" TargetMode="External"/><Relationship Id="rId569" Type="http://schemas.openxmlformats.org/officeDocument/2006/relationships/hyperlink" Target="https://webolmo-data-snorkel.allen.ai/20260107_snorkel_batch001_step_tasks__maps_directions__26" TargetMode="External"/><Relationship Id="rId326" Type="http://schemas.openxmlformats.org/officeDocument/2006/relationships/hyperlink" Target="https://webolmo-data-snorkel.allen.ai/20251219_snorkel_batch009__llm_navqa_popular_websites__137" TargetMode="External"/><Relationship Id="rId568" Type="http://schemas.openxmlformats.org/officeDocument/2006/relationships/hyperlink" Target="https://webolmo-data-snorkel.allen.ai/20251126_snorkel_batch020__llm_step_onlinemind2web_websites__61" TargetMode="External"/><Relationship Id="rId325" Type="http://schemas.openxmlformats.org/officeDocument/2006/relationships/hyperlink" Target="https://webolmo-data-snorkel.allen.ai/20251219_snorkel_batch009__llm_navqa_webvoyager_websites__169" TargetMode="External"/><Relationship Id="rId567" Type="http://schemas.openxmlformats.org/officeDocument/2006/relationships/hyperlink" Target="https://webolmo-data-snorkel.allen.ai/20260107_snorkel_batch001_step_tasks__news_search_and_open_nth__19" TargetMode="External"/><Relationship Id="rId324" Type="http://schemas.openxmlformats.org/officeDocument/2006/relationships/hyperlink" Target="https://webolmo-data-snorkel.allen.ai/20251219_snorkel_batch004__llm_navqa_popular_websites__65" TargetMode="External"/><Relationship Id="rId566" Type="http://schemas.openxmlformats.org/officeDocument/2006/relationships/hyperlink" Target="https://webolmo-data-snorkel.allen.ai/20260107_snorkel_batch001_step_tasks__maps_directions_with_mode__6" TargetMode="External"/><Relationship Id="rId329" Type="http://schemas.openxmlformats.org/officeDocument/2006/relationships/hyperlink" Target="https://webolmo-data-snorkel.allen.ai/20251219_snorkel_batch003__llm_navqa_onlinemind2web_websites__132" TargetMode="External"/><Relationship Id="rId328" Type="http://schemas.openxmlformats.org/officeDocument/2006/relationships/hyperlink" Target="https://webolmo-data-snorkel.allen.ai/20251219_snorkel_batch006__llm_navqa_onlinemind2web_websites__54" TargetMode="External"/><Relationship Id="rId561" Type="http://schemas.openxmlformats.org/officeDocument/2006/relationships/hyperlink" Target="https://webolmo-data-snorkel.allen.ai/20251126_snorkel_batch015__llm_step_popular_websites__66" TargetMode="External"/><Relationship Id="rId560" Type="http://schemas.openxmlformats.org/officeDocument/2006/relationships/hyperlink" Target="https://webolmo-data-snorkel.allen.ai/20251126_snorkel_batch019__llm_step_webvoyager_websites__116" TargetMode="External"/><Relationship Id="rId323" Type="http://schemas.openxmlformats.org/officeDocument/2006/relationships/hyperlink" Target="https://webolmo-data-snorkel.allen.ai/20251219_snorkel_batch003__llm_navqa_onlinemind2web_websites__98" TargetMode="External"/><Relationship Id="rId565" Type="http://schemas.openxmlformats.org/officeDocument/2006/relationships/hyperlink" Target="https://webolmo-data-snorkel.allen.ai/20251126_snorkel_batch016__llm_step_onlinemind2web_websites__60" TargetMode="External"/><Relationship Id="rId322" Type="http://schemas.openxmlformats.org/officeDocument/2006/relationships/hyperlink" Target="https://webolmo-data-snorkel.allen.ai/20251219_snorkel_batch010__llm_navqa_onlinemind2web_websites__42" TargetMode="External"/><Relationship Id="rId564" Type="http://schemas.openxmlformats.org/officeDocument/2006/relationships/hyperlink" Target="https://webolmo-data-snorkel.allen.ai/20251126_snorkel_batch014__llm_step_webvoyager_websites__93" TargetMode="External"/><Relationship Id="rId321" Type="http://schemas.openxmlformats.org/officeDocument/2006/relationships/hyperlink" Target="https://webolmo-data-snorkel.allen.ai/20251219_snorkel_batch006__llm_navqa_webvoyager_websites__66" TargetMode="External"/><Relationship Id="rId563" Type="http://schemas.openxmlformats.org/officeDocument/2006/relationships/hyperlink" Target="https://webolmo-data-snorkel.allen.ai/20251210_snorkel_batch001__llm_step_onlinemind2web_websites__144" TargetMode="External"/><Relationship Id="rId320" Type="http://schemas.openxmlformats.org/officeDocument/2006/relationships/hyperlink" Target="https://webolmo-data-snorkel.allen.ai/20251121_snorkel_batch001__webvoyager_like__355" TargetMode="External"/><Relationship Id="rId562" Type="http://schemas.openxmlformats.org/officeDocument/2006/relationships/hyperlink" Target="https://webolmo-data-snorkel.allen.ai/20251126_snorkel_batch015__llm_step_onlinemind2web_websites__161" TargetMode="External"/><Relationship Id="rId316" Type="http://schemas.openxmlformats.org/officeDocument/2006/relationships/hyperlink" Target="https://webolmo-data-snorkel.allen.ai/20251219_snorkel_batch001__llm_navqa_popular_websites__26" TargetMode="External"/><Relationship Id="rId558" Type="http://schemas.openxmlformats.org/officeDocument/2006/relationships/hyperlink" Target="https://webolmo-data-snorkel.allen.ai/20260107_snorkel_batch002_step_tasks__maps_distance__9" TargetMode="External"/><Relationship Id="rId315" Type="http://schemas.openxmlformats.org/officeDocument/2006/relationships/hyperlink" Target="https://webolmo-data-snorkel.allen.ai/20251126_snorkel_batch013__llm_step_popular_websites__124" TargetMode="External"/><Relationship Id="rId557" Type="http://schemas.openxmlformats.org/officeDocument/2006/relationships/hyperlink" Target="https://webolmo-data-snorkel.allen.ai/20251126_snorkel_batch012__llm_step_popular_websites__21" TargetMode="External"/><Relationship Id="rId799" Type="http://schemas.openxmlformats.org/officeDocument/2006/relationships/drawing" Target="../drawings/drawing3.xml"/><Relationship Id="rId314" Type="http://schemas.openxmlformats.org/officeDocument/2006/relationships/hyperlink" Target="https://webolmo-data-snorkel.allen.ai/20251219_snorkel_batch004__llm_navqa_onlinemind2web_websites__119" TargetMode="External"/><Relationship Id="rId556" Type="http://schemas.openxmlformats.org/officeDocument/2006/relationships/hyperlink" Target="https://webolmo-data-snorkel.allen.ai/20260107_snorkel_batch001_step_tasks__maps_directions__13" TargetMode="External"/><Relationship Id="rId798" Type="http://schemas.openxmlformats.org/officeDocument/2006/relationships/hyperlink" Target="https://webolmo-data-snorkel.allen.ai/20251210_snorkel_batch006__llm_step_popular_websites__84" TargetMode="External"/><Relationship Id="rId313" Type="http://schemas.openxmlformats.org/officeDocument/2006/relationships/hyperlink" Target="https://webolmo-data-snorkel.allen.ai/20251219_snorkel_batch004__llm_navqa_onlinemind2web_websites__127" TargetMode="External"/><Relationship Id="rId555" Type="http://schemas.openxmlformats.org/officeDocument/2006/relationships/hyperlink" Target="https://webolmo-data-snorkel.allen.ai/20251126_snorkel_batch018__llm_step_onlinemind2web_websites__66" TargetMode="External"/><Relationship Id="rId797" Type="http://schemas.openxmlformats.org/officeDocument/2006/relationships/hyperlink" Target="https://webolmo-data-snorkel.allen.ai/20251210_snorkel_batch008__llm_step_onlinemind2web_websites__117" TargetMode="External"/><Relationship Id="rId319" Type="http://schemas.openxmlformats.org/officeDocument/2006/relationships/hyperlink" Target="https://webolmo-data-snorkel.allen.ai/20251219_snorkel_batch003__llm_navqa_onlinemind2web_websites__157" TargetMode="External"/><Relationship Id="rId318" Type="http://schemas.openxmlformats.org/officeDocument/2006/relationships/hyperlink" Target="https://webolmo-data-snorkel.allen.ai/20251219_snorkel_batch010__llm_navqa_popular_websites__70" TargetMode="External"/><Relationship Id="rId317" Type="http://schemas.openxmlformats.org/officeDocument/2006/relationships/hyperlink" Target="https://webolmo-data-snorkel.allen.ai/20251219_snorkel_batch009__llm_navqa_onlinemind2web_websites__50" TargetMode="External"/><Relationship Id="rId559" Type="http://schemas.openxmlformats.org/officeDocument/2006/relationships/hyperlink" Target="https://webolmo-data-snorkel.allen.ai/20251126_snorkel_batch019__llm_step_popular_websites__21" TargetMode="External"/><Relationship Id="rId550" Type="http://schemas.openxmlformats.org/officeDocument/2006/relationships/hyperlink" Target="https://webolmo-data-snorkel.allen.ai/20251126_snorkel_batch015__llm_step_popular_websites__38" TargetMode="External"/><Relationship Id="rId792" Type="http://schemas.openxmlformats.org/officeDocument/2006/relationships/hyperlink" Target="https://webolmo-data-snorkel.allen.ai/20251126_snorkel_batch016__llm_step_popular_websites__131" TargetMode="External"/><Relationship Id="rId791" Type="http://schemas.openxmlformats.org/officeDocument/2006/relationships/hyperlink" Target="https://webolmo-data-snorkel.allen.ai/20260113_snorkel_batch002_procedural__general_news_nav__7" TargetMode="External"/><Relationship Id="rId790" Type="http://schemas.openxmlformats.org/officeDocument/2006/relationships/hyperlink" Target="https://webolmo-data-snorkel.allen.ai/20260113_snorkel_batch002_procedural__general_news_nav__7" TargetMode="External"/><Relationship Id="rId312" Type="http://schemas.openxmlformats.org/officeDocument/2006/relationships/hyperlink" Target="https://webolmo-data-snorkel.allen.ai/20251219_snorkel_batch004__llm_navqa_onlinemind2web_websites__91" TargetMode="External"/><Relationship Id="rId554" Type="http://schemas.openxmlformats.org/officeDocument/2006/relationships/hyperlink" Target="https://webolmo-data-snorkel.allen.ai/20251219_snorkel_batch010__llm_navqa_webvoyager_websites__63" TargetMode="External"/><Relationship Id="rId796" Type="http://schemas.openxmlformats.org/officeDocument/2006/relationships/hyperlink" Target="https://webolmo-data-snorkel.allen.ai/20251219_snorkel_batch001__llm_navqa_popular_websites__50" TargetMode="External"/><Relationship Id="rId311" Type="http://schemas.openxmlformats.org/officeDocument/2006/relationships/hyperlink" Target="https://webolmo-data-snorkel.allen.ai/20251219_snorkel_batch006__llm_navqa_onlinemind2web_websites__25" TargetMode="External"/><Relationship Id="rId553" Type="http://schemas.openxmlformats.org/officeDocument/2006/relationships/hyperlink" Target="https://webolmo-data-snorkel.allen.ai/20251126_snorkel_batch012__llm_step_onlinemind2web_websites__48" TargetMode="External"/><Relationship Id="rId795" Type="http://schemas.openxmlformats.org/officeDocument/2006/relationships/hyperlink" Target="https://webolmo-data-snorkel.allen.ai/20251126_snorkel_batch014__llm_step_onlinemind2web_websites__78" TargetMode="External"/><Relationship Id="rId310" Type="http://schemas.openxmlformats.org/officeDocument/2006/relationships/hyperlink" Target="https://webolmo-data-snorkel.allen.ai/20251219_snorkel_batch006__llm_navqa_webvoyager_websites__52" TargetMode="External"/><Relationship Id="rId552" Type="http://schemas.openxmlformats.org/officeDocument/2006/relationships/hyperlink" Target="https://webolmo-data-snorkel.allen.ai/20251126_snorkel_batch017__llm_step_onlinemind2web_websites__138" TargetMode="External"/><Relationship Id="rId794" Type="http://schemas.openxmlformats.org/officeDocument/2006/relationships/hyperlink" Target="https://webolmo-data-snorkel.allen.ai/20251121_snorkel_batch008__webvoyager_like__410" TargetMode="External"/><Relationship Id="rId551" Type="http://schemas.openxmlformats.org/officeDocument/2006/relationships/hyperlink" Target="https://webolmo-data-snorkel.allen.ai/20251126_snorkel_batch014__llm_step_onlinemind2web_websites__92" TargetMode="External"/><Relationship Id="rId793" Type="http://schemas.openxmlformats.org/officeDocument/2006/relationships/hyperlink" Target="https://webolmo-data-snorkel.allen.ai/20251210_snorkel_batch002__llm_step_popular_websites__103" TargetMode="External"/><Relationship Id="rId297" Type="http://schemas.openxmlformats.org/officeDocument/2006/relationships/hyperlink" Target="https://webolmo-data-snorkel.allen.ai/20251219_snorkel_batch004__llm_navqa_webvoyager_websites__69" TargetMode="External"/><Relationship Id="rId296" Type="http://schemas.openxmlformats.org/officeDocument/2006/relationships/hyperlink" Target="https://webolmo-data-snorkel.allen.ai/20251219_snorkel_batch008__llm_navqa_popular_websites__15" TargetMode="External"/><Relationship Id="rId295" Type="http://schemas.openxmlformats.org/officeDocument/2006/relationships/hyperlink" Target="https://webolmo-data-snorkel.allen.ai/20251219_snorkel_batch002__llm_navqa_popular_websites__45" TargetMode="External"/><Relationship Id="rId294" Type="http://schemas.openxmlformats.org/officeDocument/2006/relationships/hyperlink" Target="https://webolmo-data-snorkel.allen.ai/20251219_snorkel_batch006__llm_navqa_popular_websites__88" TargetMode="External"/><Relationship Id="rId299" Type="http://schemas.openxmlformats.org/officeDocument/2006/relationships/hyperlink" Target="https://webolmo-data-snorkel.allen.ai/20251219_snorkel_batch006__llm_navqa_webvoyager_websites__3" TargetMode="External"/><Relationship Id="rId298" Type="http://schemas.openxmlformats.org/officeDocument/2006/relationships/hyperlink" Target="https://webolmo-data-snorkel.allen.ai/20251219_snorkel_batch005__llm_navqa_popular_websites__132" TargetMode="External"/><Relationship Id="rId271" Type="http://schemas.openxmlformats.org/officeDocument/2006/relationships/hyperlink" Target="https://webolmo-data-snorkel.allen.ai/20251219_snorkel_batch005__llm_navqa_onlinemind2web_websites__100" TargetMode="External"/><Relationship Id="rId270" Type="http://schemas.openxmlformats.org/officeDocument/2006/relationships/hyperlink" Target="https://webolmo-data-snorkel.allen.ai/20251219_snorkel_batch010__llm_navqa_popular_websites__62" TargetMode="External"/><Relationship Id="rId269" Type="http://schemas.openxmlformats.org/officeDocument/2006/relationships/hyperlink" Target="https://webolmo-data-snorkel.allen.ai/20251219_snorkel_batch005__llm_navqa_webvoyager_websites__44" TargetMode="External"/><Relationship Id="rId264" Type="http://schemas.openxmlformats.org/officeDocument/2006/relationships/hyperlink" Target="https://webolmo-data-snorkel.allen.ai/20251219_snorkel_batch002__llm_navqa_webvoyager_websites__115" TargetMode="External"/><Relationship Id="rId263" Type="http://schemas.openxmlformats.org/officeDocument/2006/relationships/hyperlink" Target="https://webolmo-data-snorkel.allen.ai/20251219_snorkel_batch003__llm_navqa_popular_websites__153" TargetMode="External"/><Relationship Id="rId262" Type="http://schemas.openxmlformats.org/officeDocument/2006/relationships/hyperlink" Target="https://webolmo-data-snorkel.allen.ai/20251219_snorkel_batch001__llm_navqa_webvoyager_websites__16" TargetMode="External"/><Relationship Id="rId261" Type="http://schemas.openxmlformats.org/officeDocument/2006/relationships/hyperlink" Target="https://webolmo-data-snorkel.allen.ai/20251219_snorkel_batch010__llm_navqa_webvoyager_websites__63" TargetMode="External"/><Relationship Id="rId268" Type="http://schemas.openxmlformats.org/officeDocument/2006/relationships/hyperlink" Target="https://webolmo-data-snorkel.allen.ai/20251219_snorkel_batch004__llm_navqa_onlinemind2web_websites__136" TargetMode="External"/><Relationship Id="rId267" Type="http://schemas.openxmlformats.org/officeDocument/2006/relationships/hyperlink" Target="https://webolmo-data-snorkel.allen.ai/20251219_snorkel_batch005__llm_navqa_onlinemind2web_websites__43" TargetMode="External"/><Relationship Id="rId266" Type="http://schemas.openxmlformats.org/officeDocument/2006/relationships/hyperlink" Target="https://webolmo-data-snorkel.allen.ai/20251219_snorkel_batch003__llm_navqa_onlinemind2web_websites__6" TargetMode="External"/><Relationship Id="rId265" Type="http://schemas.openxmlformats.org/officeDocument/2006/relationships/hyperlink" Target="https://webolmo-data-snorkel.allen.ai/20251219_snorkel_batch009__llm_navqa_webvoyager_websites__77" TargetMode="External"/><Relationship Id="rId260" Type="http://schemas.openxmlformats.org/officeDocument/2006/relationships/hyperlink" Target="https://webolmo-data-snorkel.allen.ai/20251219_snorkel_batch001__llm_navqa_onlinemind2web_websites__3" TargetMode="External"/><Relationship Id="rId259" Type="http://schemas.openxmlformats.org/officeDocument/2006/relationships/hyperlink" Target="https://webolmo-data-snorkel.allen.ai/20251121_snorkel_batch001__webvoyager_like__380" TargetMode="External"/><Relationship Id="rId258" Type="http://schemas.openxmlformats.org/officeDocument/2006/relationships/hyperlink" Target="https://webolmo-data-snorkel.allen.ai/20251219_snorkel_batch004__llm_navqa_webvoyager_websites__140" TargetMode="External"/><Relationship Id="rId253" Type="http://schemas.openxmlformats.org/officeDocument/2006/relationships/hyperlink" Target="https://webolmo-data-snorkel.allen.ai/20251219_snorkel_batch001__llm_navqa_webvoyager_websites__34" TargetMode="External"/><Relationship Id="rId495" Type="http://schemas.openxmlformats.org/officeDocument/2006/relationships/hyperlink" Target="https://webolmo-data-snorkel.allen.ai/20260107_snorkel_batch001_step_tasks__news_search__20" TargetMode="External"/><Relationship Id="rId252" Type="http://schemas.openxmlformats.org/officeDocument/2006/relationships/hyperlink" Target="https://webolmo-data-snorkel.allen.ai/20251219_snorkel_batch006__llm_navqa_popular_websites__51" TargetMode="External"/><Relationship Id="rId494" Type="http://schemas.openxmlformats.org/officeDocument/2006/relationships/hyperlink" Target="https://webolmo-data-snorkel.allen.ai/20260107_snorkel_batch002_step_tasks__maps_satellite_view__42" TargetMode="External"/><Relationship Id="rId251" Type="http://schemas.openxmlformats.org/officeDocument/2006/relationships/hyperlink" Target="https://webolmo-data-snorkel.allen.ai/20251219_snorkel_batch009__llm_navqa_webvoyager_websites__99" TargetMode="External"/><Relationship Id="rId493" Type="http://schemas.openxmlformats.org/officeDocument/2006/relationships/hyperlink" Target="https://webolmo-data-snorkel.allen.ai/20260107_snorkel_batch002_step_tasks__maps_travel_time__62" TargetMode="External"/><Relationship Id="rId250" Type="http://schemas.openxmlformats.org/officeDocument/2006/relationships/hyperlink" Target="https://webolmo-data-snorkel.allen.ai/20251219_snorkel_batch010__llm_navqa_webvoyager_websites__142" TargetMode="External"/><Relationship Id="rId492" Type="http://schemas.openxmlformats.org/officeDocument/2006/relationships/hyperlink" Target="https://webolmo-data-snorkel.allen.ai/20260107_snorkel_batch002_step_tasks__real_estate_search_and_filter__15" TargetMode="External"/><Relationship Id="rId257" Type="http://schemas.openxmlformats.org/officeDocument/2006/relationships/hyperlink" Target="https://webolmo-data-snorkel.allen.ai/20251219_snorkel_batch003__llm_navqa_onlinemind2web_websites__63" TargetMode="External"/><Relationship Id="rId499" Type="http://schemas.openxmlformats.org/officeDocument/2006/relationships/hyperlink" Target="https://webolmo-data-snorkel.allen.ai/20251126_snorkel_batch016__llm_step_popular_websites__33" TargetMode="External"/><Relationship Id="rId256" Type="http://schemas.openxmlformats.org/officeDocument/2006/relationships/hyperlink" Target="https://webolmo-data-snorkel.allen.ai/20251219_snorkel_batch005__llm_navqa_webvoyager_websites__138" TargetMode="External"/><Relationship Id="rId498" Type="http://schemas.openxmlformats.org/officeDocument/2006/relationships/hyperlink" Target="https://webolmo-data-snorkel.allen.ai/20251126_snorkel_batch014__llm_step_webvoyager_websites__39" TargetMode="External"/><Relationship Id="rId255" Type="http://schemas.openxmlformats.org/officeDocument/2006/relationships/hyperlink" Target="https://webolmo-data-snorkel.allen.ai/20251126_snorkel_batch013__llm_step_webvoyager_websites__24" TargetMode="External"/><Relationship Id="rId497" Type="http://schemas.openxmlformats.org/officeDocument/2006/relationships/hyperlink" Target="https://webolmo-data-snorkel.allen.ai/20251126_snorkel_batch020__llm_step_popular_websites__139" TargetMode="External"/><Relationship Id="rId254" Type="http://schemas.openxmlformats.org/officeDocument/2006/relationships/hyperlink" Target="https://webolmo-data-snorkel.allen.ai/20251219_snorkel_batch009__llm_navqa_onlinemind2web_websites__83" TargetMode="External"/><Relationship Id="rId496" Type="http://schemas.openxmlformats.org/officeDocument/2006/relationships/hyperlink" Target="https://webolmo-data-snorkel.allen.ai/20260107_snorkel_batch001_step_tasks__news_search__20" TargetMode="External"/><Relationship Id="rId293" Type="http://schemas.openxmlformats.org/officeDocument/2006/relationships/hyperlink" Target="https://webolmo-data-snorkel.allen.ai/20251219_snorkel_batch003__llm_navqa_onlinemind2web_websites__111" TargetMode="External"/><Relationship Id="rId292" Type="http://schemas.openxmlformats.org/officeDocument/2006/relationships/hyperlink" Target="https://webolmo-data-snorkel.allen.ai/20251219_snorkel_batch005__llm_navqa_webvoyager_websites__107" TargetMode="External"/><Relationship Id="rId291" Type="http://schemas.openxmlformats.org/officeDocument/2006/relationships/hyperlink" Target="https://webolmo-data-snorkel.allen.ai/20251219_snorkel_batch008__llm_navqa_onlinemind2web_websites__69" TargetMode="External"/><Relationship Id="rId290" Type="http://schemas.openxmlformats.org/officeDocument/2006/relationships/hyperlink" Target="https://webolmo-data-snorkel.allen.ai/20251219_snorkel_batch005__llm_navqa_webvoyager_websites__91" TargetMode="External"/><Relationship Id="rId286" Type="http://schemas.openxmlformats.org/officeDocument/2006/relationships/hyperlink" Target="https://webolmo-data-snorkel.allen.ai/20251219_snorkel_batch009__llm_navqa_popular_websites__48" TargetMode="External"/><Relationship Id="rId285" Type="http://schemas.openxmlformats.org/officeDocument/2006/relationships/hyperlink" Target="https://webolmo-data-snorkel.allen.ai/20251219_snorkel_batch007__llm_navqa_onlinemind2web_websites__44" TargetMode="External"/><Relationship Id="rId284" Type="http://schemas.openxmlformats.org/officeDocument/2006/relationships/hyperlink" Target="https://webolmo-data-snorkel.allen.ai/20251219_snorkel_batch001__llm_navqa_onlinemind2web_websites__45" TargetMode="External"/><Relationship Id="rId283" Type="http://schemas.openxmlformats.org/officeDocument/2006/relationships/hyperlink" Target="https://webolmo-data-snorkel.allen.ai/20251121_snorkel_batch001__webvoyager_like__38" TargetMode="External"/><Relationship Id="rId289" Type="http://schemas.openxmlformats.org/officeDocument/2006/relationships/hyperlink" Target="https://webolmo-data-snorkel.allen.ai/20251219_snorkel_batch009__llm_navqa_onlinemind2web_websites__140" TargetMode="External"/><Relationship Id="rId288" Type="http://schemas.openxmlformats.org/officeDocument/2006/relationships/hyperlink" Target="https://webolmo-data-snorkel.allen.ai/20251219_snorkel_batch007__llm_navqa_webvoyager_websites__77" TargetMode="External"/><Relationship Id="rId287" Type="http://schemas.openxmlformats.org/officeDocument/2006/relationships/hyperlink" Target="https://webolmo-data-snorkel.allen.ai/20251219_snorkel_batch001__llm_navqa_webvoyager_websites__103" TargetMode="External"/><Relationship Id="rId282" Type="http://schemas.openxmlformats.org/officeDocument/2006/relationships/hyperlink" Target="https://webolmo-data-snorkel.allen.ai/20251219_snorkel_batch002__llm_navqa_popular_websites__147" TargetMode="External"/><Relationship Id="rId281" Type="http://schemas.openxmlformats.org/officeDocument/2006/relationships/hyperlink" Target="https://webolmo-data-snorkel.allen.ai/20251219_snorkel_batch009__llm_navqa_onlinemind2web_websites__40" TargetMode="External"/><Relationship Id="rId280" Type="http://schemas.openxmlformats.org/officeDocument/2006/relationships/hyperlink" Target="https://webolmo-data-snorkel.allen.ai/20251121_snorkel_batch001__webvoyager_like__154" TargetMode="External"/><Relationship Id="rId275" Type="http://schemas.openxmlformats.org/officeDocument/2006/relationships/hyperlink" Target="https://webolmo-data-snorkel.allen.ai/20251219_snorkel_batch007__llm_navqa_webvoyager_websites__19" TargetMode="External"/><Relationship Id="rId274" Type="http://schemas.openxmlformats.org/officeDocument/2006/relationships/hyperlink" Target="https://webolmo-data-snorkel.allen.ai/20251219_snorkel_batch005__llm_navqa_onlinemind2web_websites__36" TargetMode="External"/><Relationship Id="rId273" Type="http://schemas.openxmlformats.org/officeDocument/2006/relationships/hyperlink" Target="https://webolmo-data-snorkel.allen.ai/20251219_snorkel_batch008__llm_navqa_webvoyager_websites__152" TargetMode="External"/><Relationship Id="rId272" Type="http://schemas.openxmlformats.org/officeDocument/2006/relationships/hyperlink" Target="https://webolmo-data-snorkel.allen.ai/20251219_snorkel_batch001__llm_navqa_popular_websites__59" TargetMode="External"/><Relationship Id="rId279" Type="http://schemas.openxmlformats.org/officeDocument/2006/relationships/hyperlink" Target="https://webolmo-data-snorkel.allen.ai/20251219_snorkel_batch010__llm_navqa_onlinemind2web_websites__21" TargetMode="External"/><Relationship Id="rId278" Type="http://schemas.openxmlformats.org/officeDocument/2006/relationships/hyperlink" Target="https://webolmo-data-snorkel.allen.ai/20251219_snorkel_batch009__llm_navqa_popular_websites__110" TargetMode="External"/><Relationship Id="rId277" Type="http://schemas.openxmlformats.org/officeDocument/2006/relationships/hyperlink" Target="https://webolmo-data-snorkel.allen.ai/20251219_snorkel_batch004__llm_navqa_popular_websites__121" TargetMode="External"/><Relationship Id="rId276" Type="http://schemas.openxmlformats.org/officeDocument/2006/relationships/hyperlink" Target="https://webolmo-data-snorkel.allen.ai/20251121_snorkel_batch001__webvoyager_like__231" TargetMode="External"/><Relationship Id="rId629" Type="http://schemas.openxmlformats.org/officeDocument/2006/relationships/hyperlink" Target="https://webolmo-data-snorkel.allen.ai/20260107_snorkel_batch002_step_tasks__maps_route_planning__9" TargetMode="External"/><Relationship Id="rId624" Type="http://schemas.openxmlformats.org/officeDocument/2006/relationships/hyperlink" Target="https://webolmo-data-snorkel.allen.ai/20260107_snorkel_batch001_step_tasks__general_news_nav_and_open_first__28" TargetMode="External"/><Relationship Id="rId623" Type="http://schemas.openxmlformats.org/officeDocument/2006/relationships/hyperlink" Target="https://webolmo-data-snorkel.allen.ai/20251126_snorkel_batch015__llm_step_webvoyager_websites__150" TargetMode="External"/><Relationship Id="rId622" Type="http://schemas.openxmlformats.org/officeDocument/2006/relationships/hyperlink" Target="https://webolmo-data-snorkel.allen.ai/20260107_snorkel_batch001_step_tasks__news_search_and_open_nth__20" TargetMode="External"/><Relationship Id="rId621" Type="http://schemas.openxmlformats.org/officeDocument/2006/relationships/hyperlink" Target="https://webolmo-data-snorkel.allen.ai/20251219_snorkel_batch009__llm_navqa_webvoyager_websites__19" TargetMode="External"/><Relationship Id="rId628" Type="http://schemas.openxmlformats.org/officeDocument/2006/relationships/hyperlink" Target="https://webolmo-data-snorkel.allen.ai/20260107_snorkel_batch002_step_tasks__maps_distance__20" TargetMode="External"/><Relationship Id="rId627" Type="http://schemas.openxmlformats.org/officeDocument/2006/relationships/hyperlink" Target="https://webolmo-data-snorkel.allen.ai/20260107_snorkel_batch002_step_tasks__maps_distance__12" TargetMode="External"/><Relationship Id="rId626" Type="http://schemas.openxmlformats.org/officeDocument/2006/relationships/hyperlink" Target="https://webolmo-data-snorkel.allen.ai/20260107_snorkel_batch001_step_tasks__maps_directions__4" TargetMode="External"/><Relationship Id="rId625" Type="http://schemas.openxmlformats.org/officeDocument/2006/relationships/hyperlink" Target="https://webolmo-data-snorkel.allen.ai/20260107_snorkel_batch001_step_tasks__sports_news_nav__25" TargetMode="External"/><Relationship Id="rId620" Type="http://schemas.openxmlformats.org/officeDocument/2006/relationships/hyperlink" Target="https://webolmo-data-snorkel.allen.ai/20260107_snorkel_batch003_step_tasks__food_recipes__49" TargetMode="External"/><Relationship Id="rId619" Type="http://schemas.openxmlformats.org/officeDocument/2006/relationships/hyperlink" Target="https://webolmo-data-snorkel.allen.ai/20260107_snorkel_batch001_step_tasks__maps_directions__28" TargetMode="External"/><Relationship Id="rId618" Type="http://schemas.openxmlformats.org/officeDocument/2006/relationships/hyperlink" Target="https://webolmo-data-snorkel.allen.ai/20260107_snorkel_batch003_step_tasks__shopping_search_and_add_to_cart__16" TargetMode="External"/><Relationship Id="rId613" Type="http://schemas.openxmlformats.org/officeDocument/2006/relationships/hyperlink" Target="https://webolmo-data-snorkel.allen.ai/20251126_snorkel_batch020__llm_step_webvoyager_websites__18" TargetMode="External"/><Relationship Id="rId612" Type="http://schemas.openxmlformats.org/officeDocument/2006/relationships/hyperlink" Target="https://webolmo-data-snorkel.allen.ai/20251126_snorkel_batch012__llm_step_onlinemind2web_websites__99" TargetMode="External"/><Relationship Id="rId611" Type="http://schemas.openxmlformats.org/officeDocument/2006/relationships/hyperlink" Target="https://webolmo-data-snorkel.allen.ai/20260107_snorkel_batch002_step_tasks__maps_visual_search__40" TargetMode="External"/><Relationship Id="rId610" Type="http://schemas.openxmlformats.org/officeDocument/2006/relationships/hyperlink" Target="https://webolmo-data-snorkel.allen.ai/20251126_snorkel_batch012__llm_step_webvoyager_websites__7" TargetMode="External"/><Relationship Id="rId617" Type="http://schemas.openxmlformats.org/officeDocument/2006/relationships/hyperlink" Target="https://webolmo-data-snorkel.allen.ai/20260107_snorkel_batch002_step_tasks__maps_nearby__14" TargetMode="External"/><Relationship Id="rId616" Type="http://schemas.openxmlformats.org/officeDocument/2006/relationships/hyperlink" Target="https://webolmo-data-snorkel.allen.ai/20260107_snorkel_batch001_step_tasks__general_news_nav_and_open_first__9" TargetMode="External"/><Relationship Id="rId615" Type="http://schemas.openxmlformats.org/officeDocument/2006/relationships/hyperlink" Target="https://webolmo-data-snorkel.allen.ai/20251126_snorkel_batch016__llm_step_onlinemind2web_websites__34" TargetMode="External"/><Relationship Id="rId614" Type="http://schemas.openxmlformats.org/officeDocument/2006/relationships/hyperlink" Target="https://webolmo-data-snorkel.allen.ai/20260107_snorkel_batch002_step_tasks__real_estate_search_and_filter__41" TargetMode="External"/><Relationship Id="rId409" Type="http://schemas.openxmlformats.org/officeDocument/2006/relationships/hyperlink" Target="https://webolmo-data-snorkel.allen.ai/20251126_snorkel_batch017__llm_step_onlinemind2web_websites__20" TargetMode="External"/><Relationship Id="rId404" Type="http://schemas.openxmlformats.org/officeDocument/2006/relationships/hyperlink" Target="https://webolmo-data-snorkel.allen.ai/20251126_snorkel_batch013__llm_step_onlinemind2web_websites__134" TargetMode="External"/><Relationship Id="rId646" Type="http://schemas.openxmlformats.org/officeDocument/2006/relationships/hyperlink" Target="https://webolmo-data-snorkel.allen.ai/20260107_snorkel_batch001_step_tasks__news_search_and_open_nth__21" TargetMode="External"/><Relationship Id="rId403" Type="http://schemas.openxmlformats.org/officeDocument/2006/relationships/hyperlink" Target="https://webolmo-data-snorkel.allen.ai/20251121_snorkel_batch008__webvoyager_like__253" TargetMode="External"/><Relationship Id="rId645" Type="http://schemas.openxmlformats.org/officeDocument/2006/relationships/hyperlink" Target="https://webolmo-data-snorkel.allen.ai/20251126_snorkel_batch015__llm_step_webvoyager_websites__36" TargetMode="External"/><Relationship Id="rId402" Type="http://schemas.openxmlformats.org/officeDocument/2006/relationships/hyperlink" Target="https://webolmo-data-snorkel.allen.ai/20251126_snorkel_batch011__llm_step_webvoyager_websites__150" TargetMode="External"/><Relationship Id="rId644" Type="http://schemas.openxmlformats.org/officeDocument/2006/relationships/hyperlink" Target="https://webolmo-data-snorkel.allen.ai/20260107_snorkel_batch001_step_tasks__maps_directions__35" TargetMode="External"/><Relationship Id="rId401" Type="http://schemas.openxmlformats.org/officeDocument/2006/relationships/hyperlink" Target="https://webolmo-data-snorkel.allen.ai/20251126_snorkel_batch017__llm_step_popular_websites__147" TargetMode="External"/><Relationship Id="rId643" Type="http://schemas.openxmlformats.org/officeDocument/2006/relationships/hyperlink" Target="https://webolmo-data-snorkel.allen.ai/20251126_snorkel_batch019__llm_step_webvoyager_websites__6" TargetMode="External"/><Relationship Id="rId408" Type="http://schemas.openxmlformats.org/officeDocument/2006/relationships/hyperlink" Target="https://webolmo-data-snorkel.allen.ai/20251126_snorkel_batch015__llm_step_popular_websites__107" TargetMode="External"/><Relationship Id="rId407" Type="http://schemas.openxmlformats.org/officeDocument/2006/relationships/hyperlink" Target="https://webolmo-data-snorkel.allen.ai/20251126_snorkel_batch017__llm_step_onlinemind2web_websites__0" TargetMode="External"/><Relationship Id="rId649" Type="http://schemas.openxmlformats.org/officeDocument/2006/relationships/hyperlink" Target="https://webolmo-data-snorkel.allen.ai/20251126_snorkel_batch020__llm_step_popular_websites__41" TargetMode="External"/><Relationship Id="rId406" Type="http://schemas.openxmlformats.org/officeDocument/2006/relationships/hyperlink" Target="https://webolmo-data-snorkel.allen.ai/20251126_snorkel_batch020__llm_step_webvoyager_websites__14" TargetMode="External"/><Relationship Id="rId648" Type="http://schemas.openxmlformats.org/officeDocument/2006/relationships/hyperlink" Target="https://webolmo-data-snorkel.allen.ai/20251210_snorkel_batch001__llm_step_onlinemind2web_websites__2" TargetMode="External"/><Relationship Id="rId405" Type="http://schemas.openxmlformats.org/officeDocument/2006/relationships/hyperlink" Target="https://webolmo-data-snorkel.allen.ai/20251126_snorkel_batch019__llm_step_onlinemind2web_websites__166" TargetMode="External"/><Relationship Id="rId647" Type="http://schemas.openxmlformats.org/officeDocument/2006/relationships/hyperlink" Target="https://webolmo-data-snorkel.allen.ai/20260107_snorkel_batch003_step_tasks__career_company_research__29" TargetMode="External"/><Relationship Id="rId400" Type="http://schemas.openxmlformats.org/officeDocument/2006/relationships/hyperlink" Target="https://webolmo-data-snorkel.allen.ai/20251126_snorkel_batch019__llm_step_popular_websites__72" TargetMode="External"/><Relationship Id="rId642" Type="http://schemas.openxmlformats.org/officeDocument/2006/relationships/hyperlink" Target="https://webolmo-data-snorkel.allen.ai/20251126_snorkel_batch019__llm_step_webvoyager_websites__61" TargetMode="External"/><Relationship Id="rId641" Type="http://schemas.openxmlformats.org/officeDocument/2006/relationships/hyperlink" Target="https://webolmo-data-snorkel.allen.ai/20251219_snorkel_batch007__llm_navqa_onlinemind2web_websites__90" TargetMode="External"/><Relationship Id="rId640" Type="http://schemas.openxmlformats.org/officeDocument/2006/relationships/hyperlink" Target="https://webolmo-data-snorkel.allen.ai/20260107_snorkel_batch003_step_tasks__shopping_search_and_filter__37" TargetMode="External"/><Relationship Id="rId635" Type="http://schemas.openxmlformats.org/officeDocument/2006/relationships/hyperlink" Target="https://webolmo-data-snorkel.allen.ai/20251126_snorkel_batch015__llm_step_onlinemind2web_websites__143" TargetMode="External"/><Relationship Id="rId634" Type="http://schemas.openxmlformats.org/officeDocument/2006/relationships/hyperlink" Target="https://webolmo-data-snorkel.allen.ai/20251126_snorkel_batch016__llm_step_popular_websites__136" TargetMode="External"/><Relationship Id="rId633" Type="http://schemas.openxmlformats.org/officeDocument/2006/relationships/hyperlink" Target="https://webolmo-data-snorkel.allen.ai/20260107_snorkel_batch002_step_tasks__maps_travel_time__30" TargetMode="External"/><Relationship Id="rId632" Type="http://schemas.openxmlformats.org/officeDocument/2006/relationships/hyperlink" Target="https://webolmo-data-snorkel.allen.ai/20260107_snorkel_batch002_step_tasks__maps_route_planning__42" TargetMode="External"/><Relationship Id="rId639" Type="http://schemas.openxmlformats.org/officeDocument/2006/relationships/hyperlink" Target="https://webolmo-data-snorkel.allen.ai/20251219_snorkel_batch010__llm_navqa_webvoyager_websites__102" TargetMode="External"/><Relationship Id="rId638" Type="http://schemas.openxmlformats.org/officeDocument/2006/relationships/hyperlink" Target="https://webolmo-data-snorkel.allen.ai/20251210_snorkel_batch001__llm_step_onlinemind2web_websites__87" TargetMode="External"/><Relationship Id="rId637" Type="http://schemas.openxmlformats.org/officeDocument/2006/relationships/hyperlink" Target="https://webolmo-data-snorkel.allen.ai/20251126_snorkel_batch014__llm_step_webvoyager_websites__80" TargetMode="External"/><Relationship Id="rId636" Type="http://schemas.openxmlformats.org/officeDocument/2006/relationships/hyperlink" Target="https://webolmo-data-snorkel.allen.ai/20251126_snorkel_batch020__llm_step_webvoyager_websites__91" TargetMode="External"/><Relationship Id="rId631" Type="http://schemas.openxmlformats.org/officeDocument/2006/relationships/hyperlink" Target="https://webolmo-data-snorkel.allen.ai/20260107_snorkel_batch003_step_tasks__food_recipes__14" TargetMode="External"/><Relationship Id="rId630" Type="http://schemas.openxmlformats.org/officeDocument/2006/relationships/hyperlink" Target="https://webolmo-data-snorkel.allen.ai/20251126_snorkel_batch018__llm_step_webvoyager_websites__45" TargetMode="External"/><Relationship Id="rId609" Type="http://schemas.openxmlformats.org/officeDocument/2006/relationships/hyperlink" Target="https://webolmo-data-snorkel.allen.ai/20251126_snorkel_batch014__llm_step_webvoyager_websites__11" TargetMode="External"/><Relationship Id="rId608" Type="http://schemas.openxmlformats.org/officeDocument/2006/relationships/hyperlink" Target="https://webolmo-data-snorkel.allen.ai/20251126_snorkel_batch011__llm_step_onlinemind2web_websites__52" TargetMode="External"/><Relationship Id="rId607" Type="http://schemas.openxmlformats.org/officeDocument/2006/relationships/hyperlink" Target="https://webolmo-data-snorkel.allen.ai/20251126_snorkel_batch019__llm_step_popular_websites__97" TargetMode="External"/><Relationship Id="rId602" Type="http://schemas.openxmlformats.org/officeDocument/2006/relationships/hyperlink" Target="https://webolmo-data-snorkel.allen.ai/20251126_snorkel_batch020__llm_step_webvoyager_websites__149" TargetMode="External"/><Relationship Id="rId601" Type="http://schemas.openxmlformats.org/officeDocument/2006/relationships/hyperlink" Target="https://webolmo-data-snorkel.allen.ai/20251126_snorkel_batch019__llm_step_webvoyager_websites__136" TargetMode="External"/><Relationship Id="rId600" Type="http://schemas.openxmlformats.org/officeDocument/2006/relationships/hyperlink" Target="https://webolmo-data-snorkel.allen.ai/20260107_snorkel_batch001_step_tasks__finance_news_nav__36" TargetMode="External"/><Relationship Id="rId606" Type="http://schemas.openxmlformats.org/officeDocument/2006/relationships/hyperlink" Target="https://webolmo-data-snorkel.allen.ai/20260107_snorkel_batch003_step_tasks__flight_search__10" TargetMode="External"/><Relationship Id="rId605" Type="http://schemas.openxmlformats.org/officeDocument/2006/relationships/hyperlink" Target="https://webolmo-data-snorkel.allen.ai/20260107_snorkel_batch003_step_tasks__food_delivery__4" TargetMode="External"/><Relationship Id="rId604" Type="http://schemas.openxmlformats.org/officeDocument/2006/relationships/hyperlink" Target="https://webolmo-data-snorkel.allen.ai/20260107_snorkel_batch003_step_tasks__flight_search__43" TargetMode="External"/><Relationship Id="rId603" Type="http://schemas.openxmlformats.org/officeDocument/2006/relationships/hyperlink" Target="https://webolmo-data-snorkel.allen.ai/20251126_snorkel_batch015__llm_step_popular_websites__34" TargetMode="External"/><Relationship Id="rId228" Type="http://schemas.openxmlformats.org/officeDocument/2006/relationships/hyperlink" Target="https://webolmo-data-snorkel.allen.ai/20251219_snorkel_batch010__llm_navqa_webvoyager_websites__67" TargetMode="External"/><Relationship Id="rId227" Type="http://schemas.openxmlformats.org/officeDocument/2006/relationships/hyperlink" Target="https://webolmo-data-snorkel.allen.ai/20251219_snorkel_batch002__llm_navqa_onlinemind2web_websites__29" TargetMode="External"/><Relationship Id="rId469" Type="http://schemas.openxmlformats.org/officeDocument/2006/relationships/hyperlink" Target="https://webolmo-data-snorkel.allen.ai/20251126_snorkel_batch014__llm_step_webvoyager_websites__75" TargetMode="External"/><Relationship Id="rId226" Type="http://schemas.openxmlformats.org/officeDocument/2006/relationships/hyperlink" Target="https://webolmo-data-snorkel.allen.ai/20251219_snorkel_batch006__llm_navqa_webvoyager_websites__88" TargetMode="External"/><Relationship Id="rId468" Type="http://schemas.openxmlformats.org/officeDocument/2006/relationships/hyperlink" Target="https://webolmo-data-snorkel.allen.ai/20251126_snorkel_batch020__llm_step_popular_websites__138" TargetMode="External"/><Relationship Id="rId225" Type="http://schemas.openxmlformats.org/officeDocument/2006/relationships/hyperlink" Target="https://webolmo-data-snorkel.allen.ai/20251219_snorkel_batch009__llm_navqa_popular_websites__159" TargetMode="External"/><Relationship Id="rId467" Type="http://schemas.openxmlformats.org/officeDocument/2006/relationships/hyperlink" Target="https://webolmo-data-snorkel.allen.ai/20251126_snorkel_batch012__llm_step_webvoyager_websites__9" TargetMode="External"/><Relationship Id="rId229" Type="http://schemas.openxmlformats.org/officeDocument/2006/relationships/hyperlink" Target="https://webolmo-data-snorkel.allen.ai/20251219_snorkel_batch007__llm_navqa_onlinemind2web_websites__105" TargetMode="External"/><Relationship Id="rId220" Type="http://schemas.openxmlformats.org/officeDocument/2006/relationships/hyperlink" Target="https://webolmo-data-snorkel.allen.ai/20251219_snorkel_batch010__llm_navqa_webvoyager_websites__151" TargetMode="External"/><Relationship Id="rId462" Type="http://schemas.openxmlformats.org/officeDocument/2006/relationships/hyperlink" Target="https://webolmo-data-snorkel.allen.ai/20251126_snorkel_batch020__llm_step_onlinemind2web_websites__94" TargetMode="External"/><Relationship Id="rId461" Type="http://schemas.openxmlformats.org/officeDocument/2006/relationships/hyperlink" Target="https://webolmo-data-snorkel.allen.ai/20251126_snorkel_batch017__llm_step_webvoyager_websites__110" TargetMode="External"/><Relationship Id="rId460" Type="http://schemas.openxmlformats.org/officeDocument/2006/relationships/hyperlink" Target="https://webolmo-data-snorkel.allen.ai/20251126_snorkel_batch017__llm_step_webvoyager_websites__43" TargetMode="External"/><Relationship Id="rId224" Type="http://schemas.openxmlformats.org/officeDocument/2006/relationships/hyperlink" Target="https://webolmo-data-snorkel.allen.ai/20251219_snorkel_batch001__llm_navqa_popular_websites__113" TargetMode="External"/><Relationship Id="rId466" Type="http://schemas.openxmlformats.org/officeDocument/2006/relationships/hyperlink" Target="https://webolmo-data-snorkel.allen.ai/20251126_snorkel_batch020__llm_step_popular_websites__100" TargetMode="External"/><Relationship Id="rId223" Type="http://schemas.openxmlformats.org/officeDocument/2006/relationships/hyperlink" Target="https://webolmo-data-snorkel.allen.ai/20251219_snorkel_batch005__llm_navqa_popular_websites__77" TargetMode="External"/><Relationship Id="rId465" Type="http://schemas.openxmlformats.org/officeDocument/2006/relationships/hyperlink" Target="https://webolmo-data-snorkel.allen.ai/20251126_snorkel_batch011__llm_step_popular_websites__32" TargetMode="External"/><Relationship Id="rId222" Type="http://schemas.openxmlformats.org/officeDocument/2006/relationships/hyperlink" Target="https://webolmo-data-snorkel.allen.ai/20251219_snorkel_batch001__llm_navqa_webvoyager_websites__156" TargetMode="External"/><Relationship Id="rId464" Type="http://schemas.openxmlformats.org/officeDocument/2006/relationships/hyperlink" Target="https://webolmo-data-snorkel.allen.ai/20251126_snorkel_batch018__llm_step_webvoyager_websites__129" TargetMode="External"/><Relationship Id="rId221" Type="http://schemas.openxmlformats.org/officeDocument/2006/relationships/hyperlink" Target="https://webolmo-data-snorkel.allen.ai/20251219_snorkel_batch005__llm_navqa_popular_websites__58" TargetMode="External"/><Relationship Id="rId463" Type="http://schemas.openxmlformats.org/officeDocument/2006/relationships/hyperlink" Target="https://webolmo-data-snorkel.allen.ai/20251126_snorkel_batch018__llm_step_popular_websites__88" TargetMode="External"/><Relationship Id="rId217" Type="http://schemas.openxmlformats.org/officeDocument/2006/relationships/hyperlink" Target="https://webolmo-data-snorkel.allen.ai/20251219_snorkel_batch007__llm_navqa_onlinemind2web_websites__133" TargetMode="External"/><Relationship Id="rId459" Type="http://schemas.openxmlformats.org/officeDocument/2006/relationships/hyperlink" Target="https://webolmo-data-snorkel.allen.ai/20251126_snorkel_batch020__llm_step_onlinemind2web_websites__81" TargetMode="External"/><Relationship Id="rId216" Type="http://schemas.openxmlformats.org/officeDocument/2006/relationships/hyperlink" Target="https://webolmo-data-snorkel.allen.ai/20251219_snorkel_batch002__llm_navqa_popular_websites__151" TargetMode="External"/><Relationship Id="rId458" Type="http://schemas.openxmlformats.org/officeDocument/2006/relationships/hyperlink" Target="https://webolmo-data-snorkel.allen.ai/20251126_snorkel_batch016__llm_step_popular_websites__14" TargetMode="External"/><Relationship Id="rId215" Type="http://schemas.openxmlformats.org/officeDocument/2006/relationships/hyperlink" Target="https://webolmo-data-snorkel.allen.ai/20251219_snorkel_batch006__llm_navqa_popular_websites__73" TargetMode="External"/><Relationship Id="rId457" Type="http://schemas.openxmlformats.org/officeDocument/2006/relationships/hyperlink" Target="https://webolmo-data-snorkel.allen.ai/20251126_snorkel_batch011__llm_step_popular_websites__155" TargetMode="External"/><Relationship Id="rId699" Type="http://schemas.openxmlformats.org/officeDocument/2006/relationships/hyperlink" Target="https://webolmo-data-snorkel.allen.ai/20251210_snorkel_batch002__llm_step_onlinemind2web_websites__40" TargetMode="External"/><Relationship Id="rId214" Type="http://schemas.openxmlformats.org/officeDocument/2006/relationships/hyperlink" Target="https://webolmo-data-snorkel.allen.ai/20251219_snorkel_batch006__llm_navqa_popular_websites__31" TargetMode="External"/><Relationship Id="rId456" Type="http://schemas.openxmlformats.org/officeDocument/2006/relationships/hyperlink" Target="https://webolmo-data-snorkel.allen.ai/20251126_snorkel_batch020__llm_step_onlinemind2web_websites__114" TargetMode="External"/><Relationship Id="rId698" Type="http://schemas.openxmlformats.org/officeDocument/2006/relationships/hyperlink" Target="https://webolmo-data-snorkel.allen.ai/20251126_snorkel_batch016__llm_step_popular_websites__90" TargetMode="External"/><Relationship Id="rId219" Type="http://schemas.openxmlformats.org/officeDocument/2006/relationships/hyperlink" Target="https://webolmo-data-snorkel.allen.ai/20251219_snorkel_batch010__llm_navqa_webvoyager_websites__123" TargetMode="External"/><Relationship Id="rId218" Type="http://schemas.openxmlformats.org/officeDocument/2006/relationships/hyperlink" Target="https://webolmo-data-snorkel.allen.ai/20251219_snorkel_batch008__llm_navqa_webvoyager_websites__62" TargetMode="External"/><Relationship Id="rId451" Type="http://schemas.openxmlformats.org/officeDocument/2006/relationships/hyperlink" Target="https://webolmo-data-snorkel.allen.ai/20251126_snorkel_batch011__llm_step_webvoyager_websites__81" TargetMode="External"/><Relationship Id="rId693" Type="http://schemas.openxmlformats.org/officeDocument/2006/relationships/hyperlink" Target="https://webolmo-data-snorkel.allen.ai/20251126_snorkel_batch013__llm_step_popular_websites__156" TargetMode="External"/><Relationship Id="rId450" Type="http://schemas.openxmlformats.org/officeDocument/2006/relationships/hyperlink" Target="https://webolmo-data-snorkel.allen.ai/20251126_snorkel_batch020__llm_step_webvoyager_websites__99" TargetMode="External"/><Relationship Id="rId692" Type="http://schemas.openxmlformats.org/officeDocument/2006/relationships/hyperlink" Target="https://webolmo-data-snorkel.allen.ai/20251126_snorkel_batch014__llm_step_popular_websites__143" TargetMode="External"/><Relationship Id="rId691" Type="http://schemas.openxmlformats.org/officeDocument/2006/relationships/hyperlink" Target="https://webolmo-data-snorkel.allen.ai/20251126_snorkel_batch014__llm_step_popular_websites__143" TargetMode="External"/><Relationship Id="rId690" Type="http://schemas.openxmlformats.org/officeDocument/2006/relationships/hyperlink" Target="https://webolmo-data-snorkel.allen.ai/20251126_snorkel_batch014__llm_step_popular_websites__37" TargetMode="External"/><Relationship Id="rId213" Type="http://schemas.openxmlformats.org/officeDocument/2006/relationships/hyperlink" Target="https://webolmo-data-snorkel.allen.ai/20251219_snorkel_batch006__llm_navqa_popular_websites__39" TargetMode="External"/><Relationship Id="rId455" Type="http://schemas.openxmlformats.org/officeDocument/2006/relationships/hyperlink" Target="https://webolmo-data-snorkel.allen.ai/20251126_snorkel_batch018__llm_step_onlinemind2web_websites__7" TargetMode="External"/><Relationship Id="rId697" Type="http://schemas.openxmlformats.org/officeDocument/2006/relationships/hyperlink" Target="https://webolmo-data-snorkel.allen.ai/20251210_snorkel_batch001__llm_step_webvoyager_websites__75" TargetMode="External"/><Relationship Id="rId212" Type="http://schemas.openxmlformats.org/officeDocument/2006/relationships/hyperlink" Target="https://webolmo-data-snorkel.allen.ai/20251219_snorkel_batch007__llm_navqa_popular_websites__122" TargetMode="External"/><Relationship Id="rId454" Type="http://schemas.openxmlformats.org/officeDocument/2006/relationships/hyperlink" Target="https://webolmo-data-snorkel.allen.ai/20251126_snorkel_batch012__llm_step_onlinemind2web_websites__56" TargetMode="External"/><Relationship Id="rId696" Type="http://schemas.openxmlformats.org/officeDocument/2006/relationships/hyperlink" Target="https://webolmo-data-snorkel.allen.ai/20251210_snorkel_batch002__llm_step_popular_websites__70" TargetMode="External"/><Relationship Id="rId211" Type="http://schemas.openxmlformats.org/officeDocument/2006/relationships/hyperlink" Target="https://webolmo-data-snorkel.allen.ai/20251219_snorkel_batch007__llm_navqa_onlinemind2web_websites__158" TargetMode="External"/><Relationship Id="rId453" Type="http://schemas.openxmlformats.org/officeDocument/2006/relationships/hyperlink" Target="https://webolmo-data-snorkel.allen.ai/20251126_snorkel_batch020__llm_step_webvoyager_websites__63" TargetMode="External"/><Relationship Id="rId695" Type="http://schemas.openxmlformats.org/officeDocument/2006/relationships/hyperlink" Target="https://webolmo-data-snorkel.allen.ai/20251210_snorkel_batch001__llm_step_popular_websites__27" TargetMode="External"/><Relationship Id="rId210" Type="http://schemas.openxmlformats.org/officeDocument/2006/relationships/hyperlink" Target="https://webolmo-data-snorkel.allen.ai/20251219_snorkel_batch008__llm_navqa_onlinemind2web_websites__104" TargetMode="External"/><Relationship Id="rId452" Type="http://schemas.openxmlformats.org/officeDocument/2006/relationships/hyperlink" Target="https://webolmo-data-snorkel.allen.ai/20251126_snorkel_batch013__llm_step_webvoyager_websites__146" TargetMode="External"/><Relationship Id="rId694" Type="http://schemas.openxmlformats.org/officeDocument/2006/relationships/hyperlink" Target="https://webolmo-data-snorkel.allen.ai/20260107_snorkel_batch003_step_tasks__car_rental_search__23" TargetMode="External"/><Relationship Id="rId491" Type="http://schemas.openxmlformats.org/officeDocument/2006/relationships/hyperlink" Target="https://webolmo-data-snorkel.allen.ai/20260107_snorkel_batch003_step_tasks__car_rental_search__14" TargetMode="External"/><Relationship Id="rId490" Type="http://schemas.openxmlformats.org/officeDocument/2006/relationships/hyperlink" Target="https://webolmo-data-snorkel.allen.ai/20251126_snorkel_batch014__llm_step_webvoyager_websites__113" TargetMode="External"/><Relationship Id="rId249" Type="http://schemas.openxmlformats.org/officeDocument/2006/relationships/hyperlink" Target="https://webolmo-data-snorkel.allen.ai/20251219_snorkel_batch003__llm_navqa_webvoyager_websites__98" TargetMode="External"/><Relationship Id="rId248" Type="http://schemas.openxmlformats.org/officeDocument/2006/relationships/hyperlink" Target="https://webolmo-data-snorkel.allen.ai/20251219_snorkel_batch008__llm_navqa_webvoyager_websites__68" TargetMode="External"/><Relationship Id="rId247" Type="http://schemas.openxmlformats.org/officeDocument/2006/relationships/hyperlink" Target="https://webolmo-data-snorkel.allen.ai/20251121_snorkel_batch001__webvoyager_like__422" TargetMode="External"/><Relationship Id="rId489" Type="http://schemas.openxmlformats.org/officeDocument/2006/relationships/hyperlink" Target="https://webolmo-data-snorkel.allen.ai/20251121_snorkel_batch003__webvoyager_like__404" TargetMode="External"/><Relationship Id="rId242" Type="http://schemas.openxmlformats.org/officeDocument/2006/relationships/hyperlink" Target="https://webolmo-data-snorkel.allen.ai/20251219_snorkel_batch007__llm_navqa_popular_websites__38" TargetMode="External"/><Relationship Id="rId484" Type="http://schemas.openxmlformats.org/officeDocument/2006/relationships/hyperlink" Target="https://webolmo-data-snorkel.allen.ai/20251126_snorkel_batch015__llm_step_popular_websites__94" TargetMode="External"/><Relationship Id="rId241" Type="http://schemas.openxmlformats.org/officeDocument/2006/relationships/hyperlink" Target="https://webolmo-data-snorkel.allen.ai/20251219_snorkel_batch010__llm_navqa_webvoyager_websites__166" TargetMode="External"/><Relationship Id="rId483" Type="http://schemas.openxmlformats.org/officeDocument/2006/relationships/hyperlink" Target="https://webolmo-data-snorkel.allen.ai/20251126_snorkel_batch012__llm_step_popular_websites__101" TargetMode="External"/><Relationship Id="rId240" Type="http://schemas.openxmlformats.org/officeDocument/2006/relationships/hyperlink" Target="https://webolmo-data-snorkel.allen.ai/20251219_snorkel_batch005__llm_navqa_onlinemind2web_websites__83" TargetMode="External"/><Relationship Id="rId482" Type="http://schemas.openxmlformats.org/officeDocument/2006/relationships/hyperlink" Target="https://webolmo-data-snorkel.allen.ai/20260107_snorkel_batch003_step_tasks__food_restaurant_booking__10" TargetMode="External"/><Relationship Id="rId481" Type="http://schemas.openxmlformats.org/officeDocument/2006/relationships/hyperlink" Target="https://webolmo-data-snorkel.allen.ai/20260107_snorkel_batch002_step_tasks__maps_travel_time__66" TargetMode="External"/><Relationship Id="rId246" Type="http://schemas.openxmlformats.org/officeDocument/2006/relationships/hyperlink" Target="https://webolmo-data-snorkel.allen.ai/20251219_snorkel_batch007__llm_navqa_webvoyager_websites__34" TargetMode="External"/><Relationship Id="rId488" Type="http://schemas.openxmlformats.org/officeDocument/2006/relationships/hyperlink" Target="https://webolmo-data-snorkel.allen.ai/20251126_snorkel_batch015__llm_step_popular_websites__105" TargetMode="External"/><Relationship Id="rId245" Type="http://schemas.openxmlformats.org/officeDocument/2006/relationships/hyperlink" Target="https://webolmo-data-snorkel.allen.ai/20251219_snorkel_batch004__llm_navqa_webvoyager_websites__38" TargetMode="External"/><Relationship Id="rId487" Type="http://schemas.openxmlformats.org/officeDocument/2006/relationships/hyperlink" Target="https://webolmo-data-snorkel.allen.ai/20260107_snorkel_batch001_step_tasks__general_news_nav__43" TargetMode="External"/><Relationship Id="rId244" Type="http://schemas.openxmlformats.org/officeDocument/2006/relationships/hyperlink" Target="https://webolmo-data-snorkel.allen.ai/20251219_snorkel_batch001__llm_navqa_onlinemind2web_websites__99" TargetMode="External"/><Relationship Id="rId486" Type="http://schemas.openxmlformats.org/officeDocument/2006/relationships/hyperlink" Target="https://webolmo-data-snorkel.allen.ai/20251126_snorkel_batch017__llm_step_webvoyager_websites__58" TargetMode="External"/><Relationship Id="rId243" Type="http://schemas.openxmlformats.org/officeDocument/2006/relationships/hyperlink" Target="https://webolmo-data-snorkel.allen.ai/20251219_snorkel_batch010__llm_navqa_onlinemind2web_websites__91" TargetMode="External"/><Relationship Id="rId485" Type="http://schemas.openxmlformats.org/officeDocument/2006/relationships/hyperlink" Target="https://webolmo-data-snorkel.allen.ai/20251126_snorkel_batch020__llm_step_onlinemind2web_websites__105" TargetMode="External"/><Relationship Id="rId480" Type="http://schemas.openxmlformats.org/officeDocument/2006/relationships/hyperlink" Target="https://webolmo-data-snorkel.allen.ai/20260107_snorkel_batch001_step_tasks__finance_news_nav_and_open_first__16" TargetMode="External"/><Relationship Id="rId239" Type="http://schemas.openxmlformats.org/officeDocument/2006/relationships/hyperlink" Target="https://webolmo-data-snorkel.allen.ai/20251219_snorkel_batch009__llm_navqa_popular_websites__127" TargetMode="External"/><Relationship Id="rId238" Type="http://schemas.openxmlformats.org/officeDocument/2006/relationships/hyperlink" Target="https://webolmo-data-snorkel.allen.ai/20251219_snorkel_batch001__llm_navqa_onlinemind2web_websites__82" TargetMode="External"/><Relationship Id="rId237" Type="http://schemas.openxmlformats.org/officeDocument/2006/relationships/hyperlink" Target="https://webolmo-data-snorkel.allen.ai/20251219_snorkel_batch010__llm_navqa_onlinemind2web_websites__26" TargetMode="External"/><Relationship Id="rId479" Type="http://schemas.openxmlformats.org/officeDocument/2006/relationships/hyperlink" Target="https://webolmo-data-snorkel.allen.ai/20251126_snorkel_batch011__llm_step_onlinemind2web_websites__81" TargetMode="External"/><Relationship Id="rId236" Type="http://schemas.openxmlformats.org/officeDocument/2006/relationships/hyperlink" Target="https://webolmo-data-snorkel.allen.ai/20251219_snorkel_batch001__llm_navqa_webvoyager_websites__113" TargetMode="External"/><Relationship Id="rId478" Type="http://schemas.openxmlformats.org/officeDocument/2006/relationships/hyperlink" Target="https://webolmo-data-snorkel.allen.ai/20251126_snorkel_batch013__llm_step_webvoyager_websites__66" TargetMode="External"/><Relationship Id="rId231" Type="http://schemas.openxmlformats.org/officeDocument/2006/relationships/hyperlink" Target="https://webolmo-data-snorkel.allen.ai/20251219_snorkel_batch010__llm_navqa_popular_websites__98" TargetMode="External"/><Relationship Id="rId473" Type="http://schemas.openxmlformats.org/officeDocument/2006/relationships/hyperlink" Target="https://webolmo-data-snorkel.allen.ai/20260107_snorkel_batch003_step_tasks__food_recipes__13" TargetMode="External"/><Relationship Id="rId230" Type="http://schemas.openxmlformats.org/officeDocument/2006/relationships/hyperlink" Target="https://webolmo-data-snorkel.allen.ai/20251219_snorkel_batch009__llm_navqa_webvoyager_websites__81" TargetMode="External"/><Relationship Id="rId472" Type="http://schemas.openxmlformats.org/officeDocument/2006/relationships/hyperlink" Target="https://webolmo-data-snorkel.allen.ai/20260107_snorkel_batch001_step_tasks__general_news_nav__14" TargetMode="External"/><Relationship Id="rId471" Type="http://schemas.openxmlformats.org/officeDocument/2006/relationships/hyperlink" Target="https://webolmo-data-snorkel.allen.ai/20251219_snorkel_batch008__llm_navqa_webvoyager_websites__24" TargetMode="External"/><Relationship Id="rId470" Type="http://schemas.openxmlformats.org/officeDocument/2006/relationships/hyperlink" Target="https://webolmo-data-snorkel.allen.ai/20260107_snorkel_batch003_step_tasks__career_job_search__18" TargetMode="External"/><Relationship Id="rId235" Type="http://schemas.openxmlformats.org/officeDocument/2006/relationships/hyperlink" Target="https://webolmo-data-snorkel.allen.ai/20251219_snorkel_batch007__llm_navqa_onlinemind2web_websites__66" TargetMode="External"/><Relationship Id="rId477" Type="http://schemas.openxmlformats.org/officeDocument/2006/relationships/hyperlink" Target="https://webolmo-data-snorkel.allen.ai/20251126_snorkel_batch016__llm_step_webvoyager_websites__150" TargetMode="External"/><Relationship Id="rId234" Type="http://schemas.openxmlformats.org/officeDocument/2006/relationships/hyperlink" Target="https://webolmo-data-snorkel.allen.ai/20251219_snorkel_batch009__llm_navqa_onlinemind2web_websites__163" TargetMode="External"/><Relationship Id="rId476" Type="http://schemas.openxmlformats.org/officeDocument/2006/relationships/hyperlink" Target="https://webolmo-data-snorkel.allen.ai/20251126_snorkel_batch019__llm_step_onlinemind2web_websites__68" TargetMode="External"/><Relationship Id="rId233" Type="http://schemas.openxmlformats.org/officeDocument/2006/relationships/hyperlink" Target="https://webolmo-data-snorkel.allen.ai/20251219_snorkel_batch008__llm_navqa_popular_websites__128" TargetMode="External"/><Relationship Id="rId475" Type="http://schemas.openxmlformats.org/officeDocument/2006/relationships/hyperlink" Target="https://webolmo-data-snorkel.allen.ai/20260107_snorkel_batch002_step_tasks__maps_distance__42" TargetMode="External"/><Relationship Id="rId232" Type="http://schemas.openxmlformats.org/officeDocument/2006/relationships/hyperlink" Target="https://webolmo-data-snorkel.allen.ai/20251219_snorkel_batch008__llm_navqa_webvoyager_websites__27" TargetMode="External"/><Relationship Id="rId474" Type="http://schemas.openxmlformats.org/officeDocument/2006/relationships/hyperlink" Target="https://webolmo-data-snorkel.allen.ai/20251126_snorkel_batch013__llm_step_popular_websites__117" TargetMode="External"/><Relationship Id="rId426" Type="http://schemas.openxmlformats.org/officeDocument/2006/relationships/hyperlink" Target="https://webolmo-data-snorkel.allen.ai/20251126_snorkel_batch018__llm_step_popular_websites__9" TargetMode="External"/><Relationship Id="rId668" Type="http://schemas.openxmlformats.org/officeDocument/2006/relationships/hyperlink" Target="https://webolmo-data-snorkel.allen.ai/20251126_snorkel_batch015__llm_step_onlinemind2web_websites__128" TargetMode="External"/><Relationship Id="rId425" Type="http://schemas.openxmlformats.org/officeDocument/2006/relationships/hyperlink" Target="https://webolmo-data-snorkel.allen.ai/20251126_snorkel_batch018__llm_step_popular_websites__93" TargetMode="External"/><Relationship Id="rId667" Type="http://schemas.openxmlformats.org/officeDocument/2006/relationships/hyperlink" Target="https://webolmo-data-snorkel.allen.ai/20251126_snorkel_batch019__llm_step_webvoyager_websites__99" TargetMode="External"/><Relationship Id="rId424" Type="http://schemas.openxmlformats.org/officeDocument/2006/relationships/hyperlink" Target="https://webolmo-data-snorkel.allen.ai/20251126_snorkel_batch014__llm_step_webvoyager_websites__102" TargetMode="External"/><Relationship Id="rId666" Type="http://schemas.openxmlformats.org/officeDocument/2006/relationships/hyperlink" Target="https://webolmo-data-snorkel.allen.ai/20260113_snorkel_batch006_procedural__maps_nearby__7" TargetMode="External"/><Relationship Id="rId423" Type="http://schemas.openxmlformats.org/officeDocument/2006/relationships/hyperlink" Target="https://webolmo-data-snorkel.allen.ai/20251126_snorkel_batch015__llm_step_webvoyager_websites__8" TargetMode="External"/><Relationship Id="rId665" Type="http://schemas.openxmlformats.org/officeDocument/2006/relationships/hyperlink" Target="https://webolmo-data-snorkel.allen.ai/20260113_snorkel_batch001_procedural__images_search__11" TargetMode="External"/><Relationship Id="rId429" Type="http://schemas.openxmlformats.org/officeDocument/2006/relationships/hyperlink" Target="https://webolmo-data-snorkel.allen.ai/20251126_snorkel_batch014__llm_step_popular_websites__0" TargetMode="External"/><Relationship Id="rId428" Type="http://schemas.openxmlformats.org/officeDocument/2006/relationships/hyperlink" Target="https://webolmo-data-snorkel.allen.ai/20251126_snorkel_batch013__llm_step_webvoyager_websites__116" TargetMode="External"/><Relationship Id="rId427" Type="http://schemas.openxmlformats.org/officeDocument/2006/relationships/hyperlink" Target="https://webolmo-data-snorkel.allen.ai/20251126_snorkel_batch018__llm_step_webvoyager_websites__39" TargetMode="External"/><Relationship Id="rId669" Type="http://schemas.openxmlformats.org/officeDocument/2006/relationships/hyperlink" Target="https://webolmo-data-snorkel.allen.ai/20251210_snorkel_batch001__llm_step_popular_websites__107" TargetMode="External"/><Relationship Id="rId660" Type="http://schemas.openxmlformats.org/officeDocument/2006/relationships/hyperlink" Target="https://webolmo-data-snorkel.allen.ai/20251210_snorkel_batch002__llm_step_webvoyager_websites__154" TargetMode="External"/><Relationship Id="rId422" Type="http://schemas.openxmlformats.org/officeDocument/2006/relationships/hyperlink" Target="https://webolmo-data-snorkel.allen.ai/20251126_snorkel_batch020__llm_step_webvoyager_websites__0" TargetMode="External"/><Relationship Id="rId664" Type="http://schemas.openxmlformats.org/officeDocument/2006/relationships/hyperlink" Target="https://webolmo-data-snorkel.allen.ai/20260113_snorkel_batch005_procedural__maps_route_planning__2" TargetMode="External"/><Relationship Id="rId421" Type="http://schemas.openxmlformats.org/officeDocument/2006/relationships/hyperlink" Target="https://webolmo-data-snorkel.allen.ai/20251126_snorkel_batch012__llm_step_onlinemind2web_websites__35" TargetMode="External"/><Relationship Id="rId663" Type="http://schemas.openxmlformats.org/officeDocument/2006/relationships/hyperlink" Target="https://webolmo-data-snorkel.allen.ai/20260113_snorkel_batch001_procedural__maps_visual_search__3" TargetMode="External"/><Relationship Id="rId420" Type="http://schemas.openxmlformats.org/officeDocument/2006/relationships/hyperlink" Target="https://webolmo-data-snorkel.allen.ai/20251126_snorkel_batch018__llm_step_popular_websites__147" TargetMode="External"/><Relationship Id="rId662" Type="http://schemas.openxmlformats.org/officeDocument/2006/relationships/hyperlink" Target="https://webolmo-data-snorkel.allen.ai/20251210_snorkel_batch003__llm_step_webvoyager_websites__94" TargetMode="External"/><Relationship Id="rId661" Type="http://schemas.openxmlformats.org/officeDocument/2006/relationships/hyperlink" Target="https://webolmo-data-snorkel.allen.ai/20260113_snorkel_batch005_procedural__car_rental_search__5" TargetMode="External"/><Relationship Id="rId415" Type="http://schemas.openxmlformats.org/officeDocument/2006/relationships/hyperlink" Target="https://webolmo-data-snorkel.allen.ai/20251126_snorkel_batch017__llm_step_webvoyager_websites__160" TargetMode="External"/><Relationship Id="rId657" Type="http://schemas.openxmlformats.org/officeDocument/2006/relationships/hyperlink" Target="https://webolmo-data-snorkel.allen.ai/20260107_snorkel_batch001_step_tasks__general_news_nav__36" TargetMode="External"/><Relationship Id="rId414" Type="http://schemas.openxmlformats.org/officeDocument/2006/relationships/hyperlink" Target="https://webolmo-data-snorkel.allen.ai/20251126_snorkel_batch017__llm_step_popular_websites__105" TargetMode="External"/><Relationship Id="rId656" Type="http://schemas.openxmlformats.org/officeDocument/2006/relationships/hyperlink" Target="https://webolmo-data-snorkel.allen.ai/20251126_snorkel_batch012__llm_step_webvoyager_websites__31" TargetMode="External"/><Relationship Id="rId413" Type="http://schemas.openxmlformats.org/officeDocument/2006/relationships/hyperlink" Target="https://webolmo-data-snorkel.allen.ai/20251126_snorkel_batch012__llm_step_webvoyager_websites__102" TargetMode="External"/><Relationship Id="rId655" Type="http://schemas.openxmlformats.org/officeDocument/2006/relationships/hyperlink" Target="https://webolmo-data-snorkel.allen.ai/20251126_snorkel_batch014__llm_step_onlinemind2web_websites__92" TargetMode="External"/><Relationship Id="rId412" Type="http://schemas.openxmlformats.org/officeDocument/2006/relationships/hyperlink" Target="https://webolmo-data-snorkel.allen.ai/20251126_snorkel_batch014__llm_step_onlinemind2web_websites__25" TargetMode="External"/><Relationship Id="rId654" Type="http://schemas.openxmlformats.org/officeDocument/2006/relationships/hyperlink" Target="https://webolmo-data-snorkel.allen.ai/20251210_snorkel_batch001__llm_step_webvoyager_websites__71" TargetMode="External"/><Relationship Id="rId419" Type="http://schemas.openxmlformats.org/officeDocument/2006/relationships/hyperlink" Target="https://webolmo-data-snorkel.allen.ai/20251126_snorkel_batch018__llm_step_onlinemind2web_websites__3" TargetMode="External"/><Relationship Id="rId418" Type="http://schemas.openxmlformats.org/officeDocument/2006/relationships/hyperlink" Target="https://webolmo-data-snorkel.allen.ai/20251126_snorkel_batch020__llm_step_webvoyager_websites__29" TargetMode="External"/><Relationship Id="rId417" Type="http://schemas.openxmlformats.org/officeDocument/2006/relationships/hyperlink" Target="https://webolmo-data-snorkel.allen.ai/20251126_snorkel_batch011__llm_step_webvoyager_websites__161" TargetMode="External"/><Relationship Id="rId659" Type="http://schemas.openxmlformats.org/officeDocument/2006/relationships/hyperlink" Target="https://webolmo-data-snorkel.allen.ai/20251126_snorkel_batch011__llm_step_popular_websites__127" TargetMode="External"/><Relationship Id="rId416" Type="http://schemas.openxmlformats.org/officeDocument/2006/relationships/hyperlink" Target="https://webolmo-data-snorkel.allen.ai/20251126_snorkel_batch013__llm_step_onlinemind2web_websites__78" TargetMode="External"/><Relationship Id="rId658" Type="http://schemas.openxmlformats.org/officeDocument/2006/relationships/hyperlink" Target="https://webolmo-data-snorkel.allen.ai/20251126_snorkel_batch016__llm_step_onlinemind2web_websites__18" TargetMode="External"/><Relationship Id="rId411" Type="http://schemas.openxmlformats.org/officeDocument/2006/relationships/hyperlink" Target="https://webolmo-data-snorkel.allen.ai/20251126_snorkel_batch020__llm_step_popular_websites__16" TargetMode="External"/><Relationship Id="rId653" Type="http://schemas.openxmlformats.org/officeDocument/2006/relationships/hyperlink" Target="https://webolmo-data-snorkel.allen.ai/20251126_snorkel_batch019__llm_step_popular_websites__14" TargetMode="External"/><Relationship Id="rId410" Type="http://schemas.openxmlformats.org/officeDocument/2006/relationships/hyperlink" Target="https://webolmo-data-snorkel.allen.ai/20251126_snorkel_batch014__llm_step_onlinemind2web_websites__46" TargetMode="External"/><Relationship Id="rId652" Type="http://schemas.openxmlformats.org/officeDocument/2006/relationships/hyperlink" Target="https://webolmo-data-snorkel.allen.ai/20251126_snorkel_batch017__llm_step_popular_websites__98" TargetMode="External"/><Relationship Id="rId651" Type="http://schemas.openxmlformats.org/officeDocument/2006/relationships/hyperlink" Target="https://webolmo-data-snorkel.allen.ai/20251126_snorkel_batch013__llm_step_webvoyager_websites__6" TargetMode="External"/><Relationship Id="rId650" Type="http://schemas.openxmlformats.org/officeDocument/2006/relationships/hyperlink" Target="https://webolmo-data-snorkel.allen.ai/20251126_snorkel_batch015__llm_step_popular_websites__158" TargetMode="External"/><Relationship Id="rId206" Type="http://schemas.openxmlformats.org/officeDocument/2006/relationships/hyperlink" Target="https://webolmo-data-snorkel.allen.ai/20251219_snorkel_batch003__llm_navqa_webvoyager_websites__20" TargetMode="External"/><Relationship Id="rId448" Type="http://schemas.openxmlformats.org/officeDocument/2006/relationships/hyperlink" Target="https://webolmo-data-snorkel.allen.ai/20251126_snorkel_batch011__llm_step_webvoyager_websites__69" TargetMode="External"/><Relationship Id="rId205" Type="http://schemas.openxmlformats.org/officeDocument/2006/relationships/hyperlink" Target="https://webolmo-data-snorkel.allen.ai/20251219_snorkel_batch009__llm_navqa_webvoyager_websites__44" TargetMode="External"/><Relationship Id="rId447" Type="http://schemas.openxmlformats.org/officeDocument/2006/relationships/hyperlink" Target="https://webolmo-data-snorkel.allen.ai/20251126_snorkel_batch018__llm_step_webvoyager_websites__146" TargetMode="External"/><Relationship Id="rId689" Type="http://schemas.openxmlformats.org/officeDocument/2006/relationships/hyperlink" Target="https://webolmo-data-snorkel.allen.ai/20251126_snorkel_batch013__llm_step_popular_websites__98" TargetMode="External"/><Relationship Id="rId204" Type="http://schemas.openxmlformats.org/officeDocument/2006/relationships/hyperlink" Target="https://webolmo-data-snorkel.allen.ai/20251219_snorkel_batch006__llm_navqa_onlinemind2web_websites__68" TargetMode="External"/><Relationship Id="rId446" Type="http://schemas.openxmlformats.org/officeDocument/2006/relationships/hyperlink" Target="https://webolmo-data-snorkel.allen.ai/20251126_snorkel_batch019__llm_step_webvoyager_websites__54" TargetMode="External"/><Relationship Id="rId688" Type="http://schemas.openxmlformats.org/officeDocument/2006/relationships/hyperlink" Target="https://webolmo-data-snorkel.allen.ai/20251126_snorkel_batch015__llm_step_onlinemind2web_websites__39" TargetMode="External"/><Relationship Id="rId203" Type="http://schemas.openxmlformats.org/officeDocument/2006/relationships/hyperlink" Target="https://webolmo-data-snorkel.allen.ai/20251219_snorkel_batch007__llm_navqa_webvoyager_websites__152" TargetMode="External"/><Relationship Id="rId445" Type="http://schemas.openxmlformats.org/officeDocument/2006/relationships/hyperlink" Target="https://webolmo-data-snorkel.allen.ai/20251126_snorkel_batch017__llm_step_onlinemind2web_websites__121" TargetMode="External"/><Relationship Id="rId687" Type="http://schemas.openxmlformats.org/officeDocument/2006/relationships/hyperlink" Target="https://webolmo-data-snorkel.allen.ai/20251126_snorkel_batch014__llm_step_popular_websites__9" TargetMode="External"/><Relationship Id="rId209" Type="http://schemas.openxmlformats.org/officeDocument/2006/relationships/hyperlink" Target="https://webolmo-data-snorkel.allen.ai/20251219_snorkel_batch010__llm_navqa_webvoyager_websites__117" TargetMode="External"/><Relationship Id="rId208" Type="http://schemas.openxmlformats.org/officeDocument/2006/relationships/hyperlink" Target="https://webolmo-data-snorkel.allen.ai/20251219_snorkel_batch010__llm_navqa_popular_websites__129" TargetMode="External"/><Relationship Id="rId207" Type="http://schemas.openxmlformats.org/officeDocument/2006/relationships/hyperlink" Target="https://webolmo-data-snorkel.allen.ai/20251126_snorkel_batch016__llm_step_popular_websites__135" TargetMode="External"/><Relationship Id="rId449" Type="http://schemas.openxmlformats.org/officeDocument/2006/relationships/hyperlink" Target="https://webolmo-data-snorkel.allen.ai/20251126_snorkel_batch012__llm_step_popular_websites__151" TargetMode="External"/><Relationship Id="rId440" Type="http://schemas.openxmlformats.org/officeDocument/2006/relationships/hyperlink" Target="https://webolmo-data-snorkel.allen.ai/20251126_snorkel_batch013__llm_step_webvoyager_websites__149" TargetMode="External"/><Relationship Id="rId682" Type="http://schemas.openxmlformats.org/officeDocument/2006/relationships/hyperlink" Target="https://webolmo-data-snorkel.allen.ai/20260107_snorkel_batch002_step_tasks__maps_nearby__11" TargetMode="External"/><Relationship Id="rId681" Type="http://schemas.openxmlformats.org/officeDocument/2006/relationships/hyperlink" Target="https://webolmo-data-snorkel.allen.ai/20251126_snorkel_batch012__llm_step_onlinemind2web_websites__130" TargetMode="External"/><Relationship Id="rId680" Type="http://schemas.openxmlformats.org/officeDocument/2006/relationships/hyperlink" Target="https://webolmo-data-snorkel.allen.ai/20251210_snorkel_batch001__llm_step_onlinemind2web_websites__146" TargetMode="External"/><Relationship Id="rId202" Type="http://schemas.openxmlformats.org/officeDocument/2006/relationships/hyperlink" Target="https://webolmo-data-snorkel.allen.ai/20251219_snorkel_batch008__llm_navqa_onlinemind2web_websites__161" TargetMode="External"/><Relationship Id="rId444" Type="http://schemas.openxmlformats.org/officeDocument/2006/relationships/hyperlink" Target="https://webolmo-data-snorkel.allen.ai/20251126_snorkel_batch020__llm_step_onlinemind2web_websites__167" TargetMode="External"/><Relationship Id="rId686" Type="http://schemas.openxmlformats.org/officeDocument/2006/relationships/hyperlink" Target="https://webolmo-data-snorkel.allen.ai/20251121_snorkel_batch003__webvoyager_like__302" TargetMode="External"/><Relationship Id="rId201" Type="http://schemas.openxmlformats.org/officeDocument/2006/relationships/hyperlink" Target="https://webolmo-data-snorkel.allen.ai/20251219_snorkel_batch005__llm_navqa_popular_websites__146" TargetMode="External"/><Relationship Id="rId443" Type="http://schemas.openxmlformats.org/officeDocument/2006/relationships/hyperlink" Target="https://webolmo-data-snorkel.allen.ai/20251126_snorkel_batch015__llm_step_onlinemind2web_websites__155" TargetMode="External"/><Relationship Id="rId685" Type="http://schemas.openxmlformats.org/officeDocument/2006/relationships/hyperlink" Target="https://webolmo-data-snorkel.allen.ai/20251219_snorkel_batch009__llm_navqa_onlinemind2web_websites__136" TargetMode="External"/><Relationship Id="rId200" Type="http://schemas.openxmlformats.org/officeDocument/2006/relationships/hyperlink" Target="https://webolmo-data-snorkel.allen.ai/20251219_snorkel_batch004__llm_navqa_webvoyager_websites__155" TargetMode="External"/><Relationship Id="rId442" Type="http://schemas.openxmlformats.org/officeDocument/2006/relationships/hyperlink" Target="https://webolmo-data-snorkel.allen.ai/20251126_snorkel_batch017__llm_step_webvoyager_websites__48" TargetMode="External"/><Relationship Id="rId684" Type="http://schemas.openxmlformats.org/officeDocument/2006/relationships/hyperlink" Target="https://webolmo-data-snorkel.allen.ai/20251126_snorkel_batch013__llm_step_onlinemind2web_websites__161" TargetMode="External"/><Relationship Id="rId441" Type="http://schemas.openxmlformats.org/officeDocument/2006/relationships/hyperlink" Target="https://webolmo-data-snorkel.allen.ai/20251126_snorkel_batch013__llm_step_webvoyager_websites__0" TargetMode="External"/><Relationship Id="rId683" Type="http://schemas.openxmlformats.org/officeDocument/2006/relationships/hyperlink" Target="https://webolmo-data-snorkel.allen.ai/20251126_snorkel_batch012__llm_step_webvoyager_websites__42" TargetMode="External"/><Relationship Id="rId437" Type="http://schemas.openxmlformats.org/officeDocument/2006/relationships/hyperlink" Target="https://webolmo-data-snorkel.allen.ai/20251126_snorkel_batch017__llm_step_popular_websites__104" TargetMode="External"/><Relationship Id="rId679" Type="http://schemas.openxmlformats.org/officeDocument/2006/relationships/hyperlink" Target="https://webolmo-data-snorkel.allen.ai/20251210_snorkel_batch001__llm_step_webvoyager_websites__48" TargetMode="External"/><Relationship Id="rId436" Type="http://schemas.openxmlformats.org/officeDocument/2006/relationships/hyperlink" Target="https://webolmo-data-snorkel.allen.ai/20251126_snorkel_batch013__llm_step_popular_websites__16" TargetMode="External"/><Relationship Id="rId678" Type="http://schemas.openxmlformats.org/officeDocument/2006/relationships/hyperlink" Target="https://webolmo-data-snorkel.allen.ai/20251126_snorkel_batch020__llm_step_popular_websites__1" TargetMode="External"/><Relationship Id="rId435" Type="http://schemas.openxmlformats.org/officeDocument/2006/relationships/hyperlink" Target="https://webolmo-data-snorkel.allen.ai/20251126_snorkel_batch012__llm_step_popular_websites__31" TargetMode="External"/><Relationship Id="rId677" Type="http://schemas.openxmlformats.org/officeDocument/2006/relationships/hyperlink" Target="https://webolmo-data-snorkel.allen.ai/20260107_snorkel_batch001_step_tasks__maps_directions__3" TargetMode="External"/><Relationship Id="rId434" Type="http://schemas.openxmlformats.org/officeDocument/2006/relationships/hyperlink" Target="https://webolmo-data-snorkel.allen.ai/20251126_snorkel_batch019__llm_step_onlinemind2web_websites__50" TargetMode="External"/><Relationship Id="rId676" Type="http://schemas.openxmlformats.org/officeDocument/2006/relationships/hyperlink" Target="https://webolmo-data-snorkel.allen.ai/20251219_snorkel_batch003__llm_navqa_webvoyager_websites__138" TargetMode="External"/><Relationship Id="rId439" Type="http://schemas.openxmlformats.org/officeDocument/2006/relationships/hyperlink" Target="https://webolmo-data-snorkel.allen.ai/20251126_snorkel_batch016__llm_step_onlinemind2web_websites__62" TargetMode="External"/><Relationship Id="rId438" Type="http://schemas.openxmlformats.org/officeDocument/2006/relationships/hyperlink" Target="https://webolmo-data-snorkel.allen.ai/20251126_snorkel_batch019__llm_step_webvoyager_websites__58" TargetMode="External"/><Relationship Id="rId671" Type="http://schemas.openxmlformats.org/officeDocument/2006/relationships/hyperlink" Target="https://webolmo-data-snorkel.allen.ai/20251210_snorkel_batch002__llm_step_onlinemind2web_websites__157" TargetMode="External"/><Relationship Id="rId670" Type="http://schemas.openxmlformats.org/officeDocument/2006/relationships/hyperlink" Target="https://webolmo-data-snorkel.allen.ai/20251126_snorkel_batch017__llm_step_onlinemind2web_websites__92" TargetMode="External"/><Relationship Id="rId433" Type="http://schemas.openxmlformats.org/officeDocument/2006/relationships/hyperlink" Target="https://webolmo-data-snorkel.allen.ai/20251126_snorkel_batch011__llm_step_webvoyager_websites__112" TargetMode="External"/><Relationship Id="rId675" Type="http://schemas.openxmlformats.org/officeDocument/2006/relationships/hyperlink" Target="https://webolmo-data-snorkel.allen.ai/20260107_snorkel_batch003_step_tasks__career_company_research__5" TargetMode="External"/><Relationship Id="rId432" Type="http://schemas.openxmlformats.org/officeDocument/2006/relationships/hyperlink" Target="https://webolmo-data-snorkel.allen.ai/20251126_snorkel_batch016__llm_step_onlinemind2web_websites__50" TargetMode="External"/><Relationship Id="rId674" Type="http://schemas.openxmlformats.org/officeDocument/2006/relationships/hyperlink" Target="https://webolmo-data-snorkel.allen.ai/20260107_snorkel_batch003_step_tasks__food_recipes__20" TargetMode="External"/><Relationship Id="rId431" Type="http://schemas.openxmlformats.org/officeDocument/2006/relationships/hyperlink" Target="https://webolmo-data-snorkel.allen.ai/20251126_snorkel_batch012__llm_step_onlinemind2web_websites__47" TargetMode="External"/><Relationship Id="rId673" Type="http://schemas.openxmlformats.org/officeDocument/2006/relationships/hyperlink" Target="https://webolmo-data-snorkel.allen.ai/20260107_snorkel_batch003_step_tasks__food_recipes__29" TargetMode="External"/><Relationship Id="rId430" Type="http://schemas.openxmlformats.org/officeDocument/2006/relationships/hyperlink" Target="https://webolmo-data-snorkel.allen.ai/20251219_snorkel_batch008__llm_navqa_onlinemind2web_websites__57" TargetMode="External"/><Relationship Id="rId672" Type="http://schemas.openxmlformats.org/officeDocument/2006/relationships/hyperlink" Target="https://webolmo-data-snorkel.allen.ai/20260107_snorkel_batch003_step_tasks__hotel_search__2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c r="A1" s="1" t="s">
        <v>0</v>
      </c>
      <c r="B1" s="2" t="s">
        <v>1</v>
      </c>
      <c r="C1" s="2" t="s">
        <v>2</v>
      </c>
      <c r="D1" s="2" t="s">
        <v>3</v>
      </c>
      <c r="E1" s="2" t="s">
        <v>4</v>
      </c>
      <c r="F1" s="2" t="s">
        <v>5</v>
      </c>
      <c r="G1" s="2" t="s">
        <v>6</v>
      </c>
      <c r="H1" s="2" t="s">
        <v>7</v>
      </c>
      <c r="I1" s="2" t="s">
        <v>8</v>
      </c>
      <c r="J1" s="2" t="s">
        <v>9</v>
      </c>
      <c r="K1" s="2" t="s">
        <v>10</v>
      </c>
      <c r="L1" s="3" t="s">
        <v>11</v>
      </c>
    </row>
    <row r="2">
      <c r="A2" s="4">
        <v>1.0</v>
      </c>
      <c r="B2" s="5" t="s">
        <v>12</v>
      </c>
      <c r="C2" s="5" t="s">
        <v>13</v>
      </c>
      <c r="D2" s="5" t="s">
        <v>14</v>
      </c>
      <c r="E2" s="5" t="s">
        <v>15</v>
      </c>
      <c r="F2" s="5" t="s">
        <v>16</v>
      </c>
      <c r="G2" s="6" t="s">
        <v>17</v>
      </c>
      <c r="H2" s="5" t="s">
        <v>18</v>
      </c>
      <c r="I2" s="5"/>
      <c r="J2" s="5"/>
      <c r="K2" s="5" t="s">
        <v>19</v>
      </c>
      <c r="L2" s="7" t="s">
        <v>20</v>
      </c>
    </row>
    <row r="3">
      <c r="A3" s="4">
        <v>1.0</v>
      </c>
      <c r="B3" s="5" t="s">
        <v>12</v>
      </c>
      <c r="C3" s="5" t="s">
        <v>13</v>
      </c>
      <c r="D3" s="5" t="s">
        <v>14</v>
      </c>
      <c r="E3" s="5" t="s">
        <v>15</v>
      </c>
      <c r="F3" s="5" t="s">
        <v>21</v>
      </c>
      <c r="G3" s="6" t="s">
        <v>22</v>
      </c>
      <c r="H3" s="5" t="s">
        <v>18</v>
      </c>
      <c r="I3" s="5"/>
      <c r="J3" s="5"/>
      <c r="K3" s="5" t="s">
        <v>19</v>
      </c>
      <c r="L3" s="7" t="s">
        <v>23</v>
      </c>
    </row>
    <row r="4">
      <c r="A4" s="4">
        <v>1.0</v>
      </c>
      <c r="B4" s="5" t="s">
        <v>12</v>
      </c>
      <c r="C4" s="5" t="s">
        <v>13</v>
      </c>
      <c r="D4" s="5" t="s">
        <v>14</v>
      </c>
      <c r="E4" s="5" t="s">
        <v>15</v>
      </c>
      <c r="F4" s="5" t="s">
        <v>24</v>
      </c>
      <c r="G4" s="6" t="s">
        <v>25</v>
      </c>
      <c r="H4" s="5" t="s">
        <v>18</v>
      </c>
      <c r="I4" s="5"/>
      <c r="J4" s="5"/>
      <c r="K4" s="5" t="s">
        <v>19</v>
      </c>
      <c r="L4" s="7" t="s">
        <v>26</v>
      </c>
    </row>
    <row r="5">
      <c r="A5" s="4">
        <v>1.0</v>
      </c>
      <c r="B5" s="5" t="s">
        <v>12</v>
      </c>
      <c r="C5" s="5" t="s">
        <v>13</v>
      </c>
      <c r="D5" s="5" t="s">
        <v>14</v>
      </c>
      <c r="E5" s="5" t="s">
        <v>27</v>
      </c>
      <c r="F5" s="5" t="s">
        <v>28</v>
      </c>
      <c r="G5" s="6" t="s">
        <v>29</v>
      </c>
      <c r="H5" s="5" t="s">
        <v>18</v>
      </c>
      <c r="I5" s="5"/>
      <c r="J5" s="5"/>
      <c r="K5" s="5" t="s">
        <v>19</v>
      </c>
      <c r="L5" s="7" t="s">
        <v>30</v>
      </c>
    </row>
    <row r="6">
      <c r="A6" s="4">
        <v>1.0</v>
      </c>
      <c r="B6" s="5" t="s">
        <v>12</v>
      </c>
      <c r="C6" s="5" t="s">
        <v>13</v>
      </c>
      <c r="D6" s="5" t="s">
        <v>14</v>
      </c>
      <c r="E6" s="5" t="s">
        <v>27</v>
      </c>
      <c r="F6" s="5" t="s">
        <v>31</v>
      </c>
      <c r="G6" s="6" t="s">
        <v>32</v>
      </c>
      <c r="H6" s="5" t="s">
        <v>18</v>
      </c>
      <c r="I6" s="5"/>
      <c r="J6" s="5"/>
      <c r="K6" s="5" t="s">
        <v>19</v>
      </c>
      <c r="L6" s="7" t="s">
        <v>33</v>
      </c>
    </row>
    <row r="7">
      <c r="A7" s="4">
        <v>1.0</v>
      </c>
      <c r="B7" s="5" t="s">
        <v>12</v>
      </c>
      <c r="C7" s="5" t="s">
        <v>13</v>
      </c>
      <c r="D7" s="5" t="s">
        <v>14</v>
      </c>
      <c r="E7" s="5" t="s">
        <v>27</v>
      </c>
      <c r="F7" s="5" t="s">
        <v>34</v>
      </c>
      <c r="G7" s="6" t="s">
        <v>35</v>
      </c>
      <c r="H7" s="5" t="s">
        <v>18</v>
      </c>
      <c r="I7" s="5" t="s">
        <v>36</v>
      </c>
      <c r="J7" s="5">
        <v>40.0</v>
      </c>
      <c r="K7" s="5" t="s">
        <v>19</v>
      </c>
      <c r="L7" s="7" t="s">
        <v>37</v>
      </c>
    </row>
    <row r="8">
      <c r="A8" s="4">
        <v>1.0</v>
      </c>
      <c r="B8" s="5" t="s">
        <v>12</v>
      </c>
      <c r="C8" s="5" t="s">
        <v>13</v>
      </c>
      <c r="D8" s="5" t="s">
        <v>14</v>
      </c>
      <c r="E8" s="5" t="s">
        <v>38</v>
      </c>
      <c r="F8" s="5" t="s">
        <v>39</v>
      </c>
      <c r="G8" s="6" t="s">
        <v>40</v>
      </c>
      <c r="H8" s="5" t="s">
        <v>18</v>
      </c>
      <c r="I8" s="5"/>
      <c r="J8" s="5"/>
      <c r="K8" s="5" t="s">
        <v>19</v>
      </c>
      <c r="L8" s="7" t="s">
        <v>41</v>
      </c>
    </row>
    <row r="9">
      <c r="A9" s="4">
        <v>1.0</v>
      </c>
      <c r="B9" s="5" t="s">
        <v>12</v>
      </c>
      <c r="C9" s="5" t="s">
        <v>13</v>
      </c>
      <c r="D9" s="5" t="s">
        <v>14</v>
      </c>
      <c r="E9" s="5" t="s">
        <v>38</v>
      </c>
      <c r="F9" s="5" t="s">
        <v>42</v>
      </c>
      <c r="G9" s="6" t="s">
        <v>43</v>
      </c>
      <c r="H9" s="5" t="s">
        <v>18</v>
      </c>
      <c r="I9" s="5"/>
      <c r="J9" s="5"/>
      <c r="K9" s="5" t="s">
        <v>19</v>
      </c>
      <c r="L9" s="7" t="s">
        <v>44</v>
      </c>
    </row>
    <row r="10">
      <c r="A10" s="4">
        <v>1.0</v>
      </c>
      <c r="B10" s="5" t="s">
        <v>12</v>
      </c>
      <c r="C10" s="5" t="s">
        <v>13</v>
      </c>
      <c r="D10" s="5" t="s">
        <v>14</v>
      </c>
      <c r="E10" s="8">
        <v>46296.0</v>
      </c>
      <c r="F10" s="5" t="s">
        <v>45</v>
      </c>
      <c r="G10" s="6" t="s">
        <v>46</v>
      </c>
      <c r="H10" s="5" t="s">
        <v>18</v>
      </c>
      <c r="I10" s="5"/>
      <c r="J10" s="5"/>
      <c r="K10" s="5" t="s">
        <v>19</v>
      </c>
      <c r="L10" s="7" t="s">
        <v>47</v>
      </c>
    </row>
    <row r="11">
      <c r="A11" s="4">
        <v>1.0</v>
      </c>
      <c r="B11" s="5" t="s">
        <v>12</v>
      </c>
      <c r="C11" s="5" t="s">
        <v>13</v>
      </c>
      <c r="D11" s="5" t="s">
        <v>14</v>
      </c>
      <c r="E11" s="8">
        <v>46296.0</v>
      </c>
      <c r="F11" s="5" t="s">
        <v>48</v>
      </c>
      <c r="G11" s="6" t="s">
        <v>49</v>
      </c>
      <c r="H11" s="5" t="s">
        <v>18</v>
      </c>
      <c r="I11" s="5"/>
      <c r="J11" s="5"/>
      <c r="K11" s="5" t="s">
        <v>19</v>
      </c>
      <c r="L11" s="7" t="s">
        <v>50</v>
      </c>
    </row>
    <row r="12">
      <c r="A12" s="4">
        <v>1.0</v>
      </c>
      <c r="B12" s="5" t="s">
        <v>12</v>
      </c>
      <c r="C12" s="5" t="s">
        <v>13</v>
      </c>
      <c r="D12" s="5" t="s">
        <v>14</v>
      </c>
      <c r="E12" s="8">
        <v>46327.0</v>
      </c>
      <c r="F12" s="5" t="s">
        <v>51</v>
      </c>
      <c r="G12" s="6" t="s">
        <v>52</v>
      </c>
      <c r="H12" s="5" t="s">
        <v>18</v>
      </c>
      <c r="I12" s="5"/>
      <c r="J12" s="5"/>
      <c r="K12" s="5" t="s">
        <v>19</v>
      </c>
      <c r="L12" s="7" t="s">
        <v>53</v>
      </c>
    </row>
    <row r="13">
      <c r="A13" s="4">
        <v>1.0</v>
      </c>
      <c r="B13" s="5" t="s">
        <v>12</v>
      </c>
      <c r="C13" s="5" t="s">
        <v>13</v>
      </c>
      <c r="D13" s="5" t="s">
        <v>14</v>
      </c>
      <c r="E13" s="8">
        <v>46357.0</v>
      </c>
      <c r="F13" s="5" t="s">
        <v>54</v>
      </c>
      <c r="G13" s="6" t="s">
        <v>55</v>
      </c>
      <c r="H13" s="5" t="s">
        <v>18</v>
      </c>
      <c r="I13" s="5" t="s">
        <v>56</v>
      </c>
      <c r="J13" s="5"/>
      <c r="K13" s="5" t="s">
        <v>19</v>
      </c>
      <c r="L13" s="7" t="s">
        <v>57</v>
      </c>
    </row>
    <row r="14">
      <c r="A14" s="4">
        <v>1.0</v>
      </c>
      <c r="B14" s="5" t="s">
        <v>12</v>
      </c>
      <c r="C14" s="5" t="s">
        <v>13</v>
      </c>
      <c r="D14" s="5" t="s">
        <v>14</v>
      </c>
      <c r="E14" s="8">
        <v>46357.0</v>
      </c>
      <c r="F14" s="5" t="s">
        <v>58</v>
      </c>
      <c r="G14" s="6" t="s">
        <v>59</v>
      </c>
      <c r="H14" s="5" t="s">
        <v>18</v>
      </c>
      <c r="I14" s="5" t="s">
        <v>60</v>
      </c>
      <c r="J14" s="5"/>
      <c r="K14" s="5" t="s">
        <v>19</v>
      </c>
      <c r="L14" s="7" t="s">
        <v>61</v>
      </c>
    </row>
    <row r="15">
      <c r="A15" s="4">
        <v>1.0</v>
      </c>
      <c r="B15" s="5" t="s">
        <v>12</v>
      </c>
      <c r="C15" s="5" t="s">
        <v>13</v>
      </c>
      <c r="D15" s="5" t="s">
        <v>14</v>
      </c>
      <c r="E15" s="8">
        <v>46357.0</v>
      </c>
      <c r="F15" s="5" t="s">
        <v>62</v>
      </c>
      <c r="G15" s="6" t="s">
        <v>63</v>
      </c>
      <c r="H15" s="5" t="s">
        <v>18</v>
      </c>
      <c r="I15" s="5"/>
      <c r="J15" s="5"/>
      <c r="K15" s="5" t="s">
        <v>19</v>
      </c>
      <c r="L15" s="7" t="s">
        <v>64</v>
      </c>
    </row>
    <row r="16">
      <c r="A16" s="4">
        <v>1.0</v>
      </c>
      <c r="B16" s="5" t="s">
        <v>12</v>
      </c>
      <c r="C16" s="5" t="s">
        <v>13</v>
      </c>
      <c r="D16" s="5" t="s">
        <v>14</v>
      </c>
      <c r="E16" s="8">
        <v>46357.0</v>
      </c>
      <c r="F16" s="5" t="s">
        <v>65</v>
      </c>
      <c r="G16" s="6" t="s">
        <v>66</v>
      </c>
      <c r="H16" s="5" t="s">
        <v>18</v>
      </c>
      <c r="I16" s="5"/>
      <c r="J16" s="5"/>
      <c r="K16" s="5" t="s">
        <v>19</v>
      </c>
      <c r="L16" s="7" t="s">
        <v>67</v>
      </c>
    </row>
    <row r="17">
      <c r="A17" s="4">
        <v>1.0</v>
      </c>
      <c r="B17" s="5" t="s">
        <v>12</v>
      </c>
      <c r="C17" s="5" t="s">
        <v>13</v>
      </c>
      <c r="D17" s="5" t="s">
        <v>14</v>
      </c>
      <c r="E17" s="8">
        <v>46357.0</v>
      </c>
      <c r="F17" s="5" t="s">
        <v>68</v>
      </c>
      <c r="G17" s="6" t="s">
        <v>69</v>
      </c>
      <c r="H17" s="5" t="s">
        <v>18</v>
      </c>
      <c r="I17" s="5" t="s">
        <v>70</v>
      </c>
      <c r="J17" s="5"/>
      <c r="K17" s="5" t="s">
        <v>19</v>
      </c>
      <c r="L17" s="7" t="s">
        <v>71</v>
      </c>
    </row>
    <row r="18">
      <c r="A18" s="4">
        <v>1.0</v>
      </c>
      <c r="B18" s="5" t="s">
        <v>12</v>
      </c>
      <c r="C18" s="5" t="s">
        <v>13</v>
      </c>
      <c r="D18" s="5" t="s">
        <v>14</v>
      </c>
      <c r="E18" s="8">
        <v>46357.0</v>
      </c>
      <c r="F18" s="5" t="s">
        <v>72</v>
      </c>
      <c r="G18" s="6" t="s">
        <v>73</v>
      </c>
      <c r="H18" s="5" t="s">
        <v>18</v>
      </c>
      <c r="I18" s="5"/>
      <c r="J18" s="5"/>
      <c r="K18" s="5" t="s">
        <v>19</v>
      </c>
      <c r="L18" s="7" t="s">
        <v>74</v>
      </c>
    </row>
    <row r="19">
      <c r="A19" s="4">
        <v>1.0</v>
      </c>
      <c r="B19" s="5" t="s">
        <v>12</v>
      </c>
      <c r="C19" s="5" t="s">
        <v>13</v>
      </c>
      <c r="D19" s="5" t="s">
        <v>14</v>
      </c>
      <c r="E19" s="8">
        <v>46357.0</v>
      </c>
      <c r="F19" s="5" t="s">
        <v>75</v>
      </c>
      <c r="G19" s="6" t="s">
        <v>76</v>
      </c>
      <c r="H19" s="5" t="s">
        <v>18</v>
      </c>
      <c r="I19" s="5"/>
      <c r="J19" s="5"/>
      <c r="K19" s="5" t="s">
        <v>19</v>
      </c>
      <c r="L19" s="7" t="s">
        <v>77</v>
      </c>
    </row>
    <row r="20">
      <c r="A20" s="4">
        <v>1.0</v>
      </c>
      <c r="B20" s="5" t="s">
        <v>12</v>
      </c>
      <c r="C20" s="5" t="s">
        <v>13</v>
      </c>
      <c r="D20" s="5" t="s">
        <v>14</v>
      </c>
      <c r="E20" s="8">
        <v>46357.0</v>
      </c>
      <c r="F20" s="5" t="s">
        <v>78</v>
      </c>
      <c r="G20" s="6" t="s">
        <v>79</v>
      </c>
      <c r="H20" s="5" t="s">
        <v>18</v>
      </c>
      <c r="I20" s="5"/>
      <c r="J20" s="5"/>
      <c r="K20" s="5" t="s">
        <v>19</v>
      </c>
      <c r="L20" s="7" t="s">
        <v>80</v>
      </c>
    </row>
    <row r="21" ht="15.75" customHeight="1">
      <c r="A21" s="4">
        <v>1.0</v>
      </c>
      <c r="B21" s="5" t="s">
        <v>12</v>
      </c>
      <c r="C21" s="5" t="s">
        <v>13</v>
      </c>
      <c r="D21" s="5" t="s">
        <v>14</v>
      </c>
      <c r="E21" s="8">
        <v>46357.0</v>
      </c>
      <c r="F21" s="5" t="s">
        <v>81</v>
      </c>
      <c r="G21" s="6" t="s">
        <v>82</v>
      </c>
      <c r="H21" s="5" t="s">
        <v>18</v>
      </c>
      <c r="I21" s="5"/>
      <c r="J21" s="5"/>
      <c r="K21" s="5" t="s">
        <v>19</v>
      </c>
      <c r="L21" s="7" t="s">
        <v>83</v>
      </c>
    </row>
    <row r="22" ht="15.75" customHeight="1">
      <c r="A22" s="4">
        <v>1.0</v>
      </c>
      <c r="B22" s="5" t="s">
        <v>12</v>
      </c>
      <c r="C22" s="5" t="s">
        <v>13</v>
      </c>
      <c r="D22" s="5" t="s">
        <v>14</v>
      </c>
      <c r="E22" s="8">
        <v>46357.0</v>
      </c>
      <c r="F22" s="5" t="s">
        <v>84</v>
      </c>
      <c r="G22" s="6" t="s">
        <v>85</v>
      </c>
      <c r="H22" s="5" t="s">
        <v>18</v>
      </c>
      <c r="I22" s="5" t="s">
        <v>86</v>
      </c>
      <c r="J22" s="5"/>
      <c r="K22" s="5" t="s">
        <v>19</v>
      </c>
      <c r="L22" s="7" t="s">
        <v>87</v>
      </c>
    </row>
    <row r="23" ht="15.75" customHeight="1">
      <c r="A23" s="4">
        <v>1.0</v>
      </c>
      <c r="B23" s="5" t="s">
        <v>12</v>
      </c>
      <c r="C23" s="5" t="s">
        <v>13</v>
      </c>
      <c r="D23" s="5" t="s">
        <v>14</v>
      </c>
      <c r="E23" s="8">
        <v>46357.0</v>
      </c>
      <c r="F23" s="5" t="s">
        <v>88</v>
      </c>
      <c r="G23" s="6" t="s">
        <v>89</v>
      </c>
      <c r="H23" s="5" t="s">
        <v>18</v>
      </c>
      <c r="I23" s="5"/>
      <c r="J23" s="5"/>
      <c r="K23" s="5" t="s">
        <v>19</v>
      </c>
      <c r="L23" s="7" t="s">
        <v>90</v>
      </c>
    </row>
    <row r="24" ht="15.75" customHeight="1">
      <c r="A24" s="4">
        <v>1.0</v>
      </c>
      <c r="B24" s="5" t="s">
        <v>12</v>
      </c>
      <c r="C24" s="5" t="s">
        <v>13</v>
      </c>
      <c r="D24" s="5" t="s">
        <v>14</v>
      </c>
      <c r="E24" s="8">
        <v>46357.0</v>
      </c>
      <c r="F24" s="5" t="s">
        <v>91</v>
      </c>
      <c r="G24" s="6" t="s">
        <v>92</v>
      </c>
      <c r="H24" s="5" t="s">
        <v>18</v>
      </c>
      <c r="I24" s="5"/>
      <c r="J24" s="5"/>
      <c r="K24" s="5" t="s">
        <v>19</v>
      </c>
      <c r="L24" s="7" t="s">
        <v>93</v>
      </c>
    </row>
    <row r="25" ht="15.75" customHeight="1">
      <c r="A25" s="4">
        <v>1.0</v>
      </c>
      <c r="B25" s="5" t="s">
        <v>12</v>
      </c>
      <c r="C25" s="5" t="s">
        <v>13</v>
      </c>
      <c r="D25" s="5" t="s">
        <v>14</v>
      </c>
      <c r="E25" s="8">
        <v>46357.0</v>
      </c>
      <c r="F25" s="5" t="s">
        <v>94</v>
      </c>
      <c r="G25" s="6" t="s">
        <v>95</v>
      </c>
      <c r="H25" s="5" t="s">
        <v>18</v>
      </c>
      <c r="I25" s="5"/>
      <c r="J25" s="5"/>
      <c r="K25" s="5" t="s">
        <v>19</v>
      </c>
      <c r="L25" s="7" t="s">
        <v>96</v>
      </c>
    </row>
    <row r="26" ht="15.75" customHeight="1">
      <c r="A26" s="4">
        <v>1.0</v>
      </c>
      <c r="B26" s="5" t="s">
        <v>12</v>
      </c>
      <c r="C26" s="5" t="s">
        <v>13</v>
      </c>
      <c r="D26" s="5" t="s">
        <v>14</v>
      </c>
      <c r="E26" s="8">
        <v>46357.0</v>
      </c>
      <c r="F26" s="5" t="s">
        <v>97</v>
      </c>
      <c r="G26" s="6" t="s">
        <v>98</v>
      </c>
      <c r="H26" s="5" t="s">
        <v>18</v>
      </c>
      <c r="I26" s="5"/>
      <c r="J26" s="5"/>
      <c r="K26" s="5" t="s">
        <v>19</v>
      </c>
      <c r="L26" s="7" t="s">
        <v>99</v>
      </c>
    </row>
    <row r="27" ht="15.75" customHeight="1">
      <c r="A27" s="4">
        <v>1.0</v>
      </c>
      <c r="B27" s="5" t="s">
        <v>12</v>
      </c>
      <c r="C27" s="5" t="s">
        <v>13</v>
      </c>
      <c r="D27" s="5" t="s">
        <v>14</v>
      </c>
      <c r="E27" s="8">
        <v>46357.0</v>
      </c>
      <c r="F27" s="5" t="s">
        <v>100</v>
      </c>
      <c r="G27" s="6" t="s">
        <v>101</v>
      </c>
      <c r="H27" s="5" t="s">
        <v>18</v>
      </c>
      <c r="I27" s="5"/>
      <c r="J27" s="5"/>
      <c r="K27" s="5" t="s">
        <v>19</v>
      </c>
      <c r="L27" s="7" t="s">
        <v>102</v>
      </c>
    </row>
    <row r="28" ht="15.75" customHeight="1">
      <c r="A28" s="4">
        <v>1.0</v>
      </c>
      <c r="B28" s="5" t="s">
        <v>12</v>
      </c>
      <c r="C28" s="5" t="s">
        <v>13</v>
      </c>
      <c r="D28" s="5" t="s">
        <v>14</v>
      </c>
      <c r="E28" s="5" t="s">
        <v>103</v>
      </c>
      <c r="F28" s="5" t="s">
        <v>104</v>
      </c>
      <c r="G28" s="6" t="s">
        <v>105</v>
      </c>
      <c r="H28" s="5" t="s">
        <v>18</v>
      </c>
      <c r="I28" s="5" t="s">
        <v>106</v>
      </c>
      <c r="J28" s="5"/>
      <c r="K28" s="5" t="s">
        <v>19</v>
      </c>
      <c r="L28" s="7" t="s">
        <v>107</v>
      </c>
    </row>
    <row r="29" ht="15.75" customHeight="1">
      <c r="A29" s="4">
        <v>1.0</v>
      </c>
      <c r="B29" s="5" t="s">
        <v>12</v>
      </c>
      <c r="C29" s="5" t="s">
        <v>13</v>
      </c>
      <c r="D29" s="5" t="s">
        <v>14</v>
      </c>
      <c r="E29" s="5" t="s">
        <v>103</v>
      </c>
      <c r="F29" s="5" t="s">
        <v>108</v>
      </c>
      <c r="G29" s="6" t="s">
        <v>109</v>
      </c>
      <c r="H29" s="5" t="s">
        <v>18</v>
      </c>
      <c r="I29" s="5" t="s">
        <v>110</v>
      </c>
      <c r="J29" s="5"/>
      <c r="K29" s="5" t="s">
        <v>19</v>
      </c>
      <c r="L29" s="7" t="s">
        <v>111</v>
      </c>
    </row>
    <row r="30" ht="15.75" customHeight="1">
      <c r="A30" s="4">
        <v>1.0</v>
      </c>
      <c r="B30" s="5" t="s">
        <v>12</v>
      </c>
      <c r="C30" s="5" t="s">
        <v>13</v>
      </c>
      <c r="D30" s="5" t="s">
        <v>14</v>
      </c>
      <c r="E30" s="5" t="s">
        <v>103</v>
      </c>
      <c r="F30" s="5" t="s">
        <v>112</v>
      </c>
      <c r="G30" s="6" t="s">
        <v>113</v>
      </c>
      <c r="H30" s="5" t="s">
        <v>18</v>
      </c>
      <c r="I30" s="5"/>
      <c r="J30" s="5"/>
      <c r="K30" s="5" t="s">
        <v>19</v>
      </c>
      <c r="L30" s="7" t="s">
        <v>114</v>
      </c>
    </row>
    <row r="31" ht="15.75" customHeight="1">
      <c r="A31" s="4">
        <v>1.0</v>
      </c>
      <c r="B31" s="5" t="s">
        <v>12</v>
      </c>
      <c r="C31" s="5" t="s">
        <v>13</v>
      </c>
      <c r="D31" s="5" t="s">
        <v>14</v>
      </c>
      <c r="E31" s="5" t="s">
        <v>103</v>
      </c>
      <c r="F31" s="5" t="s">
        <v>115</v>
      </c>
      <c r="G31" s="6" t="s">
        <v>116</v>
      </c>
      <c r="H31" s="5" t="s">
        <v>18</v>
      </c>
      <c r="I31" s="5" t="s">
        <v>117</v>
      </c>
      <c r="J31" s="5"/>
      <c r="K31" s="5" t="s">
        <v>19</v>
      </c>
      <c r="L31" s="7" t="s">
        <v>118</v>
      </c>
    </row>
    <row r="32" ht="15.75" customHeight="1">
      <c r="A32" s="4">
        <v>1.0</v>
      </c>
      <c r="B32" s="5" t="s">
        <v>12</v>
      </c>
      <c r="C32" s="5" t="s">
        <v>13</v>
      </c>
      <c r="D32" s="5" t="s">
        <v>14</v>
      </c>
      <c r="E32" s="5" t="s">
        <v>103</v>
      </c>
      <c r="F32" s="5" t="s">
        <v>119</v>
      </c>
      <c r="G32" s="6" t="s">
        <v>120</v>
      </c>
      <c r="H32" s="5" t="s">
        <v>18</v>
      </c>
      <c r="I32" s="5"/>
      <c r="J32" s="5"/>
      <c r="K32" s="5" t="s">
        <v>19</v>
      </c>
      <c r="L32" s="7" t="s">
        <v>121</v>
      </c>
    </row>
    <row r="33" ht="15.75" customHeight="1">
      <c r="A33" s="4">
        <v>1.0</v>
      </c>
      <c r="B33" s="5" t="s">
        <v>12</v>
      </c>
      <c r="C33" s="5" t="s">
        <v>13</v>
      </c>
      <c r="D33" s="5" t="s">
        <v>14</v>
      </c>
      <c r="E33" s="5" t="s">
        <v>103</v>
      </c>
      <c r="F33" s="5" t="s">
        <v>122</v>
      </c>
      <c r="G33" s="6" t="s">
        <v>123</v>
      </c>
      <c r="H33" s="5" t="s">
        <v>18</v>
      </c>
      <c r="I33" s="5"/>
      <c r="J33" s="5"/>
      <c r="K33" s="5" t="s">
        <v>19</v>
      </c>
      <c r="L33" s="7" t="s">
        <v>124</v>
      </c>
    </row>
    <row r="34" ht="15.75" customHeight="1">
      <c r="A34" s="4">
        <v>1.0</v>
      </c>
      <c r="B34" s="5" t="s">
        <v>12</v>
      </c>
      <c r="C34" s="5" t="s">
        <v>13</v>
      </c>
      <c r="D34" s="5" t="s">
        <v>14</v>
      </c>
      <c r="E34" s="5" t="s">
        <v>103</v>
      </c>
      <c r="F34" s="5" t="s">
        <v>125</v>
      </c>
      <c r="G34" s="6" t="s">
        <v>126</v>
      </c>
      <c r="H34" s="5" t="s">
        <v>18</v>
      </c>
      <c r="I34" s="5"/>
      <c r="J34" s="5"/>
      <c r="K34" s="5" t="s">
        <v>19</v>
      </c>
      <c r="L34" s="7" t="s">
        <v>127</v>
      </c>
    </row>
    <row r="35" ht="15.75" customHeight="1">
      <c r="A35" s="4">
        <v>1.0</v>
      </c>
      <c r="B35" s="5" t="s">
        <v>12</v>
      </c>
      <c r="C35" s="5" t="s">
        <v>13</v>
      </c>
      <c r="D35" s="5" t="s">
        <v>14</v>
      </c>
      <c r="E35" s="5" t="s">
        <v>103</v>
      </c>
      <c r="F35" s="5" t="s">
        <v>128</v>
      </c>
      <c r="G35" s="6" t="s">
        <v>129</v>
      </c>
      <c r="H35" s="5" t="s">
        <v>18</v>
      </c>
      <c r="I35" s="5"/>
      <c r="J35" s="5"/>
      <c r="K35" s="5" t="s">
        <v>19</v>
      </c>
      <c r="L35" s="7" t="s">
        <v>130</v>
      </c>
    </row>
    <row r="36" ht="15.75" customHeight="1">
      <c r="A36" s="4">
        <v>1.0</v>
      </c>
      <c r="B36" s="5" t="s">
        <v>12</v>
      </c>
      <c r="C36" s="5" t="s">
        <v>13</v>
      </c>
      <c r="D36" s="5" t="s">
        <v>14</v>
      </c>
      <c r="E36" s="5" t="s">
        <v>103</v>
      </c>
      <c r="F36" s="5" t="s">
        <v>131</v>
      </c>
      <c r="G36" s="6" t="s">
        <v>132</v>
      </c>
      <c r="H36" s="5" t="s">
        <v>18</v>
      </c>
      <c r="I36" s="5"/>
      <c r="J36" s="5"/>
      <c r="K36" s="5" t="s">
        <v>19</v>
      </c>
      <c r="L36" s="7" t="s">
        <v>133</v>
      </c>
    </row>
    <row r="37" ht="15.75" customHeight="1">
      <c r="A37" s="4">
        <v>1.0</v>
      </c>
      <c r="B37" s="5" t="s">
        <v>12</v>
      </c>
      <c r="C37" s="5" t="s">
        <v>13</v>
      </c>
      <c r="D37" s="5" t="s">
        <v>14</v>
      </c>
      <c r="E37" s="5" t="s">
        <v>134</v>
      </c>
      <c r="F37" s="5" t="s">
        <v>135</v>
      </c>
      <c r="G37" s="6" t="s">
        <v>136</v>
      </c>
      <c r="H37" s="5" t="s">
        <v>18</v>
      </c>
      <c r="I37" s="5"/>
      <c r="J37" s="5"/>
      <c r="K37" s="5" t="s">
        <v>19</v>
      </c>
      <c r="L37" s="7" t="s">
        <v>137</v>
      </c>
    </row>
    <row r="38" ht="15.75" customHeight="1">
      <c r="A38" s="4">
        <v>1.0</v>
      </c>
      <c r="B38" s="5" t="s">
        <v>12</v>
      </c>
      <c r="C38" s="5" t="s">
        <v>13</v>
      </c>
      <c r="D38" s="5" t="s">
        <v>14</v>
      </c>
      <c r="E38" s="5" t="s">
        <v>138</v>
      </c>
      <c r="F38" s="5" t="s">
        <v>139</v>
      </c>
      <c r="G38" s="6" t="s">
        <v>140</v>
      </c>
      <c r="H38" s="5" t="s">
        <v>18</v>
      </c>
      <c r="I38" s="5"/>
      <c r="J38" s="5"/>
      <c r="K38" s="5" t="s">
        <v>19</v>
      </c>
      <c r="L38" s="7" t="s">
        <v>141</v>
      </c>
    </row>
    <row r="39" ht="15.75" customHeight="1">
      <c r="A39" s="4">
        <v>1.0</v>
      </c>
      <c r="B39" s="5" t="s">
        <v>12</v>
      </c>
      <c r="C39" s="5" t="s">
        <v>13</v>
      </c>
      <c r="D39" s="5" t="s">
        <v>14</v>
      </c>
      <c r="E39" s="5" t="s">
        <v>138</v>
      </c>
      <c r="F39" s="5" t="s">
        <v>142</v>
      </c>
      <c r="G39" s="6" t="s">
        <v>143</v>
      </c>
      <c r="H39" s="5" t="s">
        <v>18</v>
      </c>
      <c r="I39" s="5" t="s">
        <v>144</v>
      </c>
      <c r="J39" s="5"/>
      <c r="K39" s="5" t="s">
        <v>19</v>
      </c>
      <c r="L39" s="7" t="s">
        <v>145</v>
      </c>
    </row>
    <row r="40" ht="15.75" customHeight="1">
      <c r="A40" s="4">
        <v>1.0</v>
      </c>
      <c r="B40" s="5" t="s">
        <v>12</v>
      </c>
      <c r="C40" s="5" t="s">
        <v>13</v>
      </c>
      <c r="D40" s="5" t="s">
        <v>14</v>
      </c>
      <c r="E40" s="5" t="s">
        <v>146</v>
      </c>
      <c r="F40" s="5" t="s">
        <v>147</v>
      </c>
      <c r="G40" s="6" t="s">
        <v>148</v>
      </c>
      <c r="H40" s="5" t="s">
        <v>18</v>
      </c>
      <c r="I40" s="5"/>
      <c r="J40" s="5"/>
      <c r="K40" s="5" t="s">
        <v>19</v>
      </c>
      <c r="L40" s="7" t="s">
        <v>149</v>
      </c>
    </row>
    <row r="41" ht="15.75" customHeight="1">
      <c r="A41" s="4">
        <v>1.0</v>
      </c>
      <c r="B41" s="5" t="s">
        <v>12</v>
      </c>
      <c r="C41" s="5" t="s">
        <v>13</v>
      </c>
      <c r="D41" s="5" t="s">
        <v>14</v>
      </c>
      <c r="E41" s="5" t="s">
        <v>146</v>
      </c>
      <c r="F41" s="5" t="s">
        <v>150</v>
      </c>
      <c r="G41" s="6" t="s">
        <v>151</v>
      </c>
      <c r="H41" s="5" t="s">
        <v>18</v>
      </c>
      <c r="I41" s="5"/>
      <c r="J41" s="5"/>
      <c r="K41" s="5" t="s">
        <v>19</v>
      </c>
      <c r="L41" s="7" t="s">
        <v>152</v>
      </c>
    </row>
    <row r="42" ht="15.75" customHeight="1">
      <c r="A42" s="4">
        <v>1.0</v>
      </c>
      <c r="B42" s="5" t="s">
        <v>12</v>
      </c>
      <c r="C42" s="5" t="s">
        <v>13</v>
      </c>
      <c r="D42" s="5" t="s">
        <v>14</v>
      </c>
      <c r="E42" s="5" t="s">
        <v>146</v>
      </c>
      <c r="F42" s="5" t="s">
        <v>153</v>
      </c>
      <c r="G42" s="6" t="s">
        <v>154</v>
      </c>
      <c r="H42" s="5" t="s">
        <v>18</v>
      </c>
      <c r="I42" s="5"/>
      <c r="J42" s="5"/>
      <c r="K42" s="5" t="s">
        <v>19</v>
      </c>
      <c r="L42" s="7" t="s">
        <v>155</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s>
  <drawing r:id="rId42"/>
  <tableParts count="1">
    <tablePart r:id="rId4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2" max="2" width="7.25"/>
    <col customWidth="1" min="3" max="3" width="21.38"/>
    <col customWidth="1" hidden="1" min="4" max="4" width="11.63"/>
    <col customWidth="1" min="5" max="5" width="22.38"/>
    <col customWidth="1" min="6" max="6" width="17.13"/>
    <col customWidth="1" min="7" max="7" width="6.75"/>
    <col customWidth="1" min="8" max="9" width="5.63"/>
    <col customWidth="1" min="10" max="10" width="5.5"/>
    <col customWidth="1" min="11" max="11" width="5.63"/>
    <col customWidth="1" min="12" max="12" width="6.75"/>
    <col customWidth="1" min="13" max="18" width="5.63"/>
    <col customWidth="1" min="19" max="19" width="6.75"/>
    <col customWidth="1" min="20" max="22" width="5.63"/>
    <col customWidth="1" min="23" max="23" width="6.5"/>
    <col customWidth="1" min="24" max="24" width="5.63"/>
    <col customWidth="1" min="25" max="25" width="5.5"/>
    <col customWidth="1" min="26" max="26" width="6.75"/>
    <col customWidth="1" min="27" max="32" width="5.63"/>
  </cols>
  <sheetData>
    <row r="1">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row>
    <row r="2">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row>
    <row r="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ht="22.5" customHeight="1">
      <c r="A4" s="9"/>
      <c r="B4" s="10" t="s">
        <v>156</v>
      </c>
      <c r="C4" s="10" t="s">
        <v>157</v>
      </c>
      <c r="D4" s="10" t="s">
        <v>158</v>
      </c>
      <c r="E4" s="10" t="s">
        <v>159</v>
      </c>
      <c r="F4" s="10" t="s">
        <v>160</v>
      </c>
      <c r="G4" s="11" t="s">
        <v>161</v>
      </c>
      <c r="H4" s="12"/>
      <c r="I4" s="12"/>
      <c r="J4" s="12"/>
      <c r="K4" s="13"/>
      <c r="L4" s="14" t="s">
        <v>162</v>
      </c>
      <c r="M4" s="12"/>
      <c r="N4" s="12"/>
      <c r="O4" s="12"/>
      <c r="P4" s="12"/>
      <c r="Q4" s="12"/>
      <c r="R4" s="13"/>
      <c r="S4" s="11" t="s">
        <v>163</v>
      </c>
      <c r="T4" s="12"/>
      <c r="U4" s="12"/>
      <c r="V4" s="12"/>
      <c r="W4" s="12"/>
      <c r="X4" s="12"/>
      <c r="Y4" s="13"/>
      <c r="Z4" s="14" t="s">
        <v>164</v>
      </c>
      <c r="AA4" s="12"/>
      <c r="AB4" s="12"/>
      <c r="AC4" s="12"/>
      <c r="AD4" s="12"/>
      <c r="AE4" s="12"/>
      <c r="AF4" s="13"/>
      <c r="AG4" s="9"/>
      <c r="AH4" s="9"/>
      <c r="AI4" s="9"/>
      <c r="AJ4" s="9"/>
      <c r="AK4" s="9"/>
    </row>
    <row r="5" ht="26.25" customHeight="1">
      <c r="A5" s="9"/>
      <c r="B5" s="15"/>
      <c r="C5" s="15"/>
      <c r="D5" s="15"/>
      <c r="E5" s="15"/>
      <c r="F5" s="15"/>
      <c r="G5" s="16" t="s">
        <v>165</v>
      </c>
      <c r="H5" s="16" t="s">
        <v>166</v>
      </c>
      <c r="I5" s="16" t="s">
        <v>167</v>
      </c>
      <c r="J5" s="16" t="s">
        <v>168</v>
      </c>
      <c r="K5" s="16" t="s">
        <v>169</v>
      </c>
      <c r="L5" s="17" t="s">
        <v>15</v>
      </c>
      <c r="M5" s="17" t="s">
        <v>27</v>
      </c>
      <c r="N5" s="17" t="s">
        <v>38</v>
      </c>
      <c r="O5" s="18">
        <v>46023.0</v>
      </c>
      <c r="P5" s="18">
        <v>46054.0</v>
      </c>
      <c r="Q5" s="18">
        <v>46082.0</v>
      </c>
      <c r="R5" s="18">
        <v>46113.0</v>
      </c>
      <c r="S5" s="19">
        <v>46143.0</v>
      </c>
      <c r="T5" s="19">
        <v>46174.0</v>
      </c>
      <c r="U5" s="19">
        <v>46204.0</v>
      </c>
      <c r="V5" s="19">
        <v>46235.0</v>
      </c>
      <c r="W5" s="19">
        <v>46266.0</v>
      </c>
      <c r="X5" s="19">
        <v>46296.0</v>
      </c>
      <c r="Y5" s="19">
        <v>46327.0</v>
      </c>
      <c r="Z5" s="20">
        <v>46357.0</v>
      </c>
      <c r="AA5" s="21" t="s">
        <v>103</v>
      </c>
      <c r="AB5" s="21" t="s">
        <v>134</v>
      </c>
      <c r="AC5" s="21" t="s">
        <v>138</v>
      </c>
      <c r="AD5" s="21" t="s">
        <v>170</v>
      </c>
      <c r="AE5" s="21" t="s">
        <v>146</v>
      </c>
      <c r="AF5" s="21" t="s">
        <v>171</v>
      </c>
      <c r="AG5" s="9"/>
      <c r="AH5" s="9"/>
      <c r="AI5" s="9"/>
      <c r="AJ5" s="9"/>
      <c r="AK5" s="9"/>
    </row>
    <row r="6" ht="27.75" customHeight="1">
      <c r="A6" s="9"/>
      <c r="B6" s="22" t="s">
        <v>172</v>
      </c>
      <c r="C6" s="22">
        <f>SUM(C7:C10)</f>
        <v>18</v>
      </c>
      <c r="D6" s="23">
        <f t="shared" ref="D6:D10" si="2">sum(G6:AK6)</f>
        <v>559</v>
      </c>
      <c r="E6" s="24">
        <f t="shared" ref="E6:E10" si="3">IFERROR(D6/C6/F6,"")</f>
        <v>7.763888889</v>
      </c>
      <c r="F6" s="25">
        <f t="shared" ref="F6:F10" si="4">countif(G6:N6,"&gt;0")</f>
        <v>4</v>
      </c>
      <c r="G6" s="22">
        <f t="shared" ref="G6:AF6" si="1">SUM(G7:G10)</f>
        <v>0</v>
      </c>
      <c r="H6" s="22">
        <f t="shared" si="1"/>
        <v>0</v>
      </c>
      <c r="I6" s="22">
        <f t="shared" si="1"/>
        <v>0</v>
      </c>
      <c r="J6" s="22">
        <f t="shared" si="1"/>
        <v>124</v>
      </c>
      <c r="K6" s="22">
        <f t="shared" si="1"/>
        <v>106</v>
      </c>
      <c r="L6" s="26">
        <f t="shared" si="1"/>
        <v>0</v>
      </c>
      <c r="M6" s="26">
        <f t="shared" si="1"/>
        <v>57</v>
      </c>
      <c r="N6" s="26">
        <f t="shared" si="1"/>
        <v>22</v>
      </c>
      <c r="O6" s="26">
        <f t="shared" si="1"/>
        <v>0</v>
      </c>
      <c r="P6" s="26">
        <f t="shared" si="1"/>
        <v>0</v>
      </c>
      <c r="Q6" s="26">
        <f t="shared" si="1"/>
        <v>0</v>
      </c>
      <c r="R6" s="26">
        <f t="shared" si="1"/>
        <v>0</v>
      </c>
      <c r="S6" s="22">
        <f t="shared" si="1"/>
        <v>0</v>
      </c>
      <c r="T6" s="22">
        <f t="shared" si="1"/>
        <v>0</v>
      </c>
      <c r="U6" s="22">
        <f t="shared" si="1"/>
        <v>0</v>
      </c>
      <c r="V6" s="22">
        <f t="shared" si="1"/>
        <v>1</v>
      </c>
      <c r="W6" s="22">
        <f t="shared" si="1"/>
        <v>0</v>
      </c>
      <c r="X6" s="22">
        <f t="shared" si="1"/>
        <v>10</v>
      </c>
      <c r="Y6" s="22">
        <f t="shared" si="1"/>
        <v>85</v>
      </c>
      <c r="Z6" s="26">
        <f t="shared" si="1"/>
        <v>0</v>
      </c>
      <c r="AA6" s="26">
        <f t="shared" si="1"/>
        <v>96</v>
      </c>
      <c r="AB6" s="26">
        <f t="shared" si="1"/>
        <v>40</v>
      </c>
      <c r="AC6" s="26">
        <f t="shared" si="1"/>
        <v>0</v>
      </c>
      <c r="AD6" s="26">
        <f t="shared" si="1"/>
        <v>2</v>
      </c>
      <c r="AE6" s="26">
        <f t="shared" si="1"/>
        <v>9</v>
      </c>
      <c r="AF6" s="26">
        <f t="shared" si="1"/>
        <v>7</v>
      </c>
      <c r="AG6" s="9"/>
      <c r="AH6" s="9"/>
      <c r="AI6" s="9"/>
      <c r="AJ6" s="9"/>
      <c r="AK6" s="9"/>
    </row>
    <row r="7" ht="27.75" customHeight="1">
      <c r="A7" s="9"/>
      <c r="B7" s="27" t="s">
        <v>173</v>
      </c>
      <c r="C7" s="27">
        <v>7.0</v>
      </c>
      <c r="D7" s="28">
        <f t="shared" si="2"/>
        <v>0</v>
      </c>
      <c r="E7" s="29" t="str">
        <f t="shared" si="3"/>
        <v/>
      </c>
      <c r="F7" s="30">
        <f t="shared" si="4"/>
        <v>0</v>
      </c>
      <c r="G7" s="30">
        <f t="shared" ref="G7:AF7" si="5">countifs('SN01'!$F$3:$F$2001,G$5,'SN01'!$G$3:$G$2001,"*")</f>
        <v>0</v>
      </c>
      <c r="H7" s="30">
        <f t="shared" si="5"/>
        <v>0</v>
      </c>
      <c r="I7" s="30">
        <f t="shared" si="5"/>
        <v>0</v>
      </c>
      <c r="J7" s="30">
        <f t="shared" si="5"/>
        <v>0</v>
      </c>
      <c r="K7" s="30">
        <f t="shared" si="5"/>
        <v>0</v>
      </c>
      <c r="L7" s="30">
        <f t="shared" si="5"/>
        <v>0</v>
      </c>
      <c r="M7" s="30">
        <f t="shared" si="5"/>
        <v>0</v>
      </c>
      <c r="N7" s="30">
        <f t="shared" si="5"/>
        <v>0</v>
      </c>
      <c r="O7" s="30">
        <f t="shared" si="5"/>
        <v>0</v>
      </c>
      <c r="P7" s="30">
        <f t="shared" si="5"/>
        <v>0</v>
      </c>
      <c r="Q7" s="30">
        <f t="shared" si="5"/>
        <v>0</v>
      </c>
      <c r="R7" s="30">
        <f t="shared" si="5"/>
        <v>0</v>
      </c>
      <c r="S7" s="30">
        <f t="shared" si="5"/>
        <v>0</v>
      </c>
      <c r="T7" s="30">
        <f t="shared" si="5"/>
        <v>0</v>
      </c>
      <c r="U7" s="30">
        <f t="shared" si="5"/>
        <v>0</v>
      </c>
      <c r="V7" s="30">
        <f t="shared" si="5"/>
        <v>0</v>
      </c>
      <c r="W7" s="30">
        <f t="shared" si="5"/>
        <v>0</v>
      </c>
      <c r="X7" s="30">
        <f t="shared" si="5"/>
        <v>0</v>
      </c>
      <c r="Y7" s="30">
        <f t="shared" si="5"/>
        <v>0</v>
      </c>
      <c r="Z7" s="30">
        <f t="shared" si="5"/>
        <v>0</v>
      </c>
      <c r="AA7" s="30">
        <f t="shared" si="5"/>
        <v>0</v>
      </c>
      <c r="AB7" s="30">
        <f t="shared" si="5"/>
        <v>0</v>
      </c>
      <c r="AC7" s="30">
        <f t="shared" si="5"/>
        <v>0</v>
      </c>
      <c r="AD7" s="30">
        <f t="shared" si="5"/>
        <v>0</v>
      </c>
      <c r="AE7" s="30">
        <f t="shared" si="5"/>
        <v>0</v>
      </c>
      <c r="AF7" s="30">
        <f t="shared" si="5"/>
        <v>0</v>
      </c>
      <c r="AG7" s="9"/>
      <c r="AH7" s="9"/>
      <c r="AI7" s="9"/>
      <c r="AJ7" s="9"/>
      <c r="AK7" s="9"/>
    </row>
    <row r="8" ht="27.75" customHeight="1">
      <c r="A8" s="9"/>
      <c r="B8" s="31" t="s">
        <v>14</v>
      </c>
      <c r="C8" s="31">
        <v>7.0</v>
      </c>
      <c r="D8" s="32">
        <f t="shared" si="2"/>
        <v>559</v>
      </c>
      <c r="E8" s="33">
        <f t="shared" si="3"/>
        <v>19.96428571</v>
      </c>
      <c r="F8" s="34">
        <f t="shared" si="4"/>
        <v>4</v>
      </c>
      <c r="G8" s="34">
        <f>countifs('SN02'!$F$3:$F$781,G$5,'SN02'!$G$3:$G$781,"*")</f>
        <v>0</v>
      </c>
      <c r="H8" s="34">
        <f>countifs('SN02'!$F$3:$F$781,H$5,'SN02'!$G$3:$G$781,"*")</f>
        <v>0</v>
      </c>
      <c r="I8" s="34">
        <f>countifs('SN02'!$F$3:$F$781,I$5,'SN02'!$G$3:$G$781,"*")</f>
        <v>0</v>
      </c>
      <c r="J8" s="34">
        <f>countifs('SN02'!$F$3:$F$781,J$5,'SN02'!$G$3:$G$781,"*")</f>
        <v>124</v>
      </c>
      <c r="K8" s="34">
        <f>countifs('SN02'!$F$3:$F$781,K$5,'SN02'!$G$3:$G$781,"*")</f>
        <v>106</v>
      </c>
      <c r="L8" s="30">
        <f>countifs('SN01'!$F$3:$F$2001,L$5,'SN01'!$G$3:$G$2001,"*")</f>
        <v>0</v>
      </c>
      <c r="M8" s="34">
        <f>countifs('SN02'!$F$3:$F$781,M$5,'SN02'!$G$3:$G$781,"*")</f>
        <v>57</v>
      </c>
      <c r="N8" s="34">
        <f>countifs('SN02'!$F$3:$F$781,N$5,'SN02'!$G$3:$G$781,"*")</f>
        <v>22</v>
      </c>
      <c r="O8" s="30">
        <f>countifs('SN01'!$F$3:$F$2001,O$5,'SN01'!$G$3:$G$2001,"*")</f>
        <v>0</v>
      </c>
      <c r="P8" s="34">
        <f>countifs('SN02'!$F$3:$F$781,P$5,'SN02'!$G$3:$G$781,"*")</f>
        <v>0</v>
      </c>
      <c r="Q8" s="34">
        <f>countifs('SN02'!$F$3:$F$781,Q$5,'SN02'!$G$3:$G$781,"*")</f>
        <v>0</v>
      </c>
      <c r="R8" s="34">
        <f>countifs('SN02'!$F$3:$F$781,R$5,'SN02'!$G$3:$G$781,"*")</f>
        <v>0</v>
      </c>
      <c r="S8" s="34">
        <f>countifs('SN02'!$F$3:$F$781,S$5,'SN02'!$G$3:$G$781,"*")</f>
        <v>0</v>
      </c>
      <c r="T8" s="34">
        <f>countifs('SN02'!$F$3:$F$781,T$5,'SN02'!$G$3:$G$781,"*")</f>
        <v>0</v>
      </c>
      <c r="U8" s="34">
        <f>countifs('SN02'!$F$3:$F$781,U$5,'SN02'!$G$3:$G$781,"*")</f>
        <v>0</v>
      </c>
      <c r="V8" s="34">
        <f>countifs('SN02'!$F$3:$F$781,V$5,'SN02'!$G$3:$G$781,"*")</f>
        <v>1</v>
      </c>
      <c r="W8" s="34">
        <f>countifs('SN02'!$F$3:$F$781,W$5,'SN02'!$G$3:$G$781,"*")</f>
        <v>0</v>
      </c>
      <c r="X8" s="34">
        <f>countifs('SN02'!$F$3:$F$781,X$5,'SN02'!$G$3:$G$781,"*")</f>
        <v>10</v>
      </c>
      <c r="Y8" s="34">
        <f>countifs('SN02'!$F$3:$F$781,Y$5,'SN02'!$G$3:$G$781,"*")</f>
        <v>85</v>
      </c>
      <c r="Z8" s="30">
        <f>countifs('SN01'!$F$3:$F$2001,Z$5,'SN01'!$G$3:$G$2001,"*")</f>
        <v>0</v>
      </c>
      <c r="AA8" s="34">
        <f>countifs('SN02'!$F$3:$F$781,AA$5,'SN02'!$G$3:$G$781,"*")</f>
        <v>96</v>
      </c>
      <c r="AB8" s="34">
        <f>countifs('SN02'!$F$3:$F$781,AB$5,'SN02'!$G$3:$G$781,"*")</f>
        <v>40</v>
      </c>
      <c r="AC8" s="30">
        <f>countifs('SN01'!$F$3:$F$2001,AC$5,'SN01'!$G$3:$G$2001,"*")</f>
        <v>0</v>
      </c>
      <c r="AD8" s="34">
        <f>countifs('SN02'!$F$3:$F$781,AD$5,'SN02'!$G$3:$G$781,"*")</f>
        <v>2</v>
      </c>
      <c r="AE8" s="34">
        <f>countifs('SN02'!$F$3:$F$781,AE$5,'SN02'!$G$3:$G$781,"*")</f>
        <v>9</v>
      </c>
      <c r="AF8" s="34">
        <f>countifs('SN02'!$F$3:$F$781,AF$5,'SN02'!$G$3:$G$781,"*")</f>
        <v>7</v>
      </c>
      <c r="AG8" s="9"/>
      <c r="AH8" s="9"/>
      <c r="AI8" s="9"/>
      <c r="AJ8" s="9"/>
      <c r="AK8" s="9"/>
    </row>
    <row r="9" ht="27.75" customHeight="1">
      <c r="A9" s="9"/>
      <c r="B9" s="27" t="s">
        <v>174</v>
      </c>
      <c r="C9" s="27">
        <v>1.0</v>
      </c>
      <c r="D9" s="28">
        <f t="shared" si="2"/>
        <v>0</v>
      </c>
      <c r="E9" s="29" t="str">
        <f t="shared" si="3"/>
        <v/>
      </c>
      <c r="F9" s="30">
        <f t="shared" si="4"/>
        <v>0</v>
      </c>
      <c r="G9" s="30">
        <f t="shared" ref="G9:AF9" si="6">countifs('SN03'!$F$3:$F$2000,G$5,'SN03'!$G$3:$G$2000,"*")</f>
        <v>0</v>
      </c>
      <c r="H9" s="30">
        <f t="shared" si="6"/>
        <v>0</v>
      </c>
      <c r="I9" s="30">
        <f t="shared" si="6"/>
        <v>0</v>
      </c>
      <c r="J9" s="30">
        <f t="shared" si="6"/>
        <v>0</v>
      </c>
      <c r="K9" s="30">
        <f t="shared" si="6"/>
        <v>0</v>
      </c>
      <c r="L9" s="30">
        <f t="shared" si="6"/>
        <v>0</v>
      </c>
      <c r="M9" s="30">
        <f t="shared" si="6"/>
        <v>0</v>
      </c>
      <c r="N9" s="30">
        <f t="shared" si="6"/>
        <v>0</v>
      </c>
      <c r="O9" s="30">
        <f t="shared" si="6"/>
        <v>0</v>
      </c>
      <c r="P9" s="30">
        <f t="shared" si="6"/>
        <v>0</v>
      </c>
      <c r="Q9" s="30">
        <f t="shared" si="6"/>
        <v>0</v>
      </c>
      <c r="R9" s="30">
        <f t="shared" si="6"/>
        <v>0</v>
      </c>
      <c r="S9" s="30">
        <f t="shared" si="6"/>
        <v>0</v>
      </c>
      <c r="T9" s="30">
        <f t="shared" si="6"/>
        <v>0</v>
      </c>
      <c r="U9" s="30">
        <f t="shared" si="6"/>
        <v>0</v>
      </c>
      <c r="V9" s="30">
        <f t="shared" si="6"/>
        <v>0</v>
      </c>
      <c r="W9" s="30">
        <f t="shared" si="6"/>
        <v>0</v>
      </c>
      <c r="X9" s="30">
        <f t="shared" si="6"/>
        <v>0</v>
      </c>
      <c r="Y9" s="30">
        <f t="shared" si="6"/>
        <v>0</v>
      </c>
      <c r="Z9" s="30">
        <f t="shared" si="6"/>
        <v>0</v>
      </c>
      <c r="AA9" s="30">
        <f t="shared" si="6"/>
        <v>0</v>
      </c>
      <c r="AB9" s="30">
        <f t="shared" si="6"/>
        <v>0</v>
      </c>
      <c r="AC9" s="30">
        <f t="shared" si="6"/>
        <v>0</v>
      </c>
      <c r="AD9" s="30">
        <f t="shared" si="6"/>
        <v>0</v>
      </c>
      <c r="AE9" s="30">
        <f t="shared" si="6"/>
        <v>0</v>
      </c>
      <c r="AF9" s="30">
        <f t="shared" si="6"/>
        <v>0</v>
      </c>
      <c r="AG9" s="9"/>
      <c r="AH9" s="9"/>
      <c r="AI9" s="9"/>
      <c r="AJ9" s="9"/>
      <c r="AK9" s="9"/>
    </row>
    <row r="10" ht="27.75" customHeight="1">
      <c r="A10" s="9"/>
      <c r="B10" s="31" t="s">
        <v>175</v>
      </c>
      <c r="C10" s="31">
        <v>3.0</v>
      </c>
      <c r="D10" s="32">
        <f t="shared" si="2"/>
        <v>0</v>
      </c>
      <c r="E10" s="33" t="str">
        <f t="shared" si="3"/>
        <v/>
      </c>
      <c r="F10" s="34">
        <f t="shared" si="4"/>
        <v>0</v>
      </c>
      <c r="G10" s="34">
        <f t="shared" ref="G10:AF10" si="7">countifs('SN04'!$F$2:$F$7926,G$5,'SN04'!$G$2:$G$7926,"*")</f>
        <v>0</v>
      </c>
      <c r="H10" s="34">
        <f t="shared" si="7"/>
        <v>0</v>
      </c>
      <c r="I10" s="34">
        <f t="shared" si="7"/>
        <v>0</v>
      </c>
      <c r="J10" s="34">
        <f t="shared" si="7"/>
        <v>0</v>
      </c>
      <c r="K10" s="34">
        <f t="shared" si="7"/>
        <v>0</v>
      </c>
      <c r="L10" s="34">
        <f t="shared" si="7"/>
        <v>0</v>
      </c>
      <c r="M10" s="34">
        <f t="shared" si="7"/>
        <v>0</v>
      </c>
      <c r="N10" s="34">
        <f t="shared" si="7"/>
        <v>0</v>
      </c>
      <c r="O10" s="34">
        <f t="shared" si="7"/>
        <v>0</v>
      </c>
      <c r="P10" s="34">
        <f t="shared" si="7"/>
        <v>0</v>
      </c>
      <c r="Q10" s="34">
        <f t="shared" si="7"/>
        <v>0</v>
      </c>
      <c r="R10" s="34">
        <f t="shared" si="7"/>
        <v>0</v>
      </c>
      <c r="S10" s="34">
        <f t="shared" si="7"/>
        <v>0</v>
      </c>
      <c r="T10" s="34">
        <f t="shared" si="7"/>
        <v>0</v>
      </c>
      <c r="U10" s="34">
        <f t="shared" si="7"/>
        <v>0</v>
      </c>
      <c r="V10" s="34">
        <f t="shared" si="7"/>
        <v>0</v>
      </c>
      <c r="W10" s="34">
        <f t="shared" si="7"/>
        <v>0</v>
      </c>
      <c r="X10" s="34">
        <f t="shared" si="7"/>
        <v>0</v>
      </c>
      <c r="Y10" s="34">
        <f t="shared" si="7"/>
        <v>0</v>
      </c>
      <c r="Z10" s="34">
        <f t="shared" si="7"/>
        <v>0</v>
      </c>
      <c r="AA10" s="34">
        <f t="shared" si="7"/>
        <v>0</v>
      </c>
      <c r="AB10" s="34">
        <f t="shared" si="7"/>
        <v>0</v>
      </c>
      <c r="AC10" s="34">
        <f t="shared" si="7"/>
        <v>0</v>
      </c>
      <c r="AD10" s="34">
        <f t="shared" si="7"/>
        <v>0</v>
      </c>
      <c r="AE10" s="34">
        <f t="shared" si="7"/>
        <v>0</v>
      </c>
      <c r="AF10" s="34">
        <f t="shared" si="7"/>
        <v>0</v>
      </c>
      <c r="AG10" s="9"/>
      <c r="AH10" s="9"/>
      <c r="AI10" s="9"/>
      <c r="AJ10" s="9"/>
      <c r="AK10" s="9"/>
    </row>
    <row r="11">
      <c r="A11" s="9"/>
      <c r="B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row>
    <row r="14">
      <c r="A14" s="9"/>
      <c r="B14" s="35" t="s">
        <v>0</v>
      </c>
      <c r="C14" s="35" t="s">
        <v>1</v>
      </c>
      <c r="D14" s="36" t="s">
        <v>176</v>
      </c>
      <c r="E14" s="35" t="s">
        <v>2</v>
      </c>
      <c r="F14" s="35" t="s">
        <v>3</v>
      </c>
      <c r="G14" s="36" t="s">
        <v>165</v>
      </c>
      <c r="H14" s="36" t="s">
        <v>166</v>
      </c>
      <c r="I14" s="36" t="s">
        <v>167</v>
      </c>
      <c r="J14" s="36" t="s">
        <v>168</v>
      </c>
      <c r="K14" s="36" t="s">
        <v>169</v>
      </c>
      <c r="L14" s="36" t="s">
        <v>15</v>
      </c>
      <c r="M14" s="37" t="s">
        <v>27</v>
      </c>
      <c r="N14" s="37" t="s">
        <v>38</v>
      </c>
      <c r="O14" s="38">
        <f t="shared" ref="O14:AF14" si="8">O5</f>
        <v>46023</v>
      </c>
      <c r="P14" s="38">
        <f t="shared" si="8"/>
        <v>46054</v>
      </c>
      <c r="Q14" s="38">
        <f t="shared" si="8"/>
        <v>46082</v>
      </c>
      <c r="R14" s="38">
        <f t="shared" si="8"/>
        <v>46113</v>
      </c>
      <c r="S14" s="38">
        <f t="shared" si="8"/>
        <v>46143</v>
      </c>
      <c r="T14" s="38">
        <f t="shared" si="8"/>
        <v>46174</v>
      </c>
      <c r="U14" s="38">
        <f t="shared" si="8"/>
        <v>46204</v>
      </c>
      <c r="V14" s="38">
        <f t="shared" si="8"/>
        <v>46235</v>
      </c>
      <c r="W14" s="38">
        <f t="shared" si="8"/>
        <v>46266</v>
      </c>
      <c r="X14" s="38">
        <f t="shared" si="8"/>
        <v>46296</v>
      </c>
      <c r="Y14" s="38">
        <f t="shared" si="8"/>
        <v>46327</v>
      </c>
      <c r="Z14" s="38">
        <f t="shared" si="8"/>
        <v>46357</v>
      </c>
      <c r="AA14" s="38" t="str">
        <f t="shared" si="8"/>
        <v>13/01</v>
      </c>
      <c r="AB14" s="38" t="str">
        <f t="shared" si="8"/>
        <v>14/01</v>
      </c>
      <c r="AC14" s="38" t="str">
        <f t="shared" si="8"/>
        <v>15/01</v>
      </c>
      <c r="AD14" s="38" t="str">
        <f t="shared" si="8"/>
        <v>16/01</v>
      </c>
      <c r="AE14" s="38" t="str">
        <f t="shared" si="8"/>
        <v>17/01</v>
      </c>
      <c r="AF14" s="38" t="str">
        <f t="shared" si="8"/>
        <v>18/01</v>
      </c>
      <c r="AG14" s="9"/>
      <c r="AH14" s="9"/>
      <c r="AI14" s="9"/>
      <c r="AJ14" s="9"/>
      <c r="AK14" s="9"/>
    </row>
    <row r="15" ht="18.75" customHeight="1">
      <c r="A15" s="9"/>
      <c r="B15" s="39">
        <v>1.0</v>
      </c>
      <c r="C15" s="40" t="s">
        <v>177</v>
      </c>
      <c r="D15" s="39">
        <f t="shared" ref="D15:D45" si="10">sum(H15:AK15)</f>
        <v>0</v>
      </c>
      <c r="E15" s="41" t="s">
        <v>178</v>
      </c>
      <c r="F15" s="42" t="s">
        <v>173</v>
      </c>
      <c r="G15" s="43">
        <f t="shared" ref="G15:AF15" si="9">countifs('SN01'!$F$3:$F$2001,G$5,'SN01'!$D$3:$D$2001,$E15,'SN01'!$G$3:$G$2001,"*")</f>
        <v>0</v>
      </c>
      <c r="H15" s="43">
        <f t="shared" si="9"/>
        <v>0</v>
      </c>
      <c r="I15" s="43">
        <f t="shared" si="9"/>
        <v>0</v>
      </c>
      <c r="J15" s="43">
        <f t="shared" si="9"/>
        <v>0</v>
      </c>
      <c r="K15" s="43">
        <f t="shared" si="9"/>
        <v>0</v>
      </c>
      <c r="L15" s="43">
        <f t="shared" si="9"/>
        <v>0</v>
      </c>
      <c r="M15" s="43">
        <f t="shared" si="9"/>
        <v>0</v>
      </c>
      <c r="N15" s="43">
        <f t="shared" si="9"/>
        <v>0</v>
      </c>
      <c r="O15" s="43">
        <f t="shared" si="9"/>
        <v>0</v>
      </c>
      <c r="P15" s="43">
        <f t="shared" si="9"/>
        <v>0</v>
      </c>
      <c r="Q15" s="43">
        <f t="shared" si="9"/>
        <v>0</v>
      </c>
      <c r="R15" s="43">
        <f t="shared" si="9"/>
        <v>0</v>
      </c>
      <c r="S15" s="43">
        <f t="shared" si="9"/>
        <v>0</v>
      </c>
      <c r="T15" s="43">
        <f t="shared" si="9"/>
        <v>0</v>
      </c>
      <c r="U15" s="43">
        <f t="shared" si="9"/>
        <v>0</v>
      </c>
      <c r="V15" s="43">
        <f t="shared" si="9"/>
        <v>0</v>
      </c>
      <c r="W15" s="43">
        <f t="shared" si="9"/>
        <v>0</v>
      </c>
      <c r="X15" s="43">
        <f t="shared" si="9"/>
        <v>0</v>
      </c>
      <c r="Y15" s="43">
        <f t="shared" si="9"/>
        <v>0</v>
      </c>
      <c r="Z15" s="43">
        <f t="shared" si="9"/>
        <v>0</v>
      </c>
      <c r="AA15" s="43">
        <f t="shared" si="9"/>
        <v>0</v>
      </c>
      <c r="AB15" s="43">
        <f t="shared" si="9"/>
        <v>0</v>
      </c>
      <c r="AC15" s="43">
        <f t="shared" si="9"/>
        <v>0</v>
      </c>
      <c r="AD15" s="43">
        <f t="shared" si="9"/>
        <v>0</v>
      </c>
      <c r="AE15" s="43">
        <f t="shared" si="9"/>
        <v>0</v>
      </c>
      <c r="AF15" s="43">
        <f t="shared" si="9"/>
        <v>0</v>
      </c>
      <c r="AG15" s="9"/>
      <c r="AH15" s="9"/>
      <c r="AI15" s="9"/>
      <c r="AJ15" s="9"/>
      <c r="AK15" s="9"/>
    </row>
    <row r="16" ht="18.75" customHeight="1">
      <c r="A16" s="9"/>
      <c r="B16" s="39">
        <v>2.0</v>
      </c>
      <c r="C16" s="40" t="s">
        <v>179</v>
      </c>
      <c r="D16" s="39">
        <f t="shared" si="10"/>
        <v>0</v>
      </c>
      <c r="E16" s="41" t="s">
        <v>180</v>
      </c>
      <c r="F16" s="44" t="s">
        <v>173</v>
      </c>
      <c r="G16" s="43">
        <f t="shared" ref="G16:AF16" si="11">countifs('SN01'!$F$3:$F$2001,G$5,'SN01'!$D$3:$D$2001,$E16,'SN01'!$G$3:$G$2001,"*")</f>
        <v>0</v>
      </c>
      <c r="H16" s="43">
        <f t="shared" si="11"/>
        <v>0</v>
      </c>
      <c r="I16" s="43">
        <f t="shared" si="11"/>
        <v>0</v>
      </c>
      <c r="J16" s="43">
        <f t="shared" si="11"/>
        <v>0</v>
      </c>
      <c r="K16" s="43">
        <f t="shared" si="11"/>
        <v>0</v>
      </c>
      <c r="L16" s="43">
        <f t="shared" si="11"/>
        <v>0</v>
      </c>
      <c r="M16" s="43">
        <f t="shared" si="11"/>
        <v>0</v>
      </c>
      <c r="N16" s="43">
        <f t="shared" si="11"/>
        <v>0</v>
      </c>
      <c r="O16" s="43">
        <f t="shared" si="11"/>
        <v>0</v>
      </c>
      <c r="P16" s="43">
        <f t="shared" si="11"/>
        <v>0</v>
      </c>
      <c r="Q16" s="43">
        <f t="shared" si="11"/>
        <v>0</v>
      </c>
      <c r="R16" s="43">
        <f t="shared" si="11"/>
        <v>0</v>
      </c>
      <c r="S16" s="43">
        <f t="shared" si="11"/>
        <v>0</v>
      </c>
      <c r="T16" s="43">
        <f t="shared" si="11"/>
        <v>0</v>
      </c>
      <c r="U16" s="43">
        <f t="shared" si="11"/>
        <v>0</v>
      </c>
      <c r="V16" s="43">
        <f t="shared" si="11"/>
        <v>0</v>
      </c>
      <c r="W16" s="43">
        <f t="shared" si="11"/>
        <v>0</v>
      </c>
      <c r="X16" s="43">
        <f t="shared" si="11"/>
        <v>0</v>
      </c>
      <c r="Y16" s="43">
        <f t="shared" si="11"/>
        <v>0</v>
      </c>
      <c r="Z16" s="43">
        <f t="shared" si="11"/>
        <v>0</v>
      </c>
      <c r="AA16" s="43">
        <f t="shared" si="11"/>
        <v>0</v>
      </c>
      <c r="AB16" s="43">
        <f t="shared" si="11"/>
        <v>0</v>
      </c>
      <c r="AC16" s="43">
        <f t="shared" si="11"/>
        <v>0</v>
      </c>
      <c r="AD16" s="43">
        <f t="shared" si="11"/>
        <v>0</v>
      </c>
      <c r="AE16" s="43">
        <f t="shared" si="11"/>
        <v>0</v>
      </c>
      <c r="AF16" s="43">
        <f t="shared" si="11"/>
        <v>0</v>
      </c>
      <c r="AG16" s="9"/>
      <c r="AH16" s="9"/>
      <c r="AI16" s="9"/>
      <c r="AJ16" s="9"/>
      <c r="AK16" s="9"/>
    </row>
    <row r="17" ht="18.75" customHeight="1">
      <c r="A17" s="9"/>
      <c r="B17" s="39">
        <v>3.0</v>
      </c>
      <c r="C17" s="45" t="s">
        <v>181</v>
      </c>
      <c r="D17" s="39">
        <f t="shared" si="10"/>
        <v>0</v>
      </c>
      <c r="E17" s="41" t="s">
        <v>182</v>
      </c>
      <c r="F17" s="44" t="s">
        <v>173</v>
      </c>
      <c r="G17" s="43">
        <f t="shared" ref="G17:AF17" si="12">countifs('SN01'!$F$3:$F$2001,G$5,'SN01'!$D$3:$D$2001,$E17,'SN01'!$G$3:$G$2001,"*")</f>
        <v>0</v>
      </c>
      <c r="H17" s="43">
        <f t="shared" si="12"/>
        <v>0</v>
      </c>
      <c r="I17" s="43">
        <f t="shared" si="12"/>
        <v>0</v>
      </c>
      <c r="J17" s="43">
        <f t="shared" si="12"/>
        <v>0</v>
      </c>
      <c r="K17" s="43">
        <f t="shared" si="12"/>
        <v>0</v>
      </c>
      <c r="L17" s="43">
        <f t="shared" si="12"/>
        <v>0</v>
      </c>
      <c r="M17" s="43">
        <f t="shared" si="12"/>
        <v>0</v>
      </c>
      <c r="N17" s="43">
        <f t="shared" si="12"/>
        <v>0</v>
      </c>
      <c r="O17" s="43">
        <f t="shared" si="12"/>
        <v>0</v>
      </c>
      <c r="P17" s="43">
        <f t="shared" si="12"/>
        <v>0</v>
      </c>
      <c r="Q17" s="43">
        <f t="shared" si="12"/>
        <v>0</v>
      </c>
      <c r="R17" s="43">
        <f t="shared" si="12"/>
        <v>0</v>
      </c>
      <c r="S17" s="43">
        <f t="shared" si="12"/>
        <v>0</v>
      </c>
      <c r="T17" s="43">
        <f t="shared" si="12"/>
        <v>0</v>
      </c>
      <c r="U17" s="43">
        <f t="shared" si="12"/>
        <v>0</v>
      </c>
      <c r="V17" s="43">
        <f t="shared" si="12"/>
        <v>0</v>
      </c>
      <c r="W17" s="43">
        <f t="shared" si="12"/>
        <v>0</v>
      </c>
      <c r="X17" s="43">
        <f t="shared" si="12"/>
        <v>0</v>
      </c>
      <c r="Y17" s="43">
        <f t="shared" si="12"/>
        <v>0</v>
      </c>
      <c r="Z17" s="43">
        <f t="shared" si="12"/>
        <v>0</v>
      </c>
      <c r="AA17" s="43">
        <f t="shared" si="12"/>
        <v>0</v>
      </c>
      <c r="AB17" s="43">
        <f t="shared" si="12"/>
        <v>0</v>
      </c>
      <c r="AC17" s="43">
        <f t="shared" si="12"/>
        <v>0</v>
      </c>
      <c r="AD17" s="43">
        <f t="shared" si="12"/>
        <v>0</v>
      </c>
      <c r="AE17" s="43">
        <f t="shared" si="12"/>
        <v>0</v>
      </c>
      <c r="AF17" s="43">
        <f t="shared" si="12"/>
        <v>0</v>
      </c>
      <c r="AG17" s="9"/>
      <c r="AH17" s="9"/>
      <c r="AI17" s="9"/>
      <c r="AJ17" s="9"/>
      <c r="AK17" s="9"/>
    </row>
    <row r="18" ht="18.75" customHeight="1">
      <c r="A18" s="9"/>
      <c r="B18" s="39">
        <v>4.0</v>
      </c>
      <c r="C18" s="40" t="s">
        <v>183</v>
      </c>
      <c r="D18" s="39">
        <f t="shared" si="10"/>
        <v>0</v>
      </c>
      <c r="E18" s="41" t="s">
        <v>184</v>
      </c>
      <c r="F18" s="44" t="s">
        <v>173</v>
      </c>
      <c r="G18" s="43">
        <f t="shared" ref="G18:AF18" si="13">countifs('SN01'!$F$3:$F$2001,G$5,'SN01'!$D$3:$D$2001,$E18,'SN01'!$G$3:$G$2001,"*")</f>
        <v>0</v>
      </c>
      <c r="H18" s="43">
        <f t="shared" si="13"/>
        <v>0</v>
      </c>
      <c r="I18" s="43">
        <f t="shared" si="13"/>
        <v>0</v>
      </c>
      <c r="J18" s="43">
        <f t="shared" si="13"/>
        <v>0</v>
      </c>
      <c r="K18" s="43">
        <f t="shared" si="13"/>
        <v>0</v>
      </c>
      <c r="L18" s="43">
        <f t="shared" si="13"/>
        <v>0</v>
      </c>
      <c r="M18" s="43">
        <f t="shared" si="13"/>
        <v>0</v>
      </c>
      <c r="N18" s="43">
        <f t="shared" si="13"/>
        <v>0</v>
      </c>
      <c r="O18" s="43">
        <f t="shared" si="13"/>
        <v>0</v>
      </c>
      <c r="P18" s="43">
        <f t="shared" si="13"/>
        <v>0</v>
      </c>
      <c r="Q18" s="43">
        <f t="shared" si="13"/>
        <v>0</v>
      </c>
      <c r="R18" s="43">
        <f t="shared" si="13"/>
        <v>0</v>
      </c>
      <c r="S18" s="43">
        <f t="shared" si="13"/>
        <v>0</v>
      </c>
      <c r="T18" s="43">
        <f t="shared" si="13"/>
        <v>0</v>
      </c>
      <c r="U18" s="43">
        <f t="shared" si="13"/>
        <v>0</v>
      </c>
      <c r="V18" s="43">
        <f t="shared" si="13"/>
        <v>0</v>
      </c>
      <c r="W18" s="43">
        <f t="shared" si="13"/>
        <v>0</v>
      </c>
      <c r="X18" s="43">
        <f t="shared" si="13"/>
        <v>0</v>
      </c>
      <c r="Y18" s="43">
        <f t="shared" si="13"/>
        <v>0</v>
      </c>
      <c r="Z18" s="43">
        <f t="shared" si="13"/>
        <v>0</v>
      </c>
      <c r="AA18" s="43">
        <f t="shared" si="13"/>
        <v>0</v>
      </c>
      <c r="AB18" s="43">
        <f t="shared" si="13"/>
        <v>0</v>
      </c>
      <c r="AC18" s="43">
        <f t="shared" si="13"/>
        <v>0</v>
      </c>
      <c r="AD18" s="43">
        <f t="shared" si="13"/>
        <v>0</v>
      </c>
      <c r="AE18" s="43">
        <f t="shared" si="13"/>
        <v>0</v>
      </c>
      <c r="AF18" s="43">
        <f t="shared" si="13"/>
        <v>0</v>
      </c>
      <c r="AG18" s="9"/>
      <c r="AH18" s="9"/>
      <c r="AI18" s="9"/>
      <c r="AJ18" s="9"/>
      <c r="AK18" s="9"/>
    </row>
    <row r="19" ht="18.75" customHeight="1">
      <c r="A19" s="9"/>
      <c r="B19" s="39">
        <v>5.0</v>
      </c>
      <c r="C19" s="46" t="s">
        <v>185</v>
      </c>
      <c r="D19" s="39">
        <f t="shared" si="10"/>
        <v>0</v>
      </c>
      <c r="E19" s="42" t="s">
        <v>186</v>
      </c>
      <c r="F19" s="42" t="s">
        <v>173</v>
      </c>
      <c r="G19" s="43">
        <f t="shared" ref="G19:AF19" si="14">countifs('SN01'!$F$3:$F$2001,G$5,'SN01'!$D$3:$D$2001,$E19,'SN01'!$G$3:$G$2001,"*")</f>
        <v>0</v>
      </c>
      <c r="H19" s="43">
        <f t="shared" si="14"/>
        <v>0</v>
      </c>
      <c r="I19" s="43">
        <f t="shared" si="14"/>
        <v>0</v>
      </c>
      <c r="J19" s="43">
        <f t="shared" si="14"/>
        <v>0</v>
      </c>
      <c r="K19" s="43">
        <f t="shared" si="14"/>
        <v>0</v>
      </c>
      <c r="L19" s="43">
        <f t="shared" si="14"/>
        <v>0</v>
      </c>
      <c r="M19" s="43">
        <f t="shared" si="14"/>
        <v>0</v>
      </c>
      <c r="N19" s="43">
        <f t="shared" si="14"/>
        <v>0</v>
      </c>
      <c r="O19" s="43">
        <f t="shared" si="14"/>
        <v>0</v>
      </c>
      <c r="P19" s="43">
        <f t="shared" si="14"/>
        <v>0</v>
      </c>
      <c r="Q19" s="43">
        <f t="shared" si="14"/>
        <v>0</v>
      </c>
      <c r="R19" s="43">
        <f t="shared" si="14"/>
        <v>0</v>
      </c>
      <c r="S19" s="43">
        <f t="shared" si="14"/>
        <v>0</v>
      </c>
      <c r="T19" s="43">
        <f t="shared" si="14"/>
        <v>0</v>
      </c>
      <c r="U19" s="43">
        <f t="shared" si="14"/>
        <v>0</v>
      </c>
      <c r="V19" s="43">
        <f t="shared" si="14"/>
        <v>0</v>
      </c>
      <c r="W19" s="43">
        <f t="shared" si="14"/>
        <v>0</v>
      </c>
      <c r="X19" s="43">
        <f t="shared" si="14"/>
        <v>0</v>
      </c>
      <c r="Y19" s="43">
        <f t="shared" si="14"/>
        <v>0</v>
      </c>
      <c r="Z19" s="43">
        <f t="shared" si="14"/>
        <v>0</v>
      </c>
      <c r="AA19" s="43">
        <f t="shared" si="14"/>
        <v>0</v>
      </c>
      <c r="AB19" s="43">
        <f t="shared" si="14"/>
        <v>0</v>
      </c>
      <c r="AC19" s="43">
        <f t="shared" si="14"/>
        <v>0</v>
      </c>
      <c r="AD19" s="43">
        <f t="shared" si="14"/>
        <v>0</v>
      </c>
      <c r="AE19" s="43">
        <f t="shared" si="14"/>
        <v>0</v>
      </c>
      <c r="AF19" s="43">
        <f t="shared" si="14"/>
        <v>0</v>
      </c>
      <c r="AG19" s="9"/>
      <c r="AH19" s="9"/>
      <c r="AI19" s="9"/>
      <c r="AJ19" s="9"/>
      <c r="AK19" s="9"/>
    </row>
    <row r="20" ht="18.75" customHeight="1">
      <c r="A20" s="9"/>
      <c r="B20" s="39">
        <v>6.0</v>
      </c>
      <c r="C20" s="46" t="s">
        <v>187</v>
      </c>
      <c r="D20" s="39">
        <f t="shared" si="10"/>
        <v>0</v>
      </c>
      <c r="E20" s="44" t="s">
        <v>188</v>
      </c>
      <c r="F20" s="44" t="s">
        <v>173</v>
      </c>
      <c r="G20" s="43">
        <f t="shared" ref="G20:AF20" si="15">countifs('SN01'!$F$3:$F$2001,G$5,'SN01'!$D$3:$D$2001,$E20,'SN01'!$G$3:$G$2001,"*")</f>
        <v>0</v>
      </c>
      <c r="H20" s="43">
        <f t="shared" si="15"/>
        <v>0</v>
      </c>
      <c r="I20" s="43">
        <f t="shared" si="15"/>
        <v>0</v>
      </c>
      <c r="J20" s="43">
        <f t="shared" si="15"/>
        <v>0</v>
      </c>
      <c r="K20" s="43">
        <f t="shared" si="15"/>
        <v>0</v>
      </c>
      <c r="L20" s="43">
        <f t="shared" si="15"/>
        <v>0</v>
      </c>
      <c r="M20" s="43">
        <f t="shared" si="15"/>
        <v>0</v>
      </c>
      <c r="N20" s="43">
        <f t="shared" si="15"/>
        <v>0</v>
      </c>
      <c r="O20" s="43">
        <f t="shared" si="15"/>
        <v>0</v>
      </c>
      <c r="P20" s="43">
        <f t="shared" si="15"/>
        <v>0</v>
      </c>
      <c r="Q20" s="43">
        <f t="shared" si="15"/>
        <v>0</v>
      </c>
      <c r="R20" s="43">
        <f t="shared" si="15"/>
        <v>0</v>
      </c>
      <c r="S20" s="43">
        <f t="shared" si="15"/>
        <v>0</v>
      </c>
      <c r="T20" s="43">
        <f t="shared" si="15"/>
        <v>0</v>
      </c>
      <c r="U20" s="43">
        <f t="shared" si="15"/>
        <v>0</v>
      </c>
      <c r="V20" s="43">
        <f t="shared" si="15"/>
        <v>0</v>
      </c>
      <c r="W20" s="43">
        <f t="shared" si="15"/>
        <v>0</v>
      </c>
      <c r="X20" s="43">
        <f t="shared" si="15"/>
        <v>0</v>
      </c>
      <c r="Y20" s="43">
        <f t="shared" si="15"/>
        <v>0</v>
      </c>
      <c r="Z20" s="43">
        <f t="shared" si="15"/>
        <v>0</v>
      </c>
      <c r="AA20" s="43">
        <f t="shared" si="15"/>
        <v>0</v>
      </c>
      <c r="AB20" s="43">
        <f t="shared" si="15"/>
        <v>0</v>
      </c>
      <c r="AC20" s="43">
        <f t="shared" si="15"/>
        <v>0</v>
      </c>
      <c r="AD20" s="43">
        <f t="shared" si="15"/>
        <v>0</v>
      </c>
      <c r="AE20" s="43">
        <f t="shared" si="15"/>
        <v>0</v>
      </c>
      <c r="AF20" s="43">
        <f t="shared" si="15"/>
        <v>0</v>
      </c>
      <c r="AG20" s="9"/>
      <c r="AH20" s="9"/>
      <c r="AI20" s="9"/>
      <c r="AJ20" s="9"/>
      <c r="AK20" s="9"/>
    </row>
    <row r="21" ht="15.75" customHeight="1">
      <c r="A21" s="9"/>
      <c r="B21" s="39">
        <v>21.0</v>
      </c>
      <c r="C21" s="47" t="s">
        <v>189</v>
      </c>
      <c r="D21" s="39">
        <f t="shared" si="10"/>
        <v>0</v>
      </c>
      <c r="E21" s="48" t="s">
        <v>190</v>
      </c>
      <c r="F21" s="42" t="s">
        <v>173</v>
      </c>
      <c r="G21" s="43">
        <f t="shared" ref="G21:AF21" si="16">countifs('SN01'!$F$3:$F$2001,G$5,'SN01'!$D$3:$D$2001,$E21,'SN01'!$G$3:$G$2001,"*")</f>
        <v>0</v>
      </c>
      <c r="H21" s="43">
        <f t="shared" si="16"/>
        <v>0</v>
      </c>
      <c r="I21" s="43">
        <f t="shared" si="16"/>
        <v>0</v>
      </c>
      <c r="J21" s="43">
        <f t="shared" si="16"/>
        <v>0</v>
      </c>
      <c r="K21" s="43">
        <f t="shared" si="16"/>
        <v>0</v>
      </c>
      <c r="L21" s="43">
        <f t="shared" si="16"/>
        <v>0</v>
      </c>
      <c r="M21" s="43">
        <f t="shared" si="16"/>
        <v>0</v>
      </c>
      <c r="N21" s="43">
        <f t="shared" si="16"/>
        <v>0</v>
      </c>
      <c r="O21" s="43">
        <f t="shared" si="16"/>
        <v>0</v>
      </c>
      <c r="P21" s="43">
        <f t="shared" si="16"/>
        <v>0</v>
      </c>
      <c r="Q21" s="43">
        <f t="shared" si="16"/>
        <v>0</v>
      </c>
      <c r="R21" s="43">
        <f t="shared" si="16"/>
        <v>0</v>
      </c>
      <c r="S21" s="43">
        <f t="shared" si="16"/>
        <v>0</v>
      </c>
      <c r="T21" s="43">
        <f t="shared" si="16"/>
        <v>0</v>
      </c>
      <c r="U21" s="43">
        <f t="shared" si="16"/>
        <v>0</v>
      </c>
      <c r="V21" s="43">
        <f t="shared" si="16"/>
        <v>0</v>
      </c>
      <c r="W21" s="43">
        <f t="shared" si="16"/>
        <v>0</v>
      </c>
      <c r="X21" s="43">
        <f t="shared" si="16"/>
        <v>0</v>
      </c>
      <c r="Y21" s="43">
        <f t="shared" si="16"/>
        <v>0</v>
      </c>
      <c r="Z21" s="43">
        <f t="shared" si="16"/>
        <v>0</v>
      </c>
      <c r="AA21" s="43">
        <f t="shared" si="16"/>
        <v>0</v>
      </c>
      <c r="AB21" s="43">
        <f t="shared" si="16"/>
        <v>0</v>
      </c>
      <c r="AC21" s="43">
        <f t="shared" si="16"/>
        <v>0</v>
      </c>
      <c r="AD21" s="43">
        <f t="shared" si="16"/>
        <v>0</v>
      </c>
      <c r="AE21" s="43">
        <f t="shared" si="16"/>
        <v>0</v>
      </c>
      <c r="AF21" s="43">
        <f t="shared" si="16"/>
        <v>0</v>
      </c>
      <c r="AG21" s="9"/>
      <c r="AH21" s="9"/>
      <c r="AI21" s="9"/>
      <c r="AJ21" s="9"/>
      <c r="AK21" s="9"/>
    </row>
    <row r="22" ht="18.75" customHeight="1">
      <c r="A22" s="9"/>
      <c r="B22" s="49">
        <v>7.0</v>
      </c>
      <c r="C22" s="50" t="s">
        <v>191</v>
      </c>
      <c r="D22" s="39">
        <f t="shared" si="10"/>
        <v>64</v>
      </c>
      <c r="E22" s="51" t="s">
        <v>192</v>
      </c>
      <c r="F22" s="51" t="s">
        <v>14</v>
      </c>
      <c r="G22" s="52">
        <f>countifs('SN02'!$F$3:$F$781,G$5,'SN02'!$D$3:$D$781,$E22,'SN02'!$G$3:$G$781,"*")</f>
        <v>0</v>
      </c>
      <c r="H22" s="52">
        <f>countifs('SN02'!$F$3:$F$781,H$5,'SN02'!$D$3:$D$781,$E22,'SN02'!$G$3:$G$781,"*")</f>
        <v>0</v>
      </c>
      <c r="I22" s="52">
        <f>countifs('SN02'!$F$3:$F$781,I$5,'SN02'!$D$3:$D$781,$E22,'SN02'!$G$3:$G$781,"*")</f>
        <v>0</v>
      </c>
      <c r="J22" s="52">
        <f>countifs('SN02'!$F$3:$F$781,J$5,'SN02'!$D$3:$D$781,$E22,'SN02'!$G$3:$G$781,"*")</f>
        <v>10</v>
      </c>
      <c r="K22" s="52">
        <f>countifs('SN02'!$F$3:$F$781,K$5,'SN02'!$D$3:$D$781,$E22,'SN02'!$G$3:$G$781,"*")</f>
        <v>52</v>
      </c>
      <c r="L22" s="52">
        <f>countifs('SN02'!$F$3:$F$781,L$5,'SN02'!$D$3:$D$781,$E22,'SN02'!$G$3:$G$781,"*")</f>
        <v>0</v>
      </c>
      <c r="M22" s="52">
        <f>countifs('SN02'!$F$3:$F$781,M$5,'SN02'!$D$3:$D$781,$E22,'SN02'!$G$3:$G$781,"*")</f>
        <v>1</v>
      </c>
      <c r="N22" s="52">
        <f>countifs('SN02'!$F$3:$F$781,N$5,'SN02'!$D$3:$D$781,$E22,'SN02'!$G$3:$G$781,"*")</f>
        <v>0</v>
      </c>
      <c r="O22" s="52">
        <f>countifs('SN02'!$F$3:$F$781,O$5,'SN02'!$D$3:$D$781,$E22,'SN02'!$G$3:$G$781,"*")</f>
        <v>0</v>
      </c>
      <c r="P22" s="52">
        <f>countifs('SN02'!$F$3:$F$781,P$5,'SN02'!$D$3:$D$781,$E22,'SN02'!$G$3:$G$781,"*")</f>
        <v>0</v>
      </c>
      <c r="Q22" s="52">
        <f>countifs('SN02'!$F$3:$F$781,Q$5,'SN02'!$D$3:$D$781,$E22,'SN02'!$G$3:$G$781,"*")</f>
        <v>0</v>
      </c>
      <c r="R22" s="52">
        <f>countifs('SN02'!$F$3:$F$781,R$5,'SN02'!$D$3:$D$781,$E22,'SN02'!$G$3:$G$781,"*")</f>
        <v>0</v>
      </c>
      <c r="S22" s="52">
        <f>countifs('SN02'!$F$3:$F$781,S$5,'SN02'!$D$3:$D$781,$E22,'SN02'!$G$3:$G$781,"*")</f>
        <v>0</v>
      </c>
      <c r="T22" s="52">
        <f>countifs('SN02'!$F$3:$F$781,T$5,'SN02'!$D$3:$D$781,$E22,'SN02'!$G$3:$G$781,"*")</f>
        <v>0</v>
      </c>
      <c r="U22" s="52">
        <f>countifs('SN02'!$F$3:$F$781,U$5,'SN02'!$D$3:$D$781,$E22,'SN02'!$G$3:$G$781,"*")</f>
        <v>0</v>
      </c>
      <c r="V22" s="52">
        <f>countifs('SN02'!$F$3:$F$781,V$5,'SN02'!$D$3:$D$781,$E22,'SN02'!$G$3:$G$781,"*")</f>
        <v>0</v>
      </c>
      <c r="W22" s="52">
        <f>countifs('SN02'!$F$3:$F$781,W$5,'SN02'!$D$3:$D$781,$E22,'SN02'!$G$3:$G$781,"*")</f>
        <v>0</v>
      </c>
      <c r="X22" s="52">
        <f>countifs('SN02'!$F$3:$F$781,X$5,'SN02'!$D$3:$D$781,$E22,'SN02'!$G$3:$G$781,"*")</f>
        <v>0</v>
      </c>
      <c r="Y22" s="52">
        <f>countifs('SN02'!$F$3:$F$781,Y$5,'SN02'!$D$3:$D$781,$E22,'SN02'!$G$3:$G$781,"*")</f>
        <v>1</v>
      </c>
      <c r="Z22" s="52">
        <f>countifs('SN02'!$F$3:$F$781,Z$5,'SN02'!$D$3:$D$781,$E22,'SN02'!$G$3:$G$781,"*")</f>
        <v>0</v>
      </c>
      <c r="AA22" s="52">
        <f>countifs('SN02'!$F$3:$F$781,AA$5,'SN02'!$D$3:$D$781,$E22,'SN02'!$G$3:$G$781,"*")</f>
        <v>0</v>
      </c>
      <c r="AB22" s="52">
        <f>countifs('SN02'!$F$3:$F$781,AB$5,'SN02'!$D$3:$D$781,$E22,'SN02'!$G$3:$G$781,"*")</f>
        <v>0</v>
      </c>
      <c r="AC22" s="52">
        <f>countifs('SN02'!$F$3:$F$781,AC$5,'SN02'!$D$3:$D$781,$E22,'SN02'!$G$3:$G$781,"*")</f>
        <v>0</v>
      </c>
      <c r="AD22" s="52">
        <f>countifs('SN02'!$F$3:$F$781,AD$5,'SN02'!$D$3:$D$781,$E22,'SN02'!$G$3:$G$781,"*")</f>
        <v>0</v>
      </c>
      <c r="AE22" s="52">
        <f>countifs('SN02'!$F$3:$F$781,AE$5,'SN02'!$D$3:$D$781,$E22,'SN02'!$G$3:$G$781,"*")</f>
        <v>0</v>
      </c>
      <c r="AF22" s="52">
        <f>countifs('SN02'!$F$3:$F$781,AF$5,'SN02'!$D$3:$D$781,$E22,'SN02'!$G$3:$G$781,"*")</f>
        <v>0</v>
      </c>
      <c r="AG22" s="9"/>
      <c r="AH22" s="9"/>
      <c r="AI22" s="9"/>
      <c r="AJ22" s="9"/>
      <c r="AK22" s="9"/>
    </row>
    <row r="23" ht="18.75" customHeight="1">
      <c r="A23" s="9"/>
      <c r="B23" s="49">
        <v>8.0</v>
      </c>
      <c r="C23" s="53" t="s">
        <v>12</v>
      </c>
      <c r="D23" s="39">
        <f t="shared" si="10"/>
        <v>146</v>
      </c>
      <c r="E23" s="54" t="s">
        <v>13</v>
      </c>
      <c r="F23" s="51" t="s">
        <v>14</v>
      </c>
      <c r="G23" s="52">
        <f>countifs('SN02'!$F$3:$F$781,G$5,'SN02'!$D$3:$D$781,$E23,'SN02'!$G$3:$G$781,"*")</f>
        <v>0</v>
      </c>
      <c r="H23" s="52">
        <f>countifs('SN02'!$F$3:$F$781,H$5,'SN02'!$D$3:$D$781,$E23,'SN02'!$G$3:$G$781,"*")</f>
        <v>0</v>
      </c>
      <c r="I23" s="52">
        <f>countifs('SN02'!$F$3:$F$781,I$5,'SN02'!$D$3:$D$781,$E23,'SN02'!$G$3:$G$781,"*")</f>
        <v>0</v>
      </c>
      <c r="J23" s="52">
        <f>countifs('SN02'!$F$3:$F$781,J$5,'SN02'!$D$3:$D$781,$E23,'SN02'!$G$3:$G$781,"*")</f>
        <v>40</v>
      </c>
      <c r="K23" s="52">
        <f>countifs('SN02'!$F$3:$F$781,K$5,'SN02'!$D$3:$D$781,$E23,'SN02'!$G$3:$G$781,"*")</f>
        <v>25</v>
      </c>
      <c r="L23" s="52">
        <f>countifs('SN02'!$F$3:$F$781,L$5,'SN02'!$D$3:$D$781,$E23,'SN02'!$G$3:$G$781,"*")</f>
        <v>10</v>
      </c>
      <c r="M23" s="52">
        <f>countifs('SN02'!$F$3:$F$781,M$5,'SN02'!$D$3:$D$781,$E23,'SN02'!$G$3:$G$781,"*")</f>
        <v>11</v>
      </c>
      <c r="N23" s="52">
        <f>countifs('SN02'!$F$3:$F$781,N$5,'SN02'!$D$3:$D$781,$E23,'SN02'!$G$3:$G$781,"*")</f>
        <v>5</v>
      </c>
      <c r="O23" s="52">
        <f>countifs('SN02'!$F$3:$F$781,O$5,'SN02'!$D$3:$D$781,$E23,'SN02'!$G$3:$G$781,"*")</f>
        <v>0</v>
      </c>
      <c r="P23" s="52">
        <f>countifs('SN02'!$F$3:$F$781,P$5,'SN02'!$D$3:$D$781,$E23,'SN02'!$G$3:$G$781,"*")</f>
        <v>0</v>
      </c>
      <c r="Q23" s="52">
        <f>countifs('SN02'!$F$3:$F$781,Q$5,'SN02'!$D$3:$D$781,$E23,'SN02'!$G$3:$G$781,"*")</f>
        <v>0</v>
      </c>
      <c r="R23" s="52">
        <f>countifs('SN02'!$F$3:$F$781,R$5,'SN02'!$D$3:$D$781,$E23,'SN02'!$G$3:$G$781,"*")</f>
        <v>0</v>
      </c>
      <c r="S23" s="52">
        <f>countifs('SN02'!$F$3:$F$781,S$5,'SN02'!$D$3:$D$781,$E23,'SN02'!$G$3:$G$781,"*")</f>
        <v>0</v>
      </c>
      <c r="T23" s="52">
        <f>countifs('SN02'!$F$3:$F$781,T$5,'SN02'!$D$3:$D$781,$E23,'SN02'!$G$3:$G$781,"*")</f>
        <v>0</v>
      </c>
      <c r="U23" s="52">
        <f>countifs('SN02'!$F$3:$F$781,U$5,'SN02'!$D$3:$D$781,$E23,'SN02'!$G$3:$G$781,"*")</f>
        <v>0</v>
      </c>
      <c r="V23" s="52">
        <f>countifs('SN02'!$F$3:$F$781,V$5,'SN02'!$D$3:$D$781,$E23,'SN02'!$G$3:$G$781,"*")</f>
        <v>0</v>
      </c>
      <c r="W23" s="52">
        <f>countifs('SN02'!$F$3:$F$781,W$5,'SN02'!$D$3:$D$781,$E23,'SN02'!$G$3:$G$781,"*")</f>
        <v>0</v>
      </c>
      <c r="X23" s="52">
        <f>countifs('SN02'!$F$3:$F$781,X$5,'SN02'!$D$3:$D$781,$E23,'SN02'!$G$3:$G$781,"*")</f>
        <v>3</v>
      </c>
      <c r="Y23" s="52">
        <f>countifs('SN02'!$F$3:$F$781,Y$5,'SN02'!$D$3:$D$781,$E23,'SN02'!$G$3:$G$781,"*")</f>
        <v>2</v>
      </c>
      <c r="Z23" s="52">
        <f>countifs('SN02'!$F$3:$F$781,Z$5,'SN02'!$D$3:$D$781,$E23,'SN02'!$G$3:$G$781,"*")</f>
        <v>20</v>
      </c>
      <c r="AA23" s="52">
        <f>countifs('SN02'!$F$3:$F$781,AA$5,'SN02'!$D$3:$D$781,$E23,'SN02'!$G$3:$G$781,"*")</f>
        <v>16</v>
      </c>
      <c r="AB23" s="52">
        <f>countifs('SN02'!$F$3:$F$781,AB$5,'SN02'!$D$3:$D$781,$E23,'SN02'!$G$3:$G$781,"*")</f>
        <v>3</v>
      </c>
      <c r="AC23" s="52">
        <f>countifs('SN02'!$F$3:$F$781,AC$5,'SN02'!$D$3:$D$781,$E23,'SN02'!$G$3:$G$781,"*")</f>
        <v>4</v>
      </c>
      <c r="AD23" s="52">
        <f>countifs('SN02'!$F$3:$F$781,AD$5,'SN02'!$D$3:$D$781,$E23,'SN02'!$G$3:$G$781,"*")</f>
        <v>0</v>
      </c>
      <c r="AE23" s="52">
        <f>countifs('SN02'!$F$3:$F$781,AE$5,'SN02'!$D$3:$D$781,$E23,'SN02'!$G$3:$G$781,"*")</f>
        <v>7</v>
      </c>
      <c r="AF23" s="52">
        <f>countifs('SN02'!$F$3:$F$781,AF$5,'SN02'!$D$3:$D$781,$E23,'SN02'!$G$3:$G$781,"*")</f>
        <v>0</v>
      </c>
      <c r="AG23" s="9"/>
      <c r="AH23" s="9"/>
      <c r="AI23" s="9"/>
      <c r="AJ23" s="9"/>
      <c r="AK23" s="9"/>
    </row>
    <row r="24" ht="18.75" customHeight="1">
      <c r="A24" s="9"/>
      <c r="B24" s="49">
        <v>9.0</v>
      </c>
      <c r="C24" s="55" t="s">
        <v>193</v>
      </c>
      <c r="D24" s="39">
        <f t="shared" si="10"/>
        <v>156</v>
      </c>
      <c r="E24" s="54" t="s">
        <v>194</v>
      </c>
      <c r="F24" s="51" t="s">
        <v>14</v>
      </c>
      <c r="G24" s="52">
        <f>countifs('SN02'!$F$3:$F$781,G$5,'SN02'!$D$3:$D$781,$E24,'SN02'!$G$3:$G$781,"*")</f>
        <v>0</v>
      </c>
      <c r="H24" s="52">
        <f>countifs('SN02'!$F$3:$F$781,H$5,'SN02'!$D$3:$D$781,$E24,'SN02'!$G$3:$G$781,"*")</f>
        <v>0</v>
      </c>
      <c r="I24" s="52">
        <f>countifs('SN02'!$F$3:$F$781,I$5,'SN02'!$D$3:$D$781,$E24,'SN02'!$G$3:$G$781,"*")</f>
        <v>0</v>
      </c>
      <c r="J24" s="52">
        <f>countifs('SN02'!$F$3:$F$781,J$5,'SN02'!$D$3:$D$781,$E24,'SN02'!$G$3:$G$781,"*")</f>
        <v>60</v>
      </c>
      <c r="K24" s="52">
        <f>countifs('SN02'!$F$3:$F$781,K$5,'SN02'!$D$3:$D$781,$E24,'SN02'!$G$3:$G$781,"*")</f>
        <v>0</v>
      </c>
      <c r="L24" s="52">
        <f>countifs('SN02'!$F$3:$F$781,L$5,'SN02'!$D$3:$D$781,$E24,'SN02'!$G$3:$G$781,"*")</f>
        <v>15</v>
      </c>
      <c r="M24" s="52">
        <f>countifs('SN02'!$F$3:$F$781,M$5,'SN02'!$D$3:$D$781,$E24,'SN02'!$G$3:$G$781,"*")</f>
        <v>15</v>
      </c>
      <c r="N24" s="52">
        <f>countifs('SN02'!$F$3:$F$781,N$5,'SN02'!$D$3:$D$781,$E24,'SN02'!$G$3:$G$781,"*")</f>
        <v>0</v>
      </c>
      <c r="O24" s="52">
        <f>countifs('SN02'!$F$3:$F$781,O$5,'SN02'!$D$3:$D$781,$E24,'SN02'!$G$3:$G$781,"*")</f>
        <v>0</v>
      </c>
      <c r="P24" s="52">
        <f>countifs('SN02'!$F$3:$F$781,P$5,'SN02'!$D$3:$D$781,$E24,'SN02'!$G$3:$G$781,"*")</f>
        <v>0</v>
      </c>
      <c r="Q24" s="52">
        <f>countifs('SN02'!$F$3:$F$781,Q$5,'SN02'!$D$3:$D$781,$E24,'SN02'!$G$3:$G$781,"*")</f>
        <v>0</v>
      </c>
      <c r="R24" s="52">
        <f>countifs('SN02'!$F$3:$F$781,R$5,'SN02'!$D$3:$D$781,$E24,'SN02'!$G$3:$G$781,"*")</f>
        <v>0</v>
      </c>
      <c r="S24" s="52">
        <f>countifs('SN02'!$F$3:$F$781,S$5,'SN02'!$D$3:$D$781,$E24,'SN02'!$G$3:$G$781,"*")</f>
        <v>0</v>
      </c>
      <c r="T24" s="52">
        <f>countifs('SN02'!$F$3:$F$781,T$5,'SN02'!$D$3:$D$781,$E24,'SN02'!$G$3:$G$781,"*")</f>
        <v>0</v>
      </c>
      <c r="U24" s="52">
        <f>countifs('SN02'!$F$3:$F$781,U$5,'SN02'!$D$3:$D$781,$E24,'SN02'!$G$3:$G$781,"*")</f>
        <v>0</v>
      </c>
      <c r="V24" s="52">
        <f>countifs('SN02'!$F$3:$F$781,V$5,'SN02'!$D$3:$D$781,$E24,'SN02'!$G$3:$G$781,"*")</f>
        <v>1</v>
      </c>
      <c r="W24" s="52">
        <f>countifs('SN02'!$F$3:$F$781,W$5,'SN02'!$D$3:$D$781,$E24,'SN02'!$G$3:$G$781,"*")</f>
        <v>0</v>
      </c>
      <c r="X24" s="52">
        <f>countifs('SN02'!$F$3:$F$781,X$5,'SN02'!$D$3:$D$781,$E24,'SN02'!$G$3:$G$781,"*")</f>
        <v>7</v>
      </c>
      <c r="Y24" s="52">
        <f>countifs('SN02'!$F$3:$F$781,Y$5,'SN02'!$D$3:$D$781,$E24,'SN02'!$G$3:$G$781,"*")</f>
        <v>31</v>
      </c>
      <c r="Z24" s="52">
        <f>countifs('SN02'!$F$3:$F$781,Z$5,'SN02'!$D$3:$D$781,$E24,'SN02'!$G$3:$G$781,"*")</f>
        <v>11</v>
      </c>
      <c r="AA24" s="52">
        <f>countifs('SN02'!$F$3:$F$781,AA$5,'SN02'!$D$3:$D$781,$E24,'SN02'!$G$3:$G$781,"*")</f>
        <v>14</v>
      </c>
      <c r="AB24" s="52">
        <f>countifs('SN02'!$F$3:$F$781,AB$5,'SN02'!$D$3:$D$781,$E24,'SN02'!$G$3:$G$781,"*")</f>
        <v>0</v>
      </c>
      <c r="AC24" s="52">
        <f>countifs('SN02'!$F$3:$F$781,AC$5,'SN02'!$D$3:$D$781,$E24,'SN02'!$G$3:$G$781,"*")</f>
        <v>0</v>
      </c>
      <c r="AD24" s="52">
        <f>countifs('SN02'!$F$3:$F$781,AD$5,'SN02'!$D$3:$D$781,$E24,'SN02'!$G$3:$G$781,"*")</f>
        <v>0</v>
      </c>
      <c r="AE24" s="52">
        <f>countifs('SN02'!$F$3:$F$781,AE$5,'SN02'!$D$3:$D$781,$E24,'SN02'!$G$3:$G$781,"*")</f>
        <v>2</v>
      </c>
      <c r="AF24" s="52">
        <f>countifs('SN02'!$F$3:$F$781,AF$5,'SN02'!$D$3:$D$781,$E24,'SN02'!$G$3:$G$781,"*")</f>
        <v>0</v>
      </c>
      <c r="AG24" s="9"/>
      <c r="AH24" s="9"/>
      <c r="AI24" s="9"/>
      <c r="AJ24" s="9"/>
      <c r="AK24" s="9"/>
    </row>
    <row r="25" ht="18.75" customHeight="1">
      <c r="A25" s="9"/>
      <c r="B25" s="49">
        <v>10.0</v>
      </c>
      <c r="C25" s="53" t="s">
        <v>195</v>
      </c>
      <c r="D25" s="39">
        <f t="shared" si="10"/>
        <v>142</v>
      </c>
      <c r="E25" s="54" t="s">
        <v>196</v>
      </c>
      <c r="F25" s="51" t="s">
        <v>14</v>
      </c>
      <c r="G25" s="52">
        <f>countifs('SN02'!$F$3:$F$781,G$5,'SN02'!$D$3:$D$781,$E25,'SN02'!$G$3:$G$781,"*")</f>
        <v>0</v>
      </c>
      <c r="H25" s="52">
        <f>countifs('SN02'!$F$3:$F$781,H$5,'SN02'!$D$3:$D$781,$E25,'SN02'!$G$3:$G$781,"*")</f>
        <v>0</v>
      </c>
      <c r="I25" s="52">
        <f>countifs('SN02'!$F$3:$F$781,I$5,'SN02'!$D$3:$D$781,$E25,'SN02'!$G$3:$G$781,"*")</f>
        <v>0</v>
      </c>
      <c r="J25" s="52">
        <f>countifs('SN02'!$F$3:$F$781,J$5,'SN02'!$D$3:$D$781,$E25,'SN02'!$G$3:$G$781,"*")</f>
        <v>0</v>
      </c>
      <c r="K25" s="52">
        <f>countifs('SN02'!$F$3:$F$781,K$5,'SN02'!$D$3:$D$781,$E25,'SN02'!$G$3:$G$781,"*")</f>
        <v>0</v>
      </c>
      <c r="L25" s="52">
        <f>countifs('SN02'!$F$3:$F$781,L$5,'SN02'!$D$3:$D$781,$E25,'SN02'!$G$3:$G$781,"*")</f>
        <v>10</v>
      </c>
      <c r="M25" s="52">
        <f>countifs('SN02'!$F$3:$F$781,M$5,'SN02'!$D$3:$D$781,$E25,'SN02'!$G$3:$G$781,"*")</f>
        <v>10</v>
      </c>
      <c r="N25" s="52">
        <f>countifs('SN02'!$F$3:$F$781,N$5,'SN02'!$D$3:$D$781,$E25,'SN02'!$G$3:$G$781,"*")</f>
        <v>10</v>
      </c>
      <c r="O25" s="52">
        <f>countifs('SN02'!$F$3:$F$781,O$5,'SN02'!$D$3:$D$781,$E25,'SN02'!$G$3:$G$781,"*")</f>
        <v>0</v>
      </c>
      <c r="P25" s="52">
        <f>countifs('SN02'!$F$3:$F$781,P$5,'SN02'!$D$3:$D$781,$E25,'SN02'!$G$3:$G$781,"*")</f>
        <v>0</v>
      </c>
      <c r="Q25" s="52">
        <f>countifs('SN02'!$F$3:$F$781,Q$5,'SN02'!$D$3:$D$781,$E25,'SN02'!$G$3:$G$781,"*")</f>
        <v>0</v>
      </c>
      <c r="R25" s="52">
        <f>countifs('SN02'!$F$3:$F$781,R$5,'SN02'!$D$3:$D$781,$E25,'SN02'!$G$3:$G$781,"*")</f>
        <v>0</v>
      </c>
      <c r="S25" s="52">
        <f>countifs('SN02'!$F$3:$F$781,S$5,'SN02'!$D$3:$D$781,$E25,'SN02'!$G$3:$G$781,"*")</f>
        <v>0</v>
      </c>
      <c r="T25" s="52">
        <f>countifs('SN02'!$F$3:$F$781,T$5,'SN02'!$D$3:$D$781,$E25,'SN02'!$G$3:$G$781,"*")</f>
        <v>0</v>
      </c>
      <c r="U25" s="52">
        <f>countifs('SN02'!$F$3:$F$781,U$5,'SN02'!$D$3:$D$781,$E25,'SN02'!$G$3:$G$781,"*")</f>
        <v>0</v>
      </c>
      <c r="V25" s="52">
        <f>countifs('SN02'!$F$3:$F$781,V$5,'SN02'!$D$3:$D$781,$E25,'SN02'!$G$3:$G$781,"*")</f>
        <v>0</v>
      </c>
      <c r="W25" s="52">
        <f>countifs('SN02'!$F$3:$F$781,W$5,'SN02'!$D$3:$D$781,$E25,'SN02'!$G$3:$G$781,"*")</f>
        <v>0</v>
      </c>
      <c r="X25" s="52">
        <f>countifs('SN02'!$F$3:$F$781,X$5,'SN02'!$D$3:$D$781,$E25,'SN02'!$G$3:$G$781,"*")</f>
        <v>0</v>
      </c>
      <c r="Y25" s="52">
        <f>countifs('SN02'!$F$3:$F$781,Y$5,'SN02'!$D$3:$D$781,$E25,'SN02'!$G$3:$G$781,"*")</f>
        <v>27</v>
      </c>
      <c r="Z25" s="52">
        <f>countifs('SN02'!$F$3:$F$781,Z$5,'SN02'!$D$3:$D$781,$E25,'SN02'!$G$3:$G$781,"*")</f>
        <v>23</v>
      </c>
      <c r="AA25" s="52">
        <f>countifs('SN02'!$F$3:$F$781,AA$5,'SN02'!$D$3:$D$781,$E25,'SN02'!$G$3:$G$781,"*")</f>
        <v>40</v>
      </c>
      <c r="AB25" s="52">
        <f>countifs('SN02'!$F$3:$F$781,AB$5,'SN02'!$D$3:$D$781,$E25,'SN02'!$G$3:$G$781,"*")</f>
        <v>11</v>
      </c>
      <c r="AC25" s="52">
        <f>countifs('SN02'!$F$3:$F$781,AC$5,'SN02'!$D$3:$D$781,$E25,'SN02'!$G$3:$G$781,"*")</f>
        <v>11</v>
      </c>
      <c r="AD25" s="52">
        <f>countifs('SN02'!$F$3:$F$781,AD$5,'SN02'!$D$3:$D$781,$E25,'SN02'!$G$3:$G$781,"*")</f>
        <v>0</v>
      </c>
      <c r="AE25" s="52">
        <f>countifs('SN02'!$F$3:$F$781,AE$5,'SN02'!$D$3:$D$781,$E25,'SN02'!$G$3:$G$781,"*")</f>
        <v>0</v>
      </c>
      <c r="AF25" s="52">
        <f>countifs('SN02'!$F$3:$F$781,AF$5,'SN02'!$D$3:$D$781,$E25,'SN02'!$G$3:$G$781,"*")</f>
        <v>0</v>
      </c>
      <c r="AG25" s="9"/>
      <c r="AH25" s="9"/>
      <c r="AI25" s="9"/>
      <c r="AJ25" s="9"/>
      <c r="AK25" s="9"/>
    </row>
    <row r="26" ht="18.75" customHeight="1">
      <c r="A26" s="9"/>
      <c r="B26" s="49">
        <v>11.0</v>
      </c>
      <c r="C26" s="53" t="s">
        <v>197</v>
      </c>
      <c r="D26" s="39">
        <f t="shared" si="10"/>
        <v>129</v>
      </c>
      <c r="E26" s="56" t="s">
        <v>198</v>
      </c>
      <c r="F26" s="51" t="s">
        <v>14</v>
      </c>
      <c r="G26" s="52">
        <f>countifs('SN02'!$F$3:$F$781,G$5,'SN02'!$D$3:$D$781,$E26,'SN02'!$G$3:$G$781,"*")</f>
        <v>0</v>
      </c>
      <c r="H26" s="52">
        <f>countifs('SN02'!$F$3:$F$781,H$5,'SN02'!$D$3:$D$781,$E26,'SN02'!$G$3:$G$781,"*")</f>
        <v>0</v>
      </c>
      <c r="I26" s="52">
        <f>countifs('SN02'!$F$3:$F$781,I$5,'SN02'!$D$3:$D$781,$E26,'SN02'!$G$3:$G$781,"*")</f>
        <v>0</v>
      </c>
      <c r="J26" s="52">
        <f>countifs('SN02'!$F$3:$F$781,J$5,'SN02'!$D$3:$D$781,$E26,'SN02'!$G$3:$G$781,"*")</f>
        <v>14</v>
      </c>
      <c r="K26" s="52">
        <f>countifs('SN02'!$F$3:$F$781,K$5,'SN02'!$D$3:$D$781,$E26,'SN02'!$G$3:$G$781,"*")</f>
        <v>29</v>
      </c>
      <c r="L26" s="52">
        <f>countifs('SN02'!$F$3:$F$781,L$5,'SN02'!$D$3:$D$781,$E26,'SN02'!$G$3:$G$781,"*")</f>
        <v>12</v>
      </c>
      <c r="M26" s="52">
        <f>countifs('SN02'!$F$3:$F$781,M$5,'SN02'!$D$3:$D$781,$E26,'SN02'!$G$3:$G$781,"*")</f>
        <v>14</v>
      </c>
      <c r="N26" s="52">
        <f>countifs('SN02'!$F$3:$F$781,N$5,'SN02'!$D$3:$D$781,$E26,'SN02'!$G$3:$G$781,"*")</f>
        <v>5</v>
      </c>
      <c r="O26" s="52">
        <f>countifs('SN02'!$F$3:$F$781,O$5,'SN02'!$D$3:$D$781,$E26,'SN02'!$G$3:$G$781,"*")</f>
        <v>0</v>
      </c>
      <c r="P26" s="52">
        <f>countifs('SN02'!$F$3:$F$781,P$5,'SN02'!$D$3:$D$781,$E26,'SN02'!$G$3:$G$781,"*")</f>
        <v>0</v>
      </c>
      <c r="Q26" s="52">
        <f>countifs('SN02'!$F$3:$F$781,Q$5,'SN02'!$D$3:$D$781,$E26,'SN02'!$G$3:$G$781,"*")</f>
        <v>0</v>
      </c>
      <c r="R26" s="52">
        <f>countifs('SN02'!$F$3:$F$781,R$5,'SN02'!$D$3:$D$781,$E26,'SN02'!$G$3:$G$781,"*")</f>
        <v>0</v>
      </c>
      <c r="S26" s="52">
        <f>countifs('SN02'!$F$3:$F$781,S$5,'SN02'!$D$3:$D$781,$E26,'SN02'!$G$3:$G$781,"*")</f>
        <v>0</v>
      </c>
      <c r="T26" s="52">
        <f>countifs('SN02'!$F$3:$F$781,T$5,'SN02'!$D$3:$D$781,$E26,'SN02'!$G$3:$G$781,"*")</f>
        <v>0</v>
      </c>
      <c r="U26" s="52">
        <f>countifs('SN02'!$F$3:$F$781,U$5,'SN02'!$D$3:$D$781,$E26,'SN02'!$G$3:$G$781,"*")</f>
        <v>0</v>
      </c>
      <c r="V26" s="52">
        <f>countifs('SN02'!$F$3:$F$781,V$5,'SN02'!$D$3:$D$781,$E26,'SN02'!$G$3:$G$781,"*")</f>
        <v>0</v>
      </c>
      <c r="W26" s="52">
        <f>countifs('SN02'!$F$3:$F$781,W$5,'SN02'!$D$3:$D$781,$E26,'SN02'!$G$3:$G$781,"*")</f>
        <v>0</v>
      </c>
      <c r="X26" s="52">
        <f>countifs('SN02'!$F$3:$F$781,X$5,'SN02'!$D$3:$D$781,$E26,'SN02'!$G$3:$G$781,"*")</f>
        <v>0</v>
      </c>
      <c r="Y26" s="52">
        <f>countifs('SN02'!$F$3:$F$781,Y$5,'SN02'!$D$3:$D$781,$E26,'SN02'!$G$3:$G$781,"*")</f>
        <v>20</v>
      </c>
      <c r="Z26" s="52">
        <f>countifs('SN02'!$F$3:$F$781,Z$5,'SN02'!$D$3:$D$781,$E26,'SN02'!$G$3:$G$781,"*")</f>
        <v>10</v>
      </c>
      <c r="AA26" s="52">
        <f>countifs('SN02'!$F$3:$F$781,AA$5,'SN02'!$D$3:$D$781,$E26,'SN02'!$G$3:$G$781,"*")</f>
        <v>15</v>
      </c>
      <c r="AB26" s="52">
        <f>countifs('SN02'!$F$3:$F$781,AB$5,'SN02'!$D$3:$D$781,$E26,'SN02'!$G$3:$G$781,"*")</f>
        <v>10</v>
      </c>
      <c r="AC26" s="52">
        <f>countifs('SN02'!$F$3:$F$781,AC$5,'SN02'!$D$3:$D$781,$E26,'SN02'!$G$3:$G$781,"*")</f>
        <v>0</v>
      </c>
      <c r="AD26" s="52">
        <f>countifs('SN02'!$F$3:$F$781,AD$5,'SN02'!$D$3:$D$781,$E26,'SN02'!$G$3:$G$781,"*")</f>
        <v>0</v>
      </c>
      <c r="AE26" s="52">
        <f>countifs('SN02'!$F$3:$F$781,AE$5,'SN02'!$D$3:$D$781,$E26,'SN02'!$G$3:$G$781,"*")</f>
        <v>0</v>
      </c>
      <c r="AF26" s="52">
        <f>countifs('SN02'!$F$3:$F$781,AF$5,'SN02'!$D$3:$D$781,$E26,'SN02'!$G$3:$G$781,"*")</f>
        <v>0</v>
      </c>
      <c r="AG26" s="9"/>
      <c r="AH26" s="9"/>
      <c r="AI26" s="9"/>
      <c r="AJ26" s="9"/>
      <c r="AK26" s="9"/>
    </row>
    <row r="27" ht="18.75" customHeight="1">
      <c r="A27" s="9"/>
      <c r="B27" s="49">
        <v>12.0</v>
      </c>
      <c r="C27" s="50" t="s">
        <v>199</v>
      </c>
      <c r="D27" s="39">
        <f t="shared" si="10"/>
        <v>53</v>
      </c>
      <c r="E27" s="51" t="s">
        <v>200</v>
      </c>
      <c r="F27" s="51" t="s">
        <v>14</v>
      </c>
      <c r="G27" s="52">
        <f>countifs('SN02'!$F$3:$F$781,G$5,'SN02'!$D$3:$D$781,$E27,'SN02'!$G$3:$G$781,"*")</f>
        <v>0</v>
      </c>
      <c r="H27" s="52">
        <f>countifs('SN02'!$F$3:$F$781,H$5,'SN02'!$D$3:$D$781,$E27,'SN02'!$G$3:$G$781,"*")</f>
        <v>0</v>
      </c>
      <c r="I27" s="52">
        <f>countifs('SN02'!$F$3:$F$781,I$5,'SN02'!$D$3:$D$781,$E27,'SN02'!$G$3:$G$781,"*")</f>
        <v>0</v>
      </c>
      <c r="J27" s="52">
        <f>countifs('SN02'!$F$3:$F$781,J$5,'SN02'!$D$3:$D$781,$E27,'SN02'!$G$3:$G$781,"*")</f>
        <v>0</v>
      </c>
      <c r="K27" s="52">
        <f>countifs('SN02'!$F$3:$F$781,K$5,'SN02'!$D$3:$D$781,$E27,'SN02'!$G$3:$G$781,"*")</f>
        <v>0</v>
      </c>
      <c r="L27" s="52">
        <f>countifs('SN02'!$F$3:$F$781,L$5,'SN02'!$D$3:$D$781,$E27,'SN02'!$G$3:$G$781,"*")</f>
        <v>8</v>
      </c>
      <c r="M27" s="52">
        <f>countifs('SN02'!$F$3:$F$781,M$5,'SN02'!$D$3:$D$781,$E27,'SN02'!$G$3:$G$781,"*")</f>
        <v>4</v>
      </c>
      <c r="N27" s="52">
        <f>countifs('SN02'!$F$3:$F$781,N$5,'SN02'!$D$3:$D$781,$E27,'SN02'!$G$3:$G$781,"*")</f>
        <v>2</v>
      </c>
      <c r="O27" s="52">
        <f>countifs('SN02'!$F$3:$F$781,O$5,'SN02'!$D$3:$D$781,$E27,'SN02'!$G$3:$G$781,"*")</f>
        <v>0</v>
      </c>
      <c r="P27" s="52">
        <f>countifs('SN02'!$F$3:$F$781,P$5,'SN02'!$D$3:$D$781,$E27,'SN02'!$G$3:$G$781,"*")</f>
        <v>0</v>
      </c>
      <c r="Q27" s="52">
        <f>countifs('SN02'!$F$3:$F$781,Q$5,'SN02'!$D$3:$D$781,$E27,'SN02'!$G$3:$G$781,"*")</f>
        <v>0</v>
      </c>
      <c r="R27" s="52">
        <f>countifs('SN02'!$F$3:$F$781,R$5,'SN02'!$D$3:$D$781,$E27,'SN02'!$G$3:$G$781,"*")</f>
        <v>0</v>
      </c>
      <c r="S27" s="52">
        <f>countifs('SN02'!$F$3:$F$781,S$5,'SN02'!$D$3:$D$781,$E27,'SN02'!$G$3:$G$781,"*")</f>
        <v>0</v>
      </c>
      <c r="T27" s="52">
        <f>countifs('SN02'!$F$3:$F$781,T$5,'SN02'!$D$3:$D$781,$E27,'SN02'!$G$3:$G$781,"*")</f>
        <v>0</v>
      </c>
      <c r="U27" s="52">
        <f>countifs('SN02'!$F$3:$F$781,U$5,'SN02'!$D$3:$D$781,$E27,'SN02'!$G$3:$G$781,"*")</f>
        <v>0</v>
      </c>
      <c r="V27" s="52">
        <f>countifs('SN02'!$F$3:$F$781,V$5,'SN02'!$D$3:$D$781,$E27,'SN02'!$G$3:$G$781,"*")</f>
        <v>0</v>
      </c>
      <c r="W27" s="52">
        <f>countifs('SN02'!$F$3:$F$781,W$5,'SN02'!$D$3:$D$781,$E27,'SN02'!$G$3:$G$781,"*")</f>
        <v>0</v>
      </c>
      <c r="X27" s="52">
        <f>countifs('SN02'!$F$3:$F$781,X$5,'SN02'!$D$3:$D$781,$E27,'SN02'!$G$3:$G$781,"*")</f>
        <v>0</v>
      </c>
      <c r="Y27" s="52">
        <f>countifs('SN02'!$F$3:$F$781,Y$5,'SN02'!$D$3:$D$781,$E27,'SN02'!$G$3:$G$781,"*")</f>
        <v>4</v>
      </c>
      <c r="Z27" s="52">
        <f>countifs('SN02'!$F$3:$F$781,Z$5,'SN02'!$D$3:$D$781,$E27,'SN02'!$G$3:$G$781,"*")</f>
        <v>16</v>
      </c>
      <c r="AA27" s="52">
        <f>countifs('SN02'!$F$3:$F$781,AA$5,'SN02'!$D$3:$D$781,$E27,'SN02'!$G$3:$G$781,"*")</f>
        <v>9</v>
      </c>
      <c r="AB27" s="52">
        <f>countifs('SN02'!$F$3:$F$781,AB$5,'SN02'!$D$3:$D$781,$E27,'SN02'!$G$3:$G$781,"*")</f>
        <v>1</v>
      </c>
      <c r="AC27" s="52">
        <f>countifs('SN02'!$F$3:$F$781,AC$5,'SN02'!$D$3:$D$781,$E27,'SN02'!$G$3:$G$781,"*")</f>
        <v>7</v>
      </c>
      <c r="AD27" s="52">
        <f>countifs('SN02'!$F$3:$F$781,AD$5,'SN02'!$D$3:$D$781,$E27,'SN02'!$G$3:$G$781,"*")</f>
        <v>2</v>
      </c>
      <c r="AE27" s="52">
        <f>countifs('SN02'!$F$3:$F$781,AE$5,'SN02'!$D$3:$D$781,$E27,'SN02'!$G$3:$G$781,"*")</f>
        <v>0</v>
      </c>
      <c r="AF27" s="52">
        <f>countifs('SN02'!$F$3:$F$781,AF$5,'SN02'!$D$3:$D$781,$E27,'SN02'!$G$3:$G$781,"*")</f>
        <v>0</v>
      </c>
      <c r="AG27" s="9"/>
      <c r="AH27" s="9"/>
      <c r="AI27" s="9"/>
      <c r="AJ27" s="9"/>
      <c r="AK27" s="9"/>
    </row>
    <row r="28" ht="18.75" customHeight="1">
      <c r="A28" s="9"/>
      <c r="B28" s="49">
        <v>13.0</v>
      </c>
      <c r="C28" s="57" t="s">
        <v>201</v>
      </c>
      <c r="D28" s="39">
        <f t="shared" si="10"/>
        <v>64</v>
      </c>
      <c r="E28" s="51" t="s">
        <v>202</v>
      </c>
      <c r="F28" s="51" t="s">
        <v>14</v>
      </c>
      <c r="G28" s="52">
        <f>countifs('SN02'!$F$3:$F$781,G$5,'SN02'!$D$3:$D$781,$E28,'SN02'!$G$3:$G$781,"*")</f>
        <v>0</v>
      </c>
      <c r="H28" s="52">
        <f>countifs('SN02'!$F$3:$F$781,H$5,'SN02'!$D$3:$D$781,$E28,'SN02'!$G$3:$G$781,"*")</f>
        <v>0</v>
      </c>
      <c r="I28" s="52">
        <f>countifs('SN02'!$F$3:$F$781,I$5,'SN02'!$D$3:$D$781,$E28,'SN02'!$G$3:$G$781,"*")</f>
        <v>0</v>
      </c>
      <c r="J28" s="52">
        <f>countifs('SN02'!$F$3:$F$781,J$5,'SN02'!$D$3:$D$781,$E28,'SN02'!$G$3:$G$781,"*")</f>
        <v>0</v>
      </c>
      <c r="K28" s="52">
        <f>countifs('SN02'!$F$3:$F$781,K$5,'SN02'!$D$3:$D$781,$E28,'SN02'!$G$3:$G$781,"*")</f>
        <v>0</v>
      </c>
      <c r="L28" s="52">
        <f>countifs('SN02'!$F$3:$F$781,L$5,'SN02'!$D$3:$D$781,$E28,'SN02'!$G$3:$G$781,"*")</f>
        <v>1</v>
      </c>
      <c r="M28" s="52">
        <f>countifs('SN02'!$F$3:$F$781,M$5,'SN02'!$D$3:$D$781,$E28,'SN02'!$G$3:$G$781,"*")</f>
        <v>0</v>
      </c>
      <c r="N28" s="52">
        <f>countifs('SN02'!$F$3:$F$781,N$5,'SN02'!$D$3:$D$781,$E28,'SN02'!$G$3:$G$781,"*")</f>
        <v>0</v>
      </c>
      <c r="O28" s="52">
        <f>countifs('SN02'!$F$3:$F$781,O$5,'SN02'!$D$3:$D$781,$E28,'SN02'!$G$3:$G$781,"*")</f>
        <v>0</v>
      </c>
      <c r="P28" s="52">
        <f>countifs('SN02'!$F$3:$F$781,P$5,'SN02'!$D$3:$D$781,$E28,'SN02'!$G$3:$G$781,"*")</f>
        <v>0</v>
      </c>
      <c r="Q28" s="52">
        <f>countifs('SN02'!$F$3:$F$781,Q$5,'SN02'!$D$3:$D$781,$E28,'SN02'!$G$3:$G$781,"*")</f>
        <v>0</v>
      </c>
      <c r="R28" s="52">
        <f>countifs('SN02'!$F$3:$F$781,R$5,'SN02'!$D$3:$D$781,$E28,'SN02'!$G$3:$G$781,"*")</f>
        <v>0</v>
      </c>
      <c r="S28" s="52">
        <f>countifs('SN02'!$F$3:$F$781,S$5,'SN02'!$D$3:$D$781,$E28,'SN02'!$G$3:$G$781,"*")</f>
        <v>0</v>
      </c>
      <c r="T28" s="52">
        <f>countifs('SN02'!$F$3:$F$781,T$5,'SN02'!$D$3:$D$781,$E28,'SN02'!$G$3:$G$781,"*")</f>
        <v>0</v>
      </c>
      <c r="U28" s="52">
        <f>countifs('SN02'!$F$3:$F$781,U$5,'SN02'!$D$3:$D$781,$E28,'SN02'!$G$3:$G$781,"*")</f>
        <v>0</v>
      </c>
      <c r="V28" s="52">
        <f>countifs('SN02'!$F$3:$F$781,V$5,'SN02'!$D$3:$D$781,$E28,'SN02'!$G$3:$G$781,"*")</f>
        <v>0</v>
      </c>
      <c r="W28" s="52">
        <f>countifs('SN02'!$F$3:$F$781,W$5,'SN02'!$D$3:$D$781,$E28,'SN02'!$G$3:$G$781,"*")</f>
        <v>0</v>
      </c>
      <c r="X28" s="52">
        <f>countifs('SN02'!$F$3:$F$781,X$5,'SN02'!$D$3:$D$781,$E28,'SN02'!$G$3:$G$781,"*")</f>
        <v>0</v>
      </c>
      <c r="Y28" s="52">
        <f>countifs('SN02'!$F$3:$F$781,Y$5,'SN02'!$D$3:$D$781,$E28,'SN02'!$G$3:$G$781,"*")</f>
        <v>0</v>
      </c>
      <c r="Z28" s="52">
        <f>countifs('SN02'!$F$3:$F$781,Z$5,'SN02'!$D$3:$D$781,$E28,'SN02'!$G$3:$G$781,"*")</f>
        <v>19</v>
      </c>
      <c r="AA28" s="52">
        <f>countifs('SN02'!$F$3:$F$781,AA$5,'SN02'!$D$3:$D$781,$E28,'SN02'!$G$3:$G$781,"*")</f>
        <v>2</v>
      </c>
      <c r="AB28" s="52">
        <f>countifs('SN02'!$F$3:$F$781,AB$5,'SN02'!$D$3:$D$781,$E28,'SN02'!$G$3:$G$781,"*")</f>
        <v>15</v>
      </c>
      <c r="AC28" s="52">
        <f>countifs('SN02'!$F$3:$F$781,AC$5,'SN02'!$D$3:$D$781,$E28,'SN02'!$G$3:$G$781,"*")</f>
        <v>20</v>
      </c>
      <c r="AD28" s="52">
        <f>countifs('SN02'!$F$3:$F$781,AD$5,'SN02'!$D$3:$D$781,$E28,'SN02'!$G$3:$G$781,"*")</f>
        <v>0</v>
      </c>
      <c r="AE28" s="52">
        <f>countifs('SN02'!$F$3:$F$781,AE$5,'SN02'!$D$3:$D$781,$E28,'SN02'!$G$3:$G$781,"*")</f>
        <v>0</v>
      </c>
      <c r="AF28" s="52">
        <f>countifs('SN02'!$F$3:$F$781,AF$5,'SN02'!$D$3:$D$781,$E28,'SN02'!$G$3:$G$781,"*")</f>
        <v>7</v>
      </c>
      <c r="AG28" s="9"/>
      <c r="AH28" s="9"/>
      <c r="AI28" s="9"/>
      <c r="AJ28" s="9"/>
      <c r="AK28" s="9"/>
    </row>
    <row r="29" ht="18.75" customHeight="1">
      <c r="A29" s="9"/>
      <c r="B29" s="39">
        <v>15.0</v>
      </c>
      <c r="C29" s="47" t="s">
        <v>203</v>
      </c>
      <c r="D29" s="39">
        <f t="shared" si="10"/>
        <v>0</v>
      </c>
      <c r="E29" s="48" t="s">
        <v>204</v>
      </c>
      <c r="F29" s="44" t="s">
        <v>174</v>
      </c>
      <c r="G29" s="43">
        <f t="shared" ref="G29:AF29" si="17">countifs('SN03'!$F$3:$F$2000,G$5,'SN03'!$D$3:$D$2000,$E29,'SN03'!$G$3:$G$2000,"*")</f>
        <v>0</v>
      </c>
      <c r="H29" s="43">
        <f t="shared" si="17"/>
        <v>0</v>
      </c>
      <c r="I29" s="43">
        <f t="shared" si="17"/>
        <v>0</v>
      </c>
      <c r="J29" s="43">
        <f t="shared" si="17"/>
        <v>0</v>
      </c>
      <c r="K29" s="43">
        <f t="shared" si="17"/>
        <v>0</v>
      </c>
      <c r="L29" s="43">
        <f t="shared" si="17"/>
        <v>0</v>
      </c>
      <c r="M29" s="43">
        <f t="shared" si="17"/>
        <v>0</v>
      </c>
      <c r="N29" s="43">
        <f t="shared" si="17"/>
        <v>0</v>
      </c>
      <c r="O29" s="43">
        <f t="shared" si="17"/>
        <v>0</v>
      </c>
      <c r="P29" s="43">
        <f t="shared" si="17"/>
        <v>0</v>
      </c>
      <c r="Q29" s="43">
        <f t="shared" si="17"/>
        <v>0</v>
      </c>
      <c r="R29" s="43">
        <f t="shared" si="17"/>
        <v>0</v>
      </c>
      <c r="S29" s="43">
        <f t="shared" si="17"/>
        <v>0</v>
      </c>
      <c r="T29" s="43">
        <f t="shared" si="17"/>
        <v>0</v>
      </c>
      <c r="U29" s="43">
        <f t="shared" si="17"/>
        <v>0</v>
      </c>
      <c r="V29" s="43">
        <f t="shared" si="17"/>
        <v>0</v>
      </c>
      <c r="W29" s="43">
        <f t="shared" si="17"/>
        <v>0</v>
      </c>
      <c r="X29" s="43">
        <f t="shared" si="17"/>
        <v>0</v>
      </c>
      <c r="Y29" s="43">
        <f t="shared" si="17"/>
        <v>0</v>
      </c>
      <c r="Z29" s="43">
        <f t="shared" si="17"/>
        <v>0</v>
      </c>
      <c r="AA29" s="43">
        <f t="shared" si="17"/>
        <v>0</v>
      </c>
      <c r="AB29" s="43">
        <f t="shared" si="17"/>
        <v>0</v>
      </c>
      <c r="AC29" s="43">
        <f t="shared" si="17"/>
        <v>0</v>
      </c>
      <c r="AD29" s="43">
        <f t="shared" si="17"/>
        <v>0</v>
      </c>
      <c r="AE29" s="43">
        <f t="shared" si="17"/>
        <v>0</v>
      </c>
      <c r="AF29" s="43">
        <f t="shared" si="17"/>
        <v>0</v>
      </c>
      <c r="AG29" s="9"/>
      <c r="AH29" s="9"/>
      <c r="AI29" s="9"/>
      <c r="AJ29" s="9"/>
      <c r="AK29" s="9"/>
    </row>
    <row r="30" ht="15.75" customHeight="1">
      <c r="A30" s="9"/>
      <c r="B30" s="52">
        <v>16.0</v>
      </c>
      <c r="C30" s="49"/>
      <c r="D30" s="39">
        <f t="shared" si="10"/>
        <v>0</v>
      </c>
      <c r="E30" s="51" t="s">
        <v>205</v>
      </c>
      <c r="F30" s="58" t="s">
        <v>175</v>
      </c>
      <c r="G30" s="49">
        <f t="shared" ref="G30:AF30" si="18">countifs('SN04'!$F$2:$F$7926,G$5,'SN04'!$D$2:$D$7926,$E30,'SN04'!$G$2:$G$7926,"*")</f>
        <v>0</v>
      </c>
      <c r="H30" s="49">
        <f t="shared" si="18"/>
        <v>0</v>
      </c>
      <c r="I30" s="49">
        <f t="shared" si="18"/>
        <v>0</v>
      </c>
      <c r="J30" s="49">
        <f t="shared" si="18"/>
        <v>0</v>
      </c>
      <c r="K30" s="49">
        <f t="shared" si="18"/>
        <v>0</v>
      </c>
      <c r="L30" s="49">
        <f t="shared" si="18"/>
        <v>0</v>
      </c>
      <c r="M30" s="49">
        <f t="shared" si="18"/>
        <v>0</v>
      </c>
      <c r="N30" s="49">
        <f t="shared" si="18"/>
        <v>0</v>
      </c>
      <c r="O30" s="49">
        <f t="shared" si="18"/>
        <v>0</v>
      </c>
      <c r="P30" s="49">
        <f t="shared" si="18"/>
        <v>0</v>
      </c>
      <c r="Q30" s="49">
        <f t="shared" si="18"/>
        <v>0</v>
      </c>
      <c r="R30" s="49">
        <f t="shared" si="18"/>
        <v>0</v>
      </c>
      <c r="S30" s="49">
        <f t="shared" si="18"/>
        <v>0</v>
      </c>
      <c r="T30" s="49">
        <f t="shared" si="18"/>
        <v>0</v>
      </c>
      <c r="U30" s="49">
        <f t="shared" si="18"/>
        <v>0</v>
      </c>
      <c r="V30" s="49">
        <f t="shared" si="18"/>
        <v>0</v>
      </c>
      <c r="W30" s="49">
        <f t="shared" si="18"/>
        <v>0</v>
      </c>
      <c r="X30" s="49">
        <f t="shared" si="18"/>
        <v>0</v>
      </c>
      <c r="Y30" s="49">
        <f t="shared" si="18"/>
        <v>0</v>
      </c>
      <c r="Z30" s="49">
        <f t="shared" si="18"/>
        <v>0</v>
      </c>
      <c r="AA30" s="49">
        <f t="shared" si="18"/>
        <v>0</v>
      </c>
      <c r="AB30" s="49">
        <f t="shared" si="18"/>
        <v>0</v>
      </c>
      <c r="AC30" s="49">
        <f t="shared" si="18"/>
        <v>0</v>
      </c>
      <c r="AD30" s="49">
        <f t="shared" si="18"/>
        <v>0</v>
      </c>
      <c r="AE30" s="49">
        <f t="shared" si="18"/>
        <v>0</v>
      </c>
      <c r="AF30" s="49">
        <f t="shared" si="18"/>
        <v>0</v>
      </c>
      <c r="AG30" s="9"/>
      <c r="AH30" s="9"/>
      <c r="AI30" s="9"/>
      <c r="AJ30" s="9"/>
      <c r="AK30" s="9"/>
    </row>
    <row r="31" ht="15.75" customHeight="1">
      <c r="A31" s="9"/>
      <c r="B31" s="49">
        <v>17.0</v>
      </c>
      <c r="C31" s="59" t="s">
        <v>206</v>
      </c>
      <c r="D31" s="39">
        <f t="shared" si="10"/>
        <v>0</v>
      </c>
      <c r="E31" s="54" t="s">
        <v>207</v>
      </c>
      <c r="F31" s="58" t="s">
        <v>175</v>
      </c>
      <c r="G31" s="49">
        <f t="shared" ref="G31:AF31" si="19">countifs('SN04'!$F$2:$F$7926,G$5,'SN04'!$D$2:$D$7926,$E31,'SN04'!$G$2:$G$7926,"*")</f>
        <v>0</v>
      </c>
      <c r="H31" s="49">
        <f t="shared" si="19"/>
        <v>0</v>
      </c>
      <c r="I31" s="49">
        <f t="shared" si="19"/>
        <v>0</v>
      </c>
      <c r="J31" s="49">
        <f t="shared" si="19"/>
        <v>0</v>
      </c>
      <c r="K31" s="49">
        <f t="shared" si="19"/>
        <v>0</v>
      </c>
      <c r="L31" s="49">
        <f t="shared" si="19"/>
        <v>0</v>
      </c>
      <c r="M31" s="49">
        <f t="shared" si="19"/>
        <v>0</v>
      </c>
      <c r="N31" s="49">
        <f t="shared" si="19"/>
        <v>0</v>
      </c>
      <c r="O31" s="49">
        <f t="shared" si="19"/>
        <v>0</v>
      </c>
      <c r="P31" s="49">
        <f t="shared" si="19"/>
        <v>0</v>
      </c>
      <c r="Q31" s="49">
        <f t="shared" si="19"/>
        <v>0</v>
      </c>
      <c r="R31" s="49">
        <f t="shared" si="19"/>
        <v>0</v>
      </c>
      <c r="S31" s="49">
        <f t="shared" si="19"/>
        <v>0</v>
      </c>
      <c r="T31" s="49">
        <f t="shared" si="19"/>
        <v>0</v>
      </c>
      <c r="U31" s="49">
        <f t="shared" si="19"/>
        <v>0</v>
      </c>
      <c r="V31" s="49">
        <f t="shared" si="19"/>
        <v>0</v>
      </c>
      <c r="W31" s="49">
        <f t="shared" si="19"/>
        <v>0</v>
      </c>
      <c r="X31" s="49">
        <f t="shared" si="19"/>
        <v>0</v>
      </c>
      <c r="Y31" s="49">
        <f t="shared" si="19"/>
        <v>0</v>
      </c>
      <c r="Z31" s="49">
        <f t="shared" si="19"/>
        <v>0</v>
      </c>
      <c r="AA31" s="49">
        <f t="shared" si="19"/>
        <v>0</v>
      </c>
      <c r="AB31" s="49">
        <f t="shared" si="19"/>
        <v>0</v>
      </c>
      <c r="AC31" s="49">
        <f t="shared" si="19"/>
        <v>0</v>
      </c>
      <c r="AD31" s="49">
        <f t="shared" si="19"/>
        <v>0</v>
      </c>
      <c r="AE31" s="49">
        <f t="shared" si="19"/>
        <v>0</v>
      </c>
      <c r="AF31" s="49">
        <f t="shared" si="19"/>
        <v>0</v>
      </c>
      <c r="AG31" s="9"/>
      <c r="AH31" s="9"/>
      <c r="AI31" s="9"/>
      <c r="AJ31" s="9"/>
      <c r="AK31" s="9"/>
    </row>
    <row r="32" ht="15.75" customHeight="1">
      <c r="A32" s="9"/>
      <c r="B32" s="49">
        <v>18.0</v>
      </c>
      <c r="C32" s="49" t="s">
        <v>208</v>
      </c>
      <c r="D32" s="39">
        <f t="shared" si="10"/>
        <v>0</v>
      </c>
      <c r="E32" s="58" t="s">
        <v>209</v>
      </c>
      <c r="F32" s="58" t="s">
        <v>175</v>
      </c>
      <c r="G32" s="49">
        <f t="shared" ref="G32:AF32" si="20">countifs('SN04'!$F$2:$F$7926,G$5,'SN04'!$D$2:$D$7926,$E32,'SN04'!$G$2:$G$7926,"*")</f>
        <v>0</v>
      </c>
      <c r="H32" s="49">
        <f t="shared" si="20"/>
        <v>0</v>
      </c>
      <c r="I32" s="49">
        <f t="shared" si="20"/>
        <v>0</v>
      </c>
      <c r="J32" s="49">
        <f t="shared" si="20"/>
        <v>0</v>
      </c>
      <c r="K32" s="49">
        <f t="shared" si="20"/>
        <v>0</v>
      </c>
      <c r="L32" s="49">
        <f t="shared" si="20"/>
        <v>0</v>
      </c>
      <c r="M32" s="49">
        <f t="shared" si="20"/>
        <v>0</v>
      </c>
      <c r="N32" s="49">
        <f t="shared" si="20"/>
        <v>0</v>
      </c>
      <c r="O32" s="49">
        <f t="shared" si="20"/>
        <v>0</v>
      </c>
      <c r="P32" s="49">
        <f t="shared" si="20"/>
        <v>0</v>
      </c>
      <c r="Q32" s="49">
        <f t="shared" si="20"/>
        <v>0</v>
      </c>
      <c r="R32" s="49">
        <f t="shared" si="20"/>
        <v>0</v>
      </c>
      <c r="S32" s="49">
        <f t="shared" si="20"/>
        <v>0</v>
      </c>
      <c r="T32" s="49">
        <f t="shared" si="20"/>
        <v>0</v>
      </c>
      <c r="U32" s="49">
        <f t="shared" si="20"/>
        <v>0</v>
      </c>
      <c r="V32" s="49">
        <f t="shared" si="20"/>
        <v>0</v>
      </c>
      <c r="W32" s="49">
        <f t="shared" si="20"/>
        <v>0</v>
      </c>
      <c r="X32" s="49">
        <f t="shared" si="20"/>
        <v>0</v>
      </c>
      <c r="Y32" s="49">
        <f t="shared" si="20"/>
        <v>0</v>
      </c>
      <c r="Z32" s="49">
        <f t="shared" si="20"/>
        <v>0</v>
      </c>
      <c r="AA32" s="49">
        <f t="shared" si="20"/>
        <v>0</v>
      </c>
      <c r="AB32" s="49">
        <f t="shared" si="20"/>
        <v>0</v>
      </c>
      <c r="AC32" s="49">
        <f t="shared" si="20"/>
        <v>0</v>
      </c>
      <c r="AD32" s="49">
        <f t="shared" si="20"/>
        <v>0</v>
      </c>
      <c r="AE32" s="49">
        <f t="shared" si="20"/>
        <v>0</v>
      </c>
      <c r="AF32" s="49">
        <f t="shared" si="20"/>
        <v>0</v>
      </c>
      <c r="AG32" s="9"/>
      <c r="AH32" s="9"/>
      <c r="AI32" s="9"/>
      <c r="AJ32" s="9"/>
      <c r="AK32" s="9"/>
    </row>
    <row r="33" ht="15.75" customHeight="1">
      <c r="A33" s="9"/>
      <c r="B33" s="49">
        <v>19.0</v>
      </c>
      <c r="C33" s="49" t="s">
        <v>210</v>
      </c>
      <c r="D33" s="39">
        <f t="shared" si="10"/>
        <v>0</v>
      </c>
      <c r="E33" s="51" t="s">
        <v>211</v>
      </c>
      <c r="F33" s="58" t="s">
        <v>175</v>
      </c>
      <c r="G33" s="49">
        <f t="shared" ref="G33:AF33" si="21">countifs('SN04'!$F$2:$F$7926,G$5,'SN04'!$D$2:$D$7926,$E33,'SN04'!$G$2:$G$7926,"*")</f>
        <v>0</v>
      </c>
      <c r="H33" s="49">
        <f t="shared" si="21"/>
        <v>0</v>
      </c>
      <c r="I33" s="49">
        <f t="shared" si="21"/>
        <v>0</v>
      </c>
      <c r="J33" s="49">
        <f t="shared" si="21"/>
        <v>0</v>
      </c>
      <c r="K33" s="49">
        <f t="shared" si="21"/>
        <v>0</v>
      </c>
      <c r="L33" s="49">
        <f t="shared" si="21"/>
        <v>0</v>
      </c>
      <c r="M33" s="49">
        <f t="shared" si="21"/>
        <v>0</v>
      </c>
      <c r="N33" s="49">
        <f t="shared" si="21"/>
        <v>0</v>
      </c>
      <c r="O33" s="49">
        <f t="shared" si="21"/>
        <v>0</v>
      </c>
      <c r="P33" s="49">
        <f t="shared" si="21"/>
        <v>0</v>
      </c>
      <c r="Q33" s="49">
        <f t="shared" si="21"/>
        <v>0</v>
      </c>
      <c r="R33" s="49">
        <f t="shared" si="21"/>
        <v>0</v>
      </c>
      <c r="S33" s="49">
        <f t="shared" si="21"/>
        <v>0</v>
      </c>
      <c r="T33" s="49">
        <f t="shared" si="21"/>
        <v>0</v>
      </c>
      <c r="U33" s="49">
        <f t="shared" si="21"/>
        <v>0</v>
      </c>
      <c r="V33" s="49">
        <f t="shared" si="21"/>
        <v>0</v>
      </c>
      <c r="W33" s="49">
        <f t="shared" si="21"/>
        <v>0</v>
      </c>
      <c r="X33" s="49">
        <f t="shared" si="21"/>
        <v>0</v>
      </c>
      <c r="Y33" s="49">
        <f t="shared" si="21"/>
        <v>0</v>
      </c>
      <c r="Z33" s="49">
        <f t="shared" si="21"/>
        <v>0</v>
      </c>
      <c r="AA33" s="49">
        <f t="shared" si="21"/>
        <v>0</v>
      </c>
      <c r="AB33" s="49">
        <f t="shared" si="21"/>
        <v>0</v>
      </c>
      <c r="AC33" s="49">
        <f t="shared" si="21"/>
        <v>0</v>
      </c>
      <c r="AD33" s="49">
        <f t="shared" si="21"/>
        <v>0</v>
      </c>
      <c r="AE33" s="49">
        <f t="shared" si="21"/>
        <v>0</v>
      </c>
      <c r="AF33" s="49">
        <f t="shared" si="21"/>
        <v>0</v>
      </c>
      <c r="AG33" s="9"/>
      <c r="AH33" s="9"/>
      <c r="AI33" s="9"/>
      <c r="AJ33" s="9"/>
      <c r="AK33" s="9"/>
    </row>
    <row r="34" ht="15.75" customHeight="1">
      <c r="A34" s="9"/>
      <c r="B34" s="49">
        <v>20.0</v>
      </c>
      <c r="C34" s="49" t="s">
        <v>212</v>
      </c>
      <c r="D34" s="39">
        <f t="shared" si="10"/>
        <v>0</v>
      </c>
      <c r="E34" s="51" t="s">
        <v>213</v>
      </c>
      <c r="F34" s="58" t="s">
        <v>175</v>
      </c>
      <c r="G34" s="49">
        <f t="shared" ref="G34:AF34" si="22">countifs('SN04'!$F$2:$F$7926,G$5,'SN04'!$D$2:$D$7926,$E34,'SN04'!$G$2:$G$7926,"*")</f>
        <v>0</v>
      </c>
      <c r="H34" s="49">
        <f t="shared" si="22"/>
        <v>0</v>
      </c>
      <c r="I34" s="49">
        <f t="shared" si="22"/>
        <v>0</v>
      </c>
      <c r="J34" s="49">
        <f t="shared" si="22"/>
        <v>0</v>
      </c>
      <c r="K34" s="49">
        <f t="shared" si="22"/>
        <v>0</v>
      </c>
      <c r="L34" s="49">
        <f t="shared" si="22"/>
        <v>0</v>
      </c>
      <c r="M34" s="49">
        <f t="shared" si="22"/>
        <v>0</v>
      </c>
      <c r="N34" s="49">
        <f t="shared" si="22"/>
        <v>0</v>
      </c>
      <c r="O34" s="49">
        <f t="shared" si="22"/>
        <v>0</v>
      </c>
      <c r="P34" s="49">
        <f t="shared" si="22"/>
        <v>0</v>
      </c>
      <c r="Q34" s="49">
        <f t="shared" si="22"/>
        <v>0</v>
      </c>
      <c r="R34" s="49">
        <f t="shared" si="22"/>
        <v>0</v>
      </c>
      <c r="S34" s="49">
        <f t="shared" si="22"/>
        <v>0</v>
      </c>
      <c r="T34" s="49">
        <f t="shared" si="22"/>
        <v>0</v>
      </c>
      <c r="U34" s="49">
        <f t="shared" si="22"/>
        <v>0</v>
      </c>
      <c r="V34" s="49">
        <f t="shared" si="22"/>
        <v>0</v>
      </c>
      <c r="W34" s="49">
        <f t="shared" si="22"/>
        <v>0</v>
      </c>
      <c r="X34" s="49">
        <f t="shared" si="22"/>
        <v>0</v>
      </c>
      <c r="Y34" s="49">
        <f t="shared" si="22"/>
        <v>0</v>
      </c>
      <c r="Z34" s="49">
        <f t="shared" si="22"/>
        <v>0</v>
      </c>
      <c r="AA34" s="49">
        <f t="shared" si="22"/>
        <v>0</v>
      </c>
      <c r="AB34" s="49">
        <f t="shared" si="22"/>
        <v>0</v>
      </c>
      <c r="AC34" s="49">
        <f t="shared" si="22"/>
        <v>0</v>
      </c>
      <c r="AD34" s="49">
        <f t="shared" si="22"/>
        <v>0</v>
      </c>
      <c r="AE34" s="49">
        <f t="shared" si="22"/>
        <v>0</v>
      </c>
      <c r="AF34" s="49">
        <f t="shared" si="22"/>
        <v>0</v>
      </c>
      <c r="AG34" s="9"/>
      <c r="AH34" s="9"/>
      <c r="AI34" s="9"/>
      <c r="AJ34" s="9"/>
      <c r="AK34" s="9"/>
    </row>
    <row r="35" ht="15.75" customHeight="1">
      <c r="A35" s="9"/>
      <c r="B35" s="39">
        <v>22.0</v>
      </c>
      <c r="C35" s="49" t="s">
        <v>214</v>
      </c>
      <c r="D35" s="39">
        <f t="shared" si="10"/>
        <v>0</v>
      </c>
      <c r="E35" s="44" t="s">
        <v>215</v>
      </c>
      <c r="F35" s="58" t="s">
        <v>175</v>
      </c>
      <c r="G35" s="49">
        <f t="shared" ref="G35:AF35" si="23">countifs('SN04'!$F$2:$F$7926,G$5,'SN04'!$D$2:$D$7926,$E35,'SN04'!$G$2:$G$7926,"*")</f>
        <v>0</v>
      </c>
      <c r="H35" s="49">
        <f t="shared" si="23"/>
        <v>0</v>
      </c>
      <c r="I35" s="49">
        <f t="shared" si="23"/>
        <v>0</v>
      </c>
      <c r="J35" s="49">
        <f t="shared" si="23"/>
        <v>0</v>
      </c>
      <c r="K35" s="49">
        <f t="shared" si="23"/>
        <v>0</v>
      </c>
      <c r="L35" s="49">
        <f t="shared" si="23"/>
        <v>0</v>
      </c>
      <c r="M35" s="49">
        <f t="shared" si="23"/>
        <v>0</v>
      </c>
      <c r="N35" s="49">
        <f t="shared" si="23"/>
        <v>0</v>
      </c>
      <c r="O35" s="49">
        <f t="shared" si="23"/>
        <v>0</v>
      </c>
      <c r="P35" s="49">
        <f t="shared" si="23"/>
        <v>0</v>
      </c>
      <c r="Q35" s="49">
        <f t="shared" si="23"/>
        <v>0</v>
      </c>
      <c r="R35" s="49">
        <f t="shared" si="23"/>
        <v>0</v>
      </c>
      <c r="S35" s="49">
        <f t="shared" si="23"/>
        <v>0</v>
      </c>
      <c r="T35" s="49">
        <f t="shared" si="23"/>
        <v>0</v>
      </c>
      <c r="U35" s="49">
        <f t="shared" si="23"/>
        <v>0</v>
      </c>
      <c r="V35" s="49">
        <f t="shared" si="23"/>
        <v>0</v>
      </c>
      <c r="W35" s="49">
        <f t="shared" si="23"/>
        <v>0</v>
      </c>
      <c r="X35" s="49">
        <f t="shared" si="23"/>
        <v>0</v>
      </c>
      <c r="Y35" s="49">
        <f t="shared" si="23"/>
        <v>0</v>
      </c>
      <c r="Z35" s="49">
        <f t="shared" si="23"/>
        <v>0</v>
      </c>
      <c r="AA35" s="49">
        <f t="shared" si="23"/>
        <v>0</v>
      </c>
      <c r="AB35" s="49">
        <f t="shared" si="23"/>
        <v>0</v>
      </c>
      <c r="AC35" s="49">
        <f t="shared" si="23"/>
        <v>0</v>
      </c>
      <c r="AD35" s="49">
        <f t="shared" si="23"/>
        <v>0</v>
      </c>
      <c r="AE35" s="49">
        <f t="shared" si="23"/>
        <v>0</v>
      </c>
      <c r="AF35" s="49">
        <f t="shared" si="23"/>
        <v>0</v>
      </c>
      <c r="AG35" s="9"/>
      <c r="AH35" s="9"/>
      <c r="AI35" s="9"/>
      <c r="AJ35" s="9"/>
      <c r="AK35" s="9"/>
    </row>
    <row r="36" ht="15.75" customHeight="1">
      <c r="A36" s="9"/>
      <c r="B36" s="39">
        <v>23.0</v>
      </c>
      <c r="C36" s="59" t="s">
        <v>216</v>
      </c>
      <c r="D36" s="39">
        <f t="shared" si="10"/>
        <v>0</v>
      </c>
      <c r="E36" s="48" t="s">
        <v>217</v>
      </c>
      <c r="F36" s="58" t="s">
        <v>175</v>
      </c>
      <c r="G36" s="49">
        <f t="shared" ref="G36:AF36" si="24">countifs('SN04'!$F$2:$F$7926,G$5,'SN04'!$D$2:$D$7926,$E36,'SN04'!$G$2:$G$7926,"*")</f>
        <v>0</v>
      </c>
      <c r="H36" s="49">
        <f t="shared" si="24"/>
        <v>0</v>
      </c>
      <c r="I36" s="49">
        <f t="shared" si="24"/>
        <v>0</v>
      </c>
      <c r="J36" s="49">
        <f t="shared" si="24"/>
        <v>0</v>
      </c>
      <c r="K36" s="49">
        <f t="shared" si="24"/>
        <v>0</v>
      </c>
      <c r="L36" s="49">
        <f t="shared" si="24"/>
        <v>0</v>
      </c>
      <c r="M36" s="49">
        <f t="shared" si="24"/>
        <v>0</v>
      </c>
      <c r="N36" s="49">
        <f t="shared" si="24"/>
        <v>0</v>
      </c>
      <c r="O36" s="49">
        <f t="shared" si="24"/>
        <v>0</v>
      </c>
      <c r="P36" s="49">
        <f t="shared" si="24"/>
        <v>0</v>
      </c>
      <c r="Q36" s="49">
        <f t="shared" si="24"/>
        <v>0</v>
      </c>
      <c r="R36" s="49">
        <f t="shared" si="24"/>
        <v>0</v>
      </c>
      <c r="S36" s="49">
        <f t="shared" si="24"/>
        <v>0</v>
      </c>
      <c r="T36" s="49">
        <f t="shared" si="24"/>
        <v>0</v>
      </c>
      <c r="U36" s="49">
        <f t="shared" si="24"/>
        <v>0</v>
      </c>
      <c r="V36" s="49">
        <f t="shared" si="24"/>
        <v>0</v>
      </c>
      <c r="W36" s="49">
        <f t="shared" si="24"/>
        <v>0</v>
      </c>
      <c r="X36" s="49">
        <f t="shared" si="24"/>
        <v>0</v>
      </c>
      <c r="Y36" s="49">
        <f t="shared" si="24"/>
        <v>0</v>
      </c>
      <c r="Z36" s="49">
        <f t="shared" si="24"/>
        <v>0</v>
      </c>
      <c r="AA36" s="49">
        <f t="shared" si="24"/>
        <v>0</v>
      </c>
      <c r="AB36" s="49">
        <f t="shared" si="24"/>
        <v>0</v>
      </c>
      <c r="AC36" s="49">
        <f t="shared" si="24"/>
        <v>0</v>
      </c>
      <c r="AD36" s="49">
        <f t="shared" si="24"/>
        <v>0</v>
      </c>
      <c r="AE36" s="49">
        <f t="shared" si="24"/>
        <v>0</v>
      </c>
      <c r="AF36" s="49">
        <f t="shared" si="24"/>
        <v>0</v>
      </c>
      <c r="AG36" s="9"/>
      <c r="AH36" s="9"/>
      <c r="AI36" s="9"/>
      <c r="AJ36" s="9"/>
      <c r="AK36" s="9"/>
    </row>
    <row r="37" ht="15.75" customHeight="1">
      <c r="A37" s="9"/>
      <c r="B37" s="39">
        <v>24.0</v>
      </c>
      <c r="C37" s="49" t="s">
        <v>218</v>
      </c>
      <c r="D37" s="39">
        <f t="shared" si="10"/>
        <v>0</v>
      </c>
      <c r="E37" s="44" t="s">
        <v>219</v>
      </c>
      <c r="F37" s="58" t="s">
        <v>175</v>
      </c>
      <c r="G37" s="49">
        <f t="shared" ref="G37:AF37" si="25">countifs('SN04'!$F$2:$F$7926,G$5,'SN04'!$D$2:$D$7926,$E37,'SN04'!$G$2:$G$7926,"*")</f>
        <v>0</v>
      </c>
      <c r="H37" s="49">
        <f t="shared" si="25"/>
        <v>0</v>
      </c>
      <c r="I37" s="49">
        <f t="shared" si="25"/>
        <v>0</v>
      </c>
      <c r="J37" s="49">
        <f t="shared" si="25"/>
        <v>0</v>
      </c>
      <c r="K37" s="49">
        <f t="shared" si="25"/>
        <v>0</v>
      </c>
      <c r="L37" s="49">
        <f t="shared" si="25"/>
        <v>0</v>
      </c>
      <c r="M37" s="49">
        <f t="shared" si="25"/>
        <v>0</v>
      </c>
      <c r="N37" s="49">
        <f t="shared" si="25"/>
        <v>0</v>
      </c>
      <c r="O37" s="49">
        <f t="shared" si="25"/>
        <v>0</v>
      </c>
      <c r="P37" s="49">
        <f t="shared" si="25"/>
        <v>0</v>
      </c>
      <c r="Q37" s="49">
        <f t="shared" si="25"/>
        <v>0</v>
      </c>
      <c r="R37" s="49">
        <f t="shared" si="25"/>
        <v>0</v>
      </c>
      <c r="S37" s="49">
        <f t="shared" si="25"/>
        <v>0</v>
      </c>
      <c r="T37" s="49">
        <f t="shared" si="25"/>
        <v>0</v>
      </c>
      <c r="U37" s="49">
        <f t="shared" si="25"/>
        <v>0</v>
      </c>
      <c r="V37" s="49">
        <f t="shared" si="25"/>
        <v>0</v>
      </c>
      <c r="W37" s="49">
        <f t="shared" si="25"/>
        <v>0</v>
      </c>
      <c r="X37" s="49">
        <f t="shared" si="25"/>
        <v>0</v>
      </c>
      <c r="Y37" s="49">
        <f t="shared" si="25"/>
        <v>0</v>
      </c>
      <c r="Z37" s="49">
        <f t="shared" si="25"/>
        <v>0</v>
      </c>
      <c r="AA37" s="49">
        <f t="shared" si="25"/>
        <v>0</v>
      </c>
      <c r="AB37" s="49">
        <f t="shared" si="25"/>
        <v>0</v>
      </c>
      <c r="AC37" s="49">
        <f t="shared" si="25"/>
        <v>0</v>
      </c>
      <c r="AD37" s="49">
        <f t="shared" si="25"/>
        <v>0</v>
      </c>
      <c r="AE37" s="49">
        <f t="shared" si="25"/>
        <v>0</v>
      </c>
      <c r="AF37" s="49">
        <f t="shared" si="25"/>
        <v>0</v>
      </c>
      <c r="AG37" s="9"/>
      <c r="AH37" s="9"/>
      <c r="AI37" s="9"/>
      <c r="AJ37" s="9"/>
      <c r="AK37" s="9"/>
    </row>
    <row r="38" ht="15.75" customHeight="1">
      <c r="A38" s="9"/>
      <c r="B38" s="39">
        <v>25.0</v>
      </c>
      <c r="C38" s="49" t="s">
        <v>220</v>
      </c>
      <c r="D38" s="39">
        <f t="shared" si="10"/>
        <v>0</v>
      </c>
      <c r="E38" s="44" t="s">
        <v>221</v>
      </c>
      <c r="F38" s="58" t="s">
        <v>175</v>
      </c>
      <c r="G38" s="49">
        <f t="shared" ref="G38:AF38" si="26">countifs('SN04'!$F$2:$F$7926,G$5,'SN04'!$D$2:$D$7926,$E38,'SN04'!$G$2:$G$7926,"*")</f>
        <v>0</v>
      </c>
      <c r="H38" s="49">
        <f t="shared" si="26"/>
        <v>0</v>
      </c>
      <c r="I38" s="49">
        <f t="shared" si="26"/>
        <v>0</v>
      </c>
      <c r="J38" s="49">
        <f t="shared" si="26"/>
        <v>0</v>
      </c>
      <c r="K38" s="49">
        <f t="shared" si="26"/>
        <v>0</v>
      </c>
      <c r="L38" s="49">
        <f t="shared" si="26"/>
        <v>0</v>
      </c>
      <c r="M38" s="49">
        <f t="shared" si="26"/>
        <v>0</v>
      </c>
      <c r="N38" s="49">
        <f t="shared" si="26"/>
        <v>0</v>
      </c>
      <c r="O38" s="49">
        <f t="shared" si="26"/>
        <v>0</v>
      </c>
      <c r="P38" s="49">
        <f t="shared" si="26"/>
        <v>0</v>
      </c>
      <c r="Q38" s="49">
        <f t="shared" si="26"/>
        <v>0</v>
      </c>
      <c r="R38" s="49">
        <f t="shared" si="26"/>
        <v>0</v>
      </c>
      <c r="S38" s="49">
        <f t="shared" si="26"/>
        <v>0</v>
      </c>
      <c r="T38" s="49">
        <f t="shared" si="26"/>
        <v>0</v>
      </c>
      <c r="U38" s="49">
        <f t="shared" si="26"/>
        <v>0</v>
      </c>
      <c r="V38" s="49">
        <f t="shared" si="26"/>
        <v>0</v>
      </c>
      <c r="W38" s="49">
        <f t="shared" si="26"/>
        <v>0</v>
      </c>
      <c r="X38" s="49">
        <f t="shared" si="26"/>
        <v>0</v>
      </c>
      <c r="Y38" s="49">
        <f t="shared" si="26"/>
        <v>0</v>
      </c>
      <c r="Z38" s="49">
        <f t="shared" si="26"/>
        <v>0</v>
      </c>
      <c r="AA38" s="49">
        <f t="shared" si="26"/>
        <v>0</v>
      </c>
      <c r="AB38" s="49">
        <f t="shared" si="26"/>
        <v>0</v>
      </c>
      <c r="AC38" s="49">
        <f t="shared" si="26"/>
        <v>0</v>
      </c>
      <c r="AD38" s="49">
        <f t="shared" si="26"/>
        <v>0</v>
      </c>
      <c r="AE38" s="49">
        <f t="shared" si="26"/>
        <v>0</v>
      </c>
      <c r="AF38" s="49">
        <f t="shared" si="26"/>
        <v>0</v>
      </c>
      <c r="AG38" s="9"/>
      <c r="AH38" s="9"/>
      <c r="AI38" s="9"/>
      <c r="AJ38" s="9"/>
      <c r="AK38" s="9"/>
    </row>
    <row r="39" ht="15.75" customHeight="1">
      <c r="A39" s="9"/>
      <c r="B39" s="39">
        <v>26.0</v>
      </c>
      <c r="C39" s="49" t="s">
        <v>222</v>
      </c>
      <c r="D39" s="39">
        <f t="shared" si="10"/>
        <v>0</v>
      </c>
      <c r="E39" s="44" t="s">
        <v>223</v>
      </c>
      <c r="F39" s="58" t="s">
        <v>175</v>
      </c>
      <c r="G39" s="49">
        <f t="shared" ref="G39:AF39" si="27">countifs('SN04'!$F$2:$F$7926,G$5,'SN04'!$D$2:$D$7926,$E39,'SN04'!$G$2:$G$7926,"*")</f>
        <v>0</v>
      </c>
      <c r="H39" s="49">
        <f t="shared" si="27"/>
        <v>0</v>
      </c>
      <c r="I39" s="49">
        <f t="shared" si="27"/>
        <v>0</v>
      </c>
      <c r="J39" s="49">
        <f t="shared" si="27"/>
        <v>0</v>
      </c>
      <c r="K39" s="49">
        <f t="shared" si="27"/>
        <v>0</v>
      </c>
      <c r="L39" s="49">
        <f t="shared" si="27"/>
        <v>0</v>
      </c>
      <c r="M39" s="49">
        <f t="shared" si="27"/>
        <v>0</v>
      </c>
      <c r="N39" s="49">
        <f t="shared" si="27"/>
        <v>0</v>
      </c>
      <c r="O39" s="49">
        <f t="shared" si="27"/>
        <v>0</v>
      </c>
      <c r="P39" s="49">
        <f t="shared" si="27"/>
        <v>0</v>
      </c>
      <c r="Q39" s="49">
        <f t="shared" si="27"/>
        <v>0</v>
      </c>
      <c r="R39" s="49">
        <f t="shared" si="27"/>
        <v>0</v>
      </c>
      <c r="S39" s="49">
        <f t="shared" si="27"/>
        <v>0</v>
      </c>
      <c r="T39" s="49">
        <f t="shared" si="27"/>
        <v>0</v>
      </c>
      <c r="U39" s="49">
        <f t="shared" si="27"/>
        <v>0</v>
      </c>
      <c r="V39" s="49">
        <f t="shared" si="27"/>
        <v>0</v>
      </c>
      <c r="W39" s="49">
        <f t="shared" si="27"/>
        <v>0</v>
      </c>
      <c r="X39" s="49">
        <f t="shared" si="27"/>
        <v>0</v>
      </c>
      <c r="Y39" s="49">
        <f t="shared" si="27"/>
        <v>0</v>
      </c>
      <c r="Z39" s="49">
        <f t="shared" si="27"/>
        <v>0</v>
      </c>
      <c r="AA39" s="49">
        <f t="shared" si="27"/>
        <v>0</v>
      </c>
      <c r="AB39" s="49">
        <f t="shared" si="27"/>
        <v>0</v>
      </c>
      <c r="AC39" s="49">
        <f t="shared" si="27"/>
        <v>0</v>
      </c>
      <c r="AD39" s="49">
        <f t="shared" si="27"/>
        <v>0</v>
      </c>
      <c r="AE39" s="49">
        <f t="shared" si="27"/>
        <v>0</v>
      </c>
      <c r="AF39" s="49">
        <f t="shared" si="27"/>
        <v>0</v>
      </c>
      <c r="AG39" s="9"/>
      <c r="AH39" s="9"/>
      <c r="AI39" s="9"/>
      <c r="AJ39" s="9"/>
      <c r="AK39" s="9"/>
    </row>
    <row r="40" ht="15.75" customHeight="1">
      <c r="A40" s="9"/>
      <c r="B40" s="39">
        <v>27.0</v>
      </c>
      <c r="C40" s="49" t="s">
        <v>224</v>
      </c>
      <c r="D40" s="39">
        <f t="shared" si="10"/>
        <v>0</v>
      </c>
      <c r="E40" s="44" t="s">
        <v>225</v>
      </c>
      <c r="F40" s="58" t="s">
        <v>175</v>
      </c>
      <c r="G40" s="49">
        <f t="shared" ref="G40:AF40" si="28">countifs('SN04'!$F$2:$F$7926,G$5,'SN04'!$D$2:$D$7926,$E40,'SN04'!$G$2:$G$7926,"*")</f>
        <v>0</v>
      </c>
      <c r="H40" s="49">
        <f t="shared" si="28"/>
        <v>0</v>
      </c>
      <c r="I40" s="49">
        <f t="shared" si="28"/>
        <v>0</v>
      </c>
      <c r="J40" s="49">
        <f t="shared" si="28"/>
        <v>0</v>
      </c>
      <c r="K40" s="49">
        <f t="shared" si="28"/>
        <v>0</v>
      </c>
      <c r="L40" s="49">
        <f t="shared" si="28"/>
        <v>0</v>
      </c>
      <c r="M40" s="49">
        <f t="shared" si="28"/>
        <v>0</v>
      </c>
      <c r="N40" s="49">
        <f t="shared" si="28"/>
        <v>0</v>
      </c>
      <c r="O40" s="49">
        <f t="shared" si="28"/>
        <v>0</v>
      </c>
      <c r="P40" s="49">
        <f t="shared" si="28"/>
        <v>0</v>
      </c>
      <c r="Q40" s="49">
        <f t="shared" si="28"/>
        <v>0</v>
      </c>
      <c r="R40" s="49">
        <f t="shared" si="28"/>
        <v>0</v>
      </c>
      <c r="S40" s="49">
        <f t="shared" si="28"/>
        <v>0</v>
      </c>
      <c r="T40" s="49">
        <f t="shared" si="28"/>
        <v>0</v>
      </c>
      <c r="U40" s="49">
        <f t="shared" si="28"/>
        <v>0</v>
      </c>
      <c r="V40" s="49">
        <f t="shared" si="28"/>
        <v>0</v>
      </c>
      <c r="W40" s="49">
        <f t="shared" si="28"/>
        <v>0</v>
      </c>
      <c r="X40" s="49">
        <f t="shared" si="28"/>
        <v>0</v>
      </c>
      <c r="Y40" s="49">
        <f t="shared" si="28"/>
        <v>0</v>
      </c>
      <c r="Z40" s="49">
        <f t="shared" si="28"/>
        <v>0</v>
      </c>
      <c r="AA40" s="49">
        <f t="shared" si="28"/>
        <v>0</v>
      </c>
      <c r="AB40" s="49">
        <f t="shared" si="28"/>
        <v>0</v>
      </c>
      <c r="AC40" s="49">
        <f t="shared" si="28"/>
        <v>0</v>
      </c>
      <c r="AD40" s="49">
        <f t="shared" si="28"/>
        <v>0</v>
      </c>
      <c r="AE40" s="49">
        <f t="shared" si="28"/>
        <v>0</v>
      </c>
      <c r="AF40" s="49">
        <f t="shared" si="28"/>
        <v>0</v>
      </c>
      <c r="AG40" s="9"/>
      <c r="AH40" s="9"/>
      <c r="AI40" s="9"/>
      <c r="AJ40" s="9"/>
      <c r="AK40" s="9"/>
    </row>
    <row r="41" ht="18.75" customHeight="1">
      <c r="A41" s="9"/>
      <c r="B41" s="39">
        <v>14.0</v>
      </c>
      <c r="C41" s="43" t="s">
        <v>226</v>
      </c>
      <c r="D41" s="39">
        <f t="shared" si="10"/>
        <v>0</v>
      </c>
      <c r="E41" s="44" t="s">
        <v>227</v>
      </c>
      <c r="F41" s="58" t="s">
        <v>175</v>
      </c>
      <c r="G41" s="43">
        <f t="shared" ref="G41:AF41" si="29">countifs('SN03'!$F$3:$F$2000,G$5,'SN03'!$D$3:$D$2000,$E41,'SN03'!$G$3:$G$2000,"*")</f>
        <v>0</v>
      </c>
      <c r="H41" s="43">
        <f t="shared" si="29"/>
        <v>0</v>
      </c>
      <c r="I41" s="43">
        <f t="shared" si="29"/>
        <v>0</v>
      </c>
      <c r="J41" s="43">
        <f t="shared" si="29"/>
        <v>0</v>
      </c>
      <c r="K41" s="43">
        <f t="shared" si="29"/>
        <v>0</v>
      </c>
      <c r="L41" s="43">
        <f t="shared" si="29"/>
        <v>0</v>
      </c>
      <c r="M41" s="43">
        <f t="shared" si="29"/>
        <v>0</v>
      </c>
      <c r="N41" s="43">
        <f t="shared" si="29"/>
        <v>0</v>
      </c>
      <c r="O41" s="43">
        <f t="shared" si="29"/>
        <v>0</v>
      </c>
      <c r="P41" s="43">
        <f t="shared" si="29"/>
        <v>0</v>
      </c>
      <c r="Q41" s="43">
        <f t="shared" si="29"/>
        <v>0</v>
      </c>
      <c r="R41" s="43">
        <f t="shared" si="29"/>
        <v>0</v>
      </c>
      <c r="S41" s="43">
        <f t="shared" si="29"/>
        <v>0</v>
      </c>
      <c r="T41" s="43">
        <f t="shared" si="29"/>
        <v>0</v>
      </c>
      <c r="U41" s="43">
        <f t="shared" si="29"/>
        <v>0</v>
      </c>
      <c r="V41" s="43">
        <f t="shared" si="29"/>
        <v>0</v>
      </c>
      <c r="W41" s="43">
        <f t="shared" si="29"/>
        <v>0</v>
      </c>
      <c r="X41" s="43">
        <f t="shared" si="29"/>
        <v>0</v>
      </c>
      <c r="Y41" s="43">
        <f t="shared" si="29"/>
        <v>0</v>
      </c>
      <c r="Z41" s="43">
        <f t="shared" si="29"/>
        <v>0</v>
      </c>
      <c r="AA41" s="43">
        <f t="shared" si="29"/>
        <v>0</v>
      </c>
      <c r="AB41" s="43">
        <f t="shared" si="29"/>
        <v>0</v>
      </c>
      <c r="AC41" s="43">
        <f t="shared" si="29"/>
        <v>0</v>
      </c>
      <c r="AD41" s="43">
        <f t="shared" si="29"/>
        <v>0</v>
      </c>
      <c r="AE41" s="43">
        <f t="shared" si="29"/>
        <v>0</v>
      </c>
      <c r="AF41" s="43">
        <f t="shared" si="29"/>
        <v>0</v>
      </c>
      <c r="AG41" s="9"/>
      <c r="AH41" s="9"/>
      <c r="AI41" s="9"/>
      <c r="AJ41" s="9"/>
      <c r="AK41" s="9"/>
    </row>
    <row r="42" ht="15.75" customHeight="1">
      <c r="A42" s="9"/>
      <c r="B42" s="39">
        <v>28.0</v>
      </c>
      <c r="C42" s="60" t="s">
        <v>228</v>
      </c>
      <c r="D42" s="39">
        <f t="shared" si="10"/>
        <v>0</v>
      </c>
      <c r="E42" s="44" t="s">
        <v>229</v>
      </c>
      <c r="F42" s="58" t="s">
        <v>175</v>
      </c>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9"/>
      <c r="AH42" s="9"/>
      <c r="AI42" s="9"/>
      <c r="AJ42" s="9"/>
      <c r="AK42" s="9"/>
    </row>
    <row r="43" ht="15.75" customHeight="1">
      <c r="A43" s="9"/>
      <c r="B43" s="39">
        <v>29.0</v>
      </c>
      <c r="C43" s="39" t="s">
        <v>230</v>
      </c>
      <c r="D43" s="39">
        <f t="shared" si="10"/>
        <v>0</v>
      </c>
      <c r="E43" s="44" t="s">
        <v>231</v>
      </c>
      <c r="F43" s="42" t="s">
        <v>232</v>
      </c>
      <c r="G43" s="39"/>
      <c r="H43" s="39"/>
      <c r="I43" s="39"/>
      <c r="J43" s="39"/>
      <c r="K43" s="44"/>
      <c r="L43" s="39"/>
      <c r="M43" s="39"/>
      <c r="N43" s="39"/>
      <c r="O43" s="61"/>
      <c r="P43" s="61"/>
      <c r="Q43" s="61"/>
      <c r="R43" s="61"/>
      <c r="S43" s="61"/>
      <c r="T43" s="61"/>
      <c r="U43" s="61"/>
      <c r="V43" s="61"/>
      <c r="W43" s="61"/>
      <c r="X43" s="61"/>
      <c r="Y43" s="61"/>
      <c r="Z43" s="39"/>
      <c r="AA43" s="39"/>
      <c r="AB43" s="39"/>
      <c r="AC43" s="61"/>
      <c r="AD43" s="61"/>
      <c r="AE43" s="61"/>
      <c r="AF43" s="61"/>
      <c r="AG43" s="9"/>
      <c r="AH43" s="9"/>
      <c r="AI43" s="9"/>
      <c r="AJ43" s="9"/>
      <c r="AK43" s="9"/>
    </row>
    <row r="44" ht="15.75" customHeight="1">
      <c r="A44" s="9"/>
      <c r="B44" s="39">
        <v>30.0</v>
      </c>
      <c r="C44" s="39"/>
      <c r="D44" s="39">
        <f t="shared" si="10"/>
        <v>0</v>
      </c>
      <c r="E44" s="44" t="s">
        <v>233</v>
      </c>
      <c r="F44" s="42" t="s">
        <v>232</v>
      </c>
      <c r="G44" s="39"/>
      <c r="H44" s="39"/>
      <c r="I44" s="39"/>
      <c r="J44" s="39"/>
      <c r="K44" s="44"/>
      <c r="L44" s="39"/>
      <c r="M44" s="39"/>
      <c r="N44" s="39"/>
      <c r="O44" s="61"/>
      <c r="P44" s="61"/>
      <c r="Q44" s="61"/>
      <c r="R44" s="61"/>
      <c r="S44" s="61"/>
      <c r="T44" s="61"/>
      <c r="U44" s="61"/>
      <c r="V44" s="61"/>
      <c r="W44" s="61"/>
      <c r="X44" s="61"/>
      <c r="Y44" s="61"/>
      <c r="Z44" s="39"/>
      <c r="AA44" s="39"/>
      <c r="AB44" s="39"/>
      <c r="AC44" s="61"/>
      <c r="AD44" s="61"/>
      <c r="AE44" s="61"/>
      <c r="AF44" s="61"/>
      <c r="AG44" s="9"/>
      <c r="AH44" s="9"/>
      <c r="AI44" s="9"/>
      <c r="AJ44" s="9"/>
      <c r="AK44" s="9"/>
    </row>
    <row r="45" ht="15.75" customHeight="1">
      <c r="A45" s="9"/>
      <c r="B45" s="39">
        <v>31.0</v>
      </c>
      <c r="C45" s="39"/>
      <c r="D45" s="39">
        <f t="shared" si="10"/>
        <v>0</v>
      </c>
      <c r="E45" s="44" t="s">
        <v>234</v>
      </c>
      <c r="F45" s="42" t="s">
        <v>232</v>
      </c>
      <c r="G45" s="39"/>
      <c r="H45" s="39"/>
      <c r="I45" s="39"/>
      <c r="J45" s="39"/>
      <c r="K45" s="44"/>
      <c r="L45" s="39"/>
      <c r="M45" s="39"/>
      <c r="N45" s="39"/>
      <c r="O45" s="61"/>
      <c r="P45" s="61"/>
      <c r="Q45" s="61"/>
      <c r="R45" s="61"/>
      <c r="S45" s="61"/>
      <c r="T45" s="61"/>
      <c r="U45" s="61"/>
      <c r="V45" s="61"/>
      <c r="W45" s="61"/>
      <c r="X45" s="61"/>
      <c r="Y45" s="61"/>
      <c r="Z45" s="39"/>
      <c r="AA45" s="39"/>
      <c r="AB45" s="39"/>
      <c r="AC45" s="61"/>
      <c r="AD45" s="61"/>
      <c r="AE45" s="61"/>
      <c r="AF45" s="61"/>
      <c r="AG45" s="9"/>
      <c r="AH45" s="9"/>
      <c r="AI45" s="9"/>
      <c r="AJ45" s="9"/>
      <c r="AK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4:$AK$45"/>
  <mergeCells count="9">
    <mergeCell ref="S4:Y4"/>
    <mergeCell ref="Z4:AF4"/>
    <mergeCell ref="B4:B5"/>
    <mergeCell ref="C4:C5"/>
    <mergeCell ref="D4:D5"/>
    <mergeCell ref="E4:E5"/>
    <mergeCell ref="F4:F5"/>
    <mergeCell ref="G4:K4"/>
    <mergeCell ref="L4:R4"/>
  </mergeCells>
  <conditionalFormatting sqref="E15:E19">
    <cfRule type="colorScale" priority="1">
      <colorScale>
        <cfvo type="min"/>
        <cfvo type="max"/>
        <color rgb="FFFFFFFF"/>
        <color rgb="FF57BB8A"/>
      </colorScale>
    </cfRule>
  </conditionalFormatting>
  <dataValidations>
    <dataValidation type="list" allowBlank="1" showErrorMessage="1" sqref="F15:F45">
      <formula1>"SN01,SN02,SN03,SN04,Not assigned yet"</formula1>
    </dataValidation>
  </dataValidations>
  <hyperlinks>
    <hyperlink r:id="rId1" ref="E15"/>
    <hyperlink r:id="rId2" ref="E16"/>
    <hyperlink r:id="rId3" ref="E17"/>
    <hyperlink r:id="rId4" ref="E18"/>
    <hyperlink r:id="rId5" ref="E19"/>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26.75"/>
    <col customWidth="1" min="4" max="4" width="23.38"/>
    <col customWidth="1" min="5" max="5" width="20.88"/>
    <col customWidth="1" min="6" max="6" width="16.13"/>
    <col customWidth="1" min="7" max="7" width="36.63"/>
    <col customWidth="1" min="8" max="8" width="105.25"/>
    <col customWidth="1" min="9" max="9" width="18.63"/>
    <col customWidth="1" min="10" max="10" width="61.13"/>
    <col customWidth="1" min="11" max="11" width="12.88"/>
    <col customWidth="1" min="12" max="12" width="12.25"/>
    <col customWidth="1" min="13" max="13" width="72.75"/>
    <col customWidth="1" min="14" max="28" width="8.63"/>
  </cols>
  <sheetData>
    <row r="1">
      <c r="A1" s="62" t="s">
        <v>235</v>
      </c>
    </row>
    <row r="2">
      <c r="A2" s="63"/>
      <c r="B2" s="64" t="s">
        <v>0</v>
      </c>
      <c r="C2" s="64" t="s">
        <v>1</v>
      </c>
      <c r="D2" s="64" t="s">
        <v>2</v>
      </c>
      <c r="E2" s="64" t="s">
        <v>3</v>
      </c>
      <c r="F2" s="65" t="s">
        <v>4</v>
      </c>
      <c r="G2" s="65" t="s">
        <v>5</v>
      </c>
      <c r="H2" s="64" t="s">
        <v>6</v>
      </c>
      <c r="I2" s="64" t="s">
        <v>7</v>
      </c>
      <c r="J2" s="65" t="s">
        <v>8</v>
      </c>
      <c r="K2" s="65" t="s">
        <v>9</v>
      </c>
      <c r="L2" s="66" t="s">
        <v>10</v>
      </c>
      <c r="M2" s="66" t="s">
        <v>11</v>
      </c>
      <c r="N2" s="63"/>
      <c r="O2" s="63"/>
      <c r="P2" s="63"/>
      <c r="Q2" s="63"/>
      <c r="R2" s="63"/>
      <c r="S2" s="63"/>
      <c r="T2" s="63"/>
      <c r="U2" s="63"/>
      <c r="V2" s="63"/>
      <c r="W2" s="63"/>
      <c r="X2" s="63"/>
      <c r="Y2" s="63"/>
      <c r="Z2" s="63"/>
      <c r="AA2" s="63"/>
      <c r="AB2" s="63"/>
    </row>
    <row r="3">
      <c r="A3" s="67"/>
      <c r="B3" s="68">
        <f t="shared" ref="B3:B4378" si="1">countif(G:G,G3)</f>
        <v>1</v>
      </c>
      <c r="C3" s="69" t="s">
        <v>193</v>
      </c>
      <c r="D3" s="70" t="s">
        <v>194</v>
      </c>
      <c r="E3" s="70" t="s">
        <v>14</v>
      </c>
      <c r="F3" s="69" t="s">
        <v>168</v>
      </c>
      <c r="G3" s="71" t="s">
        <v>236</v>
      </c>
      <c r="H3" s="72" t="s">
        <v>237</v>
      </c>
      <c r="I3" s="69" t="s">
        <v>18</v>
      </c>
      <c r="J3" s="69" t="s">
        <v>238</v>
      </c>
      <c r="K3" s="69">
        <v>41.0</v>
      </c>
      <c r="L3" s="73" t="str">
        <f t="shared" ref="L3:L4378" si="2">iferror(VLOOKUP(M3,Evals!A:B,2,0),"No infirmation")</f>
        <v>No infirmation</v>
      </c>
      <c r="M3" s="73" t="str">
        <f t="shared" ref="M3:M4378" si="3">MID(H3,39,99999)</f>
        <v>20251219_snorkel_batch008__llm_navqa_onlinemind2web_websites__138</v>
      </c>
    </row>
    <row r="4">
      <c r="A4" s="67"/>
      <c r="B4" s="68">
        <f t="shared" si="1"/>
        <v>1</v>
      </c>
      <c r="C4" s="69" t="s">
        <v>193</v>
      </c>
      <c r="D4" s="70" t="s">
        <v>194</v>
      </c>
      <c r="E4" s="70" t="s">
        <v>14</v>
      </c>
      <c r="F4" s="69" t="s">
        <v>168</v>
      </c>
      <c r="G4" s="71" t="s">
        <v>239</v>
      </c>
      <c r="H4" s="74" t="s">
        <v>240</v>
      </c>
      <c r="I4" s="69" t="s">
        <v>18</v>
      </c>
      <c r="J4" s="69" t="s">
        <v>241</v>
      </c>
      <c r="K4" s="69">
        <v>42.0</v>
      </c>
      <c r="L4" s="73" t="str">
        <f t="shared" si="2"/>
        <v>No infirmation</v>
      </c>
      <c r="M4" s="73" t="str">
        <f t="shared" si="3"/>
        <v>20251219_snorkel_batch007__llm_navqa_onlinemind2web_websites__38</v>
      </c>
    </row>
    <row r="5">
      <c r="A5" s="67"/>
      <c r="B5" s="68">
        <f t="shared" si="1"/>
        <v>1</v>
      </c>
      <c r="C5" s="69" t="s">
        <v>193</v>
      </c>
      <c r="D5" s="70" t="s">
        <v>194</v>
      </c>
      <c r="E5" s="75" t="s">
        <v>14</v>
      </c>
      <c r="F5" s="69" t="s">
        <v>168</v>
      </c>
      <c r="G5" s="71" t="s">
        <v>242</v>
      </c>
      <c r="H5" s="74" t="s">
        <v>243</v>
      </c>
      <c r="I5" s="69" t="s">
        <v>18</v>
      </c>
      <c r="J5" s="71"/>
      <c r="K5" s="71"/>
      <c r="L5" s="73" t="str">
        <f t="shared" si="2"/>
        <v>No infirmation</v>
      </c>
      <c r="M5" s="73" t="str">
        <f t="shared" si="3"/>
        <v>20251219_snorkel_batch002__llm_navqa_popular_websites__13</v>
      </c>
    </row>
    <row r="6">
      <c r="A6" s="67"/>
      <c r="B6" s="68">
        <f t="shared" si="1"/>
        <v>1</v>
      </c>
      <c r="C6" s="69" t="s">
        <v>193</v>
      </c>
      <c r="D6" s="70" t="s">
        <v>194</v>
      </c>
      <c r="E6" s="75" t="s">
        <v>14</v>
      </c>
      <c r="F6" s="69" t="s">
        <v>168</v>
      </c>
      <c r="G6" s="71" t="s">
        <v>244</v>
      </c>
      <c r="H6" s="74" t="s">
        <v>245</v>
      </c>
      <c r="I6" s="69" t="s">
        <v>18</v>
      </c>
      <c r="J6" s="69" t="s">
        <v>246</v>
      </c>
      <c r="K6" s="69">
        <v>42.0</v>
      </c>
      <c r="L6" s="73" t="str">
        <f t="shared" si="2"/>
        <v>No infirmation</v>
      </c>
      <c r="M6" s="73" t="str">
        <f t="shared" si="3"/>
        <v>20251219_snorkel_batch006__llm_navqa_popular_websites__139</v>
      </c>
    </row>
    <row r="7">
      <c r="A7" s="67"/>
      <c r="B7" s="68">
        <f t="shared" si="1"/>
        <v>1</v>
      </c>
      <c r="C7" s="69" t="s">
        <v>193</v>
      </c>
      <c r="D7" s="70" t="s">
        <v>194</v>
      </c>
      <c r="E7" s="75" t="s">
        <v>14</v>
      </c>
      <c r="F7" s="69" t="s">
        <v>168</v>
      </c>
      <c r="G7" s="71" t="s">
        <v>247</v>
      </c>
      <c r="H7" s="74" t="s">
        <v>248</v>
      </c>
      <c r="I7" s="69" t="s">
        <v>18</v>
      </c>
      <c r="J7" s="69" t="s">
        <v>249</v>
      </c>
      <c r="K7" s="69">
        <v>41.0</v>
      </c>
      <c r="L7" s="73" t="str">
        <f t="shared" si="2"/>
        <v>No infirmation</v>
      </c>
      <c r="M7" s="73" t="str">
        <f t="shared" si="3"/>
        <v>20251219_snorkel_batch010__llm_navqa_popular_websites__4</v>
      </c>
    </row>
    <row r="8">
      <c r="A8" s="67"/>
      <c r="B8" s="68">
        <f t="shared" si="1"/>
        <v>1</v>
      </c>
      <c r="C8" s="69" t="s">
        <v>193</v>
      </c>
      <c r="D8" s="70" t="s">
        <v>194</v>
      </c>
      <c r="E8" s="70" t="s">
        <v>14</v>
      </c>
      <c r="F8" s="69" t="s">
        <v>168</v>
      </c>
      <c r="G8" s="71" t="s">
        <v>250</v>
      </c>
      <c r="H8" s="74" t="s">
        <v>251</v>
      </c>
      <c r="I8" s="69" t="s">
        <v>18</v>
      </c>
      <c r="J8" s="71"/>
      <c r="K8" s="71"/>
      <c r="L8" s="73" t="str">
        <f t="shared" si="2"/>
        <v>No infirmation</v>
      </c>
      <c r="M8" s="73" t="str">
        <f t="shared" si="3"/>
        <v>20251219_snorkel_batch009__llm_navqa_popular_websites__67</v>
      </c>
    </row>
    <row r="9">
      <c r="B9" s="68">
        <f t="shared" si="1"/>
        <v>1</v>
      </c>
      <c r="C9" s="69" t="s">
        <v>193</v>
      </c>
      <c r="D9" s="70" t="s">
        <v>194</v>
      </c>
      <c r="E9" s="75" t="s">
        <v>14</v>
      </c>
      <c r="F9" s="69" t="s">
        <v>168</v>
      </c>
      <c r="G9" s="71" t="s">
        <v>252</v>
      </c>
      <c r="H9" s="74" t="s">
        <v>253</v>
      </c>
      <c r="I9" s="69" t="s">
        <v>18</v>
      </c>
      <c r="J9" s="71"/>
      <c r="K9" s="71"/>
      <c r="L9" s="73" t="str">
        <f t="shared" si="2"/>
        <v>No infirmation</v>
      </c>
      <c r="M9" s="73" t="str">
        <f t="shared" si="3"/>
        <v>20251219_snorkel_batch010__llm_navqa_onlinemind2web_websites__131</v>
      </c>
    </row>
    <row r="10">
      <c r="B10" s="68">
        <f t="shared" si="1"/>
        <v>1</v>
      </c>
      <c r="C10" s="69" t="s">
        <v>193</v>
      </c>
      <c r="D10" s="70" t="s">
        <v>194</v>
      </c>
      <c r="E10" s="75" t="s">
        <v>14</v>
      </c>
      <c r="F10" s="69" t="s">
        <v>168</v>
      </c>
      <c r="G10" s="71" t="s">
        <v>254</v>
      </c>
      <c r="H10" s="74" t="s">
        <v>255</v>
      </c>
      <c r="I10" s="69" t="s">
        <v>18</v>
      </c>
      <c r="J10" s="71"/>
      <c r="K10" s="71"/>
      <c r="L10" s="73" t="str">
        <f t="shared" si="2"/>
        <v>No infirmation</v>
      </c>
      <c r="M10" s="73" t="str">
        <f t="shared" si="3"/>
        <v>20251121_snorkel_batch001__webvoyager_like__254</v>
      </c>
    </row>
    <row r="11">
      <c r="B11" s="68">
        <f t="shared" si="1"/>
        <v>1</v>
      </c>
      <c r="C11" s="69" t="s">
        <v>193</v>
      </c>
      <c r="D11" s="70" t="s">
        <v>194</v>
      </c>
      <c r="E11" s="75" t="s">
        <v>14</v>
      </c>
      <c r="F11" s="69" t="s">
        <v>168</v>
      </c>
      <c r="G11" s="71" t="s">
        <v>256</v>
      </c>
      <c r="H11" s="74" t="s">
        <v>257</v>
      </c>
      <c r="I11" s="69" t="s">
        <v>18</v>
      </c>
      <c r="J11" s="71"/>
      <c r="K11" s="71"/>
      <c r="L11" s="73" t="str">
        <f t="shared" si="2"/>
        <v>No infirmation</v>
      </c>
      <c r="M11" s="73" t="str">
        <f t="shared" si="3"/>
        <v>20251219_snorkel_batch006__llm_navqa_webvoyager_websites__42</v>
      </c>
    </row>
    <row r="12">
      <c r="B12" s="68">
        <f t="shared" si="1"/>
        <v>1</v>
      </c>
      <c r="C12" s="69" t="s">
        <v>193</v>
      </c>
      <c r="D12" s="75" t="s">
        <v>194</v>
      </c>
      <c r="E12" s="75" t="s">
        <v>14</v>
      </c>
      <c r="F12" s="69" t="s">
        <v>168</v>
      </c>
      <c r="G12" s="71" t="s">
        <v>258</v>
      </c>
      <c r="H12" s="74" t="s">
        <v>259</v>
      </c>
      <c r="I12" s="69" t="s">
        <v>18</v>
      </c>
      <c r="J12" s="71"/>
      <c r="K12" s="71"/>
      <c r="L12" s="73" t="str">
        <f t="shared" si="2"/>
        <v>No infirmation</v>
      </c>
      <c r="M12" s="73" t="str">
        <f t="shared" si="3"/>
        <v>20251121_snorkel_batch001__webvoyager_like__373</v>
      </c>
    </row>
    <row r="13">
      <c r="B13" s="68">
        <f t="shared" si="1"/>
        <v>1</v>
      </c>
      <c r="C13" s="69" t="s">
        <v>193</v>
      </c>
      <c r="D13" s="75" t="s">
        <v>194</v>
      </c>
      <c r="E13" s="70" t="s">
        <v>14</v>
      </c>
      <c r="F13" s="69" t="s">
        <v>168</v>
      </c>
      <c r="G13" s="71" t="s">
        <v>260</v>
      </c>
      <c r="H13" s="74" t="s">
        <v>261</v>
      </c>
      <c r="I13" s="69" t="s">
        <v>18</v>
      </c>
      <c r="J13" s="71"/>
      <c r="K13" s="71"/>
      <c r="L13" s="73" t="str">
        <f t="shared" si="2"/>
        <v>No infirmation</v>
      </c>
      <c r="M13" s="73" t="str">
        <f t="shared" si="3"/>
        <v>20251219_snorkel_batch001__llm_navqa_popular_websites__86</v>
      </c>
    </row>
    <row r="14">
      <c r="B14" s="68">
        <f t="shared" si="1"/>
        <v>1</v>
      </c>
      <c r="C14" s="69" t="s">
        <v>193</v>
      </c>
      <c r="D14" s="75" t="s">
        <v>194</v>
      </c>
      <c r="E14" s="75" t="s">
        <v>14</v>
      </c>
      <c r="F14" s="69" t="s">
        <v>168</v>
      </c>
      <c r="G14" s="71" t="s">
        <v>262</v>
      </c>
      <c r="H14" s="74" t="s">
        <v>263</v>
      </c>
      <c r="I14" s="69" t="s">
        <v>18</v>
      </c>
      <c r="J14" s="71"/>
      <c r="K14" s="71"/>
      <c r="L14" s="73" t="str">
        <f t="shared" si="2"/>
        <v>No infirmation</v>
      </c>
      <c r="M14" s="73" t="str">
        <f t="shared" si="3"/>
        <v>20251121_snorkel_batch001__webvoyager_like__385</v>
      </c>
    </row>
    <row r="15">
      <c r="B15" s="68">
        <f t="shared" si="1"/>
        <v>1</v>
      </c>
      <c r="C15" s="69" t="s">
        <v>193</v>
      </c>
      <c r="D15" s="75" t="s">
        <v>194</v>
      </c>
      <c r="E15" s="75" t="s">
        <v>14</v>
      </c>
      <c r="F15" s="69" t="s">
        <v>168</v>
      </c>
      <c r="G15" s="71" t="s">
        <v>264</v>
      </c>
      <c r="H15" s="74" t="s">
        <v>265</v>
      </c>
      <c r="I15" s="69" t="s">
        <v>18</v>
      </c>
      <c r="J15" s="71"/>
      <c r="K15" s="71"/>
      <c r="L15" s="73" t="str">
        <f t="shared" si="2"/>
        <v>No infirmation</v>
      </c>
      <c r="M15" s="73" t="str">
        <f t="shared" si="3"/>
        <v>20251219_snorkel_batch008__llm_navqa_onlinemind2web_websites__68</v>
      </c>
    </row>
    <row r="16">
      <c r="B16" s="68">
        <f t="shared" si="1"/>
        <v>1</v>
      </c>
      <c r="C16" s="69" t="s">
        <v>193</v>
      </c>
      <c r="D16" s="75" t="s">
        <v>194</v>
      </c>
      <c r="E16" s="75" t="s">
        <v>14</v>
      </c>
      <c r="F16" s="69" t="s">
        <v>168</v>
      </c>
      <c r="G16" s="71" t="s">
        <v>266</v>
      </c>
      <c r="H16" s="74" t="s">
        <v>267</v>
      </c>
      <c r="I16" s="69" t="s">
        <v>18</v>
      </c>
      <c r="J16" s="69" t="s">
        <v>268</v>
      </c>
      <c r="K16" s="69">
        <v>40.0</v>
      </c>
      <c r="L16" s="73" t="str">
        <f t="shared" si="2"/>
        <v>No infirmation</v>
      </c>
      <c r="M16" s="73" t="str">
        <f t="shared" si="3"/>
        <v>20251219_snorkel_batch001__llm_navqa_webvoyager_websites__30</v>
      </c>
    </row>
    <row r="17" ht="12.75" customHeight="1">
      <c r="B17" s="68">
        <f t="shared" si="1"/>
        <v>1</v>
      </c>
      <c r="C17" s="69" t="s">
        <v>193</v>
      </c>
      <c r="D17" s="75" t="s">
        <v>194</v>
      </c>
      <c r="E17" s="75" t="s">
        <v>14</v>
      </c>
      <c r="F17" s="69" t="s">
        <v>168</v>
      </c>
      <c r="G17" s="71" t="s">
        <v>269</v>
      </c>
      <c r="H17" s="74" t="s">
        <v>270</v>
      </c>
      <c r="I17" s="69" t="s">
        <v>18</v>
      </c>
      <c r="J17" s="69" t="s">
        <v>241</v>
      </c>
      <c r="K17" s="69">
        <v>42.0</v>
      </c>
      <c r="L17" s="73" t="str">
        <f t="shared" si="2"/>
        <v>No infirmation</v>
      </c>
      <c r="M17" s="73" t="str">
        <f t="shared" si="3"/>
        <v>20251219_snorkel_batch005__llm_navqa_onlinemind2web_websites__24</v>
      </c>
    </row>
    <row r="18">
      <c r="B18" s="68">
        <f t="shared" si="1"/>
        <v>1</v>
      </c>
      <c r="C18" s="69" t="s">
        <v>193</v>
      </c>
      <c r="D18" s="75" t="s">
        <v>194</v>
      </c>
      <c r="E18" s="75" t="s">
        <v>14</v>
      </c>
      <c r="F18" s="69" t="s">
        <v>168</v>
      </c>
      <c r="G18" s="71" t="s">
        <v>271</v>
      </c>
      <c r="H18" s="74" t="s">
        <v>272</v>
      </c>
      <c r="I18" s="69" t="s">
        <v>18</v>
      </c>
      <c r="J18" s="71"/>
      <c r="K18" s="71"/>
      <c r="L18" s="73" t="str">
        <f t="shared" si="2"/>
        <v>No infirmation</v>
      </c>
      <c r="M18" s="73" t="str">
        <f t="shared" si="3"/>
        <v>20251219_snorkel_batch002__llm_navqa_webvoyager_websites__50</v>
      </c>
    </row>
    <row r="19">
      <c r="B19" s="68">
        <f t="shared" si="1"/>
        <v>1</v>
      </c>
      <c r="C19" s="69" t="s">
        <v>193</v>
      </c>
      <c r="D19" s="75" t="s">
        <v>194</v>
      </c>
      <c r="E19" s="75" t="s">
        <v>14</v>
      </c>
      <c r="F19" s="69" t="s">
        <v>168</v>
      </c>
      <c r="G19" s="71" t="s">
        <v>273</v>
      </c>
      <c r="H19" s="74" t="s">
        <v>274</v>
      </c>
      <c r="I19" s="69" t="s">
        <v>18</v>
      </c>
      <c r="J19" s="71"/>
      <c r="K19" s="71"/>
      <c r="L19" s="73" t="str">
        <f t="shared" si="2"/>
        <v>No infirmation</v>
      </c>
      <c r="M19" s="73" t="str">
        <f t="shared" si="3"/>
        <v>20251219_snorkel_batch003__llm_navqa_onlinemind2web_websites__11</v>
      </c>
    </row>
    <row r="20">
      <c r="B20" s="68">
        <f t="shared" si="1"/>
        <v>1</v>
      </c>
      <c r="C20" s="69" t="s">
        <v>193</v>
      </c>
      <c r="D20" s="75" t="s">
        <v>194</v>
      </c>
      <c r="E20" s="75" t="s">
        <v>14</v>
      </c>
      <c r="F20" s="69" t="s">
        <v>168</v>
      </c>
      <c r="G20" s="71" t="s">
        <v>275</v>
      </c>
      <c r="H20" s="74" t="s">
        <v>276</v>
      </c>
      <c r="I20" s="69" t="s">
        <v>18</v>
      </c>
      <c r="J20" s="71" t="s">
        <v>241</v>
      </c>
      <c r="K20" s="69">
        <v>42.0</v>
      </c>
      <c r="L20" s="73" t="str">
        <f t="shared" si="2"/>
        <v>No infirmation</v>
      </c>
      <c r="M20" s="73" t="str">
        <f t="shared" si="3"/>
        <v>20251219_snorkel_batch009__llm_navqa_webvoyager_websites__83</v>
      </c>
    </row>
    <row r="21" ht="15.75" customHeight="1">
      <c r="B21" s="68">
        <f t="shared" si="1"/>
        <v>1</v>
      </c>
      <c r="C21" s="69" t="s">
        <v>193</v>
      </c>
      <c r="D21" s="75" t="s">
        <v>194</v>
      </c>
      <c r="E21" s="75" t="s">
        <v>14</v>
      </c>
      <c r="F21" s="69" t="s">
        <v>168</v>
      </c>
      <c r="G21" s="71" t="s">
        <v>277</v>
      </c>
      <c r="H21" s="74" t="s">
        <v>278</v>
      </c>
      <c r="I21" s="69" t="s">
        <v>18</v>
      </c>
      <c r="J21" s="71"/>
      <c r="K21" s="71"/>
      <c r="L21" s="73" t="str">
        <f t="shared" si="2"/>
        <v>No infirmation</v>
      </c>
      <c r="M21" s="73" t="str">
        <f t="shared" si="3"/>
        <v>20251219_snorkel_batch004__llm_navqa_webvoyager_websites__97</v>
      </c>
    </row>
    <row r="22" ht="15.75" customHeight="1">
      <c r="B22" s="68">
        <f t="shared" si="1"/>
        <v>1</v>
      </c>
      <c r="C22" s="69" t="s">
        <v>193</v>
      </c>
      <c r="D22" s="75" t="s">
        <v>194</v>
      </c>
      <c r="E22" s="75" t="s">
        <v>14</v>
      </c>
      <c r="F22" s="69" t="s">
        <v>168</v>
      </c>
      <c r="G22" s="71" t="s">
        <v>279</v>
      </c>
      <c r="H22" s="74" t="s">
        <v>280</v>
      </c>
      <c r="I22" s="69" t="s">
        <v>18</v>
      </c>
      <c r="J22" s="71"/>
      <c r="K22" s="71"/>
      <c r="L22" s="73" t="str">
        <f t="shared" si="2"/>
        <v>No infirmation</v>
      </c>
      <c r="M22" s="73" t="str">
        <f t="shared" si="3"/>
        <v>20251219_snorkel_batch004__llm_navqa_popular_websites__36</v>
      </c>
    </row>
    <row r="23" ht="15.75" customHeight="1">
      <c r="B23" s="68">
        <f t="shared" si="1"/>
        <v>1</v>
      </c>
      <c r="C23" s="69" t="s">
        <v>193</v>
      </c>
      <c r="D23" s="75" t="s">
        <v>194</v>
      </c>
      <c r="E23" s="75" t="s">
        <v>14</v>
      </c>
      <c r="F23" s="69" t="s">
        <v>168</v>
      </c>
      <c r="G23" s="71" t="s">
        <v>281</v>
      </c>
      <c r="H23" s="74" t="s">
        <v>282</v>
      </c>
      <c r="I23" s="69" t="s">
        <v>18</v>
      </c>
      <c r="J23" s="71"/>
      <c r="K23" s="71"/>
      <c r="L23" s="73" t="str">
        <f t="shared" si="2"/>
        <v>No infirmation</v>
      </c>
      <c r="M23" s="73" t="str">
        <f t="shared" si="3"/>
        <v>20251219_snorkel_batch004__llm_navqa_webvoyager_websites__65</v>
      </c>
    </row>
    <row r="24" ht="15.75" customHeight="1">
      <c r="B24" s="68">
        <f t="shared" si="1"/>
        <v>1</v>
      </c>
      <c r="C24" s="69" t="s">
        <v>193</v>
      </c>
      <c r="D24" s="75" t="s">
        <v>194</v>
      </c>
      <c r="E24" s="75" t="s">
        <v>14</v>
      </c>
      <c r="F24" s="69" t="s">
        <v>168</v>
      </c>
      <c r="G24" s="71" t="s">
        <v>283</v>
      </c>
      <c r="H24" s="74" t="s">
        <v>284</v>
      </c>
      <c r="I24" s="69" t="s">
        <v>18</v>
      </c>
      <c r="J24" s="71"/>
      <c r="K24" s="71"/>
      <c r="L24" s="73" t="str">
        <f t="shared" si="2"/>
        <v>No infirmation</v>
      </c>
      <c r="M24" s="73" t="str">
        <f t="shared" si="3"/>
        <v>20251219_snorkel_batch008__llm_navqa_onlinemind2web_websites__94</v>
      </c>
    </row>
    <row r="25" ht="15.75" customHeight="1">
      <c r="B25" s="68">
        <f t="shared" si="1"/>
        <v>1</v>
      </c>
      <c r="C25" s="69" t="s">
        <v>193</v>
      </c>
      <c r="D25" s="75" t="s">
        <v>194</v>
      </c>
      <c r="E25" s="75" t="s">
        <v>14</v>
      </c>
      <c r="F25" s="69" t="s">
        <v>168</v>
      </c>
      <c r="G25" s="71" t="s">
        <v>285</v>
      </c>
      <c r="H25" s="74" t="s">
        <v>286</v>
      </c>
      <c r="I25" s="69" t="s">
        <v>18</v>
      </c>
      <c r="J25" s="71"/>
      <c r="K25" s="71"/>
      <c r="L25" s="73" t="str">
        <f t="shared" si="2"/>
        <v>No infirmation</v>
      </c>
      <c r="M25" s="73" t="str">
        <f t="shared" si="3"/>
        <v>20251219_snorkel_batch004__llm_navqa_popular_websites__126</v>
      </c>
    </row>
    <row r="26" ht="15.75" customHeight="1">
      <c r="B26" s="68">
        <f t="shared" si="1"/>
        <v>1</v>
      </c>
      <c r="C26" s="69" t="s">
        <v>193</v>
      </c>
      <c r="D26" s="75" t="s">
        <v>194</v>
      </c>
      <c r="E26" s="75" t="s">
        <v>14</v>
      </c>
      <c r="F26" s="69" t="s">
        <v>168</v>
      </c>
      <c r="G26" s="71" t="s">
        <v>287</v>
      </c>
      <c r="H26" s="74" t="s">
        <v>288</v>
      </c>
      <c r="I26" s="69" t="s">
        <v>18</v>
      </c>
      <c r="J26" s="71"/>
      <c r="K26" s="71"/>
      <c r="L26" s="73" t="str">
        <f t="shared" si="2"/>
        <v>No infirmation</v>
      </c>
      <c r="M26" s="73" t="str">
        <f t="shared" si="3"/>
        <v>20251219_snorkel_batch010__llm_navqa_webvoyager_websites__14</v>
      </c>
    </row>
    <row r="27" ht="15.75" customHeight="1">
      <c r="B27" s="68">
        <f t="shared" si="1"/>
        <v>1</v>
      </c>
      <c r="C27" s="69" t="s">
        <v>193</v>
      </c>
      <c r="D27" s="75" t="s">
        <v>194</v>
      </c>
      <c r="E27" s="75" t="s">
        <v>14</v>
      </c>
      <c r="F27" s="69" t="s">
        <v>168</v>
      </c>
      <c r="G27" s="71" t="s">
        <v>289</v>
      </c>
      <c r="H27" s="74" t="s">
        <v>290</v>
      </c>
      <c r="I27" s="69" t="s">
        <v>18</v>
      </c>
      <c r="J27" s="71"/>
      <c r="K27" s="71"/>
      <c r="L27" s="73" t="str">
        <f t="shared" si="2"/>
        <v>No infirmation</v>
      </c>
      <c r="M27" s="73" t="str">
        <f t="shared" si="3"/>
        <v>20251219_snorkel_batch005__llm_navqa_onlinemind2web_websites__127</v>
      </c>
    </row>
    <row r="28" ht="15.75" customHeight="1">
      <c r="B28" s="68">
        <f t="shared" si="1"/>
        <v>1</v>
      </c>
      <c r="C28" s="69" t="s">
        <v>193</v>
      </c>
      <c r="D28" s="75" t="s">
        <v>194</v>
      </c>
      <c r="E28" s="75" t="s">
        <v>14</v>
      </c>
      <c r="F28" s="69" t="s">
        <v>168</v>
      </c>
      <c r="G28" s="71" t="s">
        <v>291</v>
      </c>
      <c r="H28" s="74" t="s">
        <v>292</v>
      </c>
      <c r="I28" s="69" t="s">
        <v>18</v>
      </c>
      <c r="J28" s="71"/>
      <c r="K28" s="71"/>
      <c r="L28" s="73" t="str">
        <f t="shared" si="2"/>
        <v>No infirmation</v>
      </c>
      <c r="M28" s="73" t="str">
        <f t="shared" si="3"/>
        <v>20251219_snorkel_batch005__llm_navqa_popular_websites__42</v>
      </c>
    </row>
    <row r="29" ht="15.75" customHeight="1">
      <c r="B29" s="68">
        <f t="shared" si="1"/>
        <v>1</v>
      </c>
      <c r="C29" s="69" t="s">
        <v>193</v>
      </c>
      <c r="D29" s="75" t="s">
        <v>194</v>
      </c>
      <c r="E29" s="75" t="s">
        <v>14</v>
      </c>
      <c r="F29" s="69" t="s">
        <v>168</v>
      </c>
      <c r="G29" s="71" t="s">
        <v>293</v>
      </c>
      <c r="H29" s="74" t="s">
        <v>294</v>
      </c>
      <c r="I29" s="69" t="s">
        <v>18</v>
      </c>
      <c r="J29" s="71"/>
      <c r="K29" s="71"/>
      <c r="L29" s="73" t="str">
        <f t="shared" si="2"/>
        <v>No infirmation</v>
      </c>
      <c r="M29" s="73" t="str">
        <f t="shared" si="3"/>
        <v>20251219_snorkel_batch010__llm_navqa_popular_websites__7</v>
      </c>
    </row>
    <row r="30" ht="15.75" customHeight="1">
      <c r="B30" s="68">
        <f t="shared" si="1"/>
        <v>1</v>
      </c>
      <c r="C30" s="69" t="s">
        <v>193</v>
      </c>
      <c r="D30" s="75" t="s">
        <v>194</v>
      </c>
      <c r="E30" s="75" t="s">
        <v>14</v>
      </c>
      <c r="F30" s="69" t="s">
        <v>168</v>
      </c>
      <c r="G30" s="71" t="s">
        <v>295</v>
      </c>
      <c r="H30" s="74" t="s">
        <v>296</v>
      </c>
      <c r="I30" s="69" t="s">
        <v>18</v>
      </c>
      <c r="J30" s="71"/>
      <c r="K30" s="71"/>
      <c r="L30" s="73" t="str">
        <f t="shared" si="2"/>
        <v>No infirmation</v>
      </c>
      <c r="M30" s="73" t="str">
        <f t="shared" si="3"/>
        <v>20251121_snorkel_batch001__webvoyager_like__299</v>
      </c>
    </row>
    <row r="31" ht="15.75" customHeight="1">
      <c r="B31" s="68">
        <f t="shared" si="1"/>
        <v>1</v>
      </c>
      <c r="C31" s="69" t="s">
        <v>193</v>
      </c>
      <c r="D31" s="75" t="s">
        <v>194</v>
      </c>
      <c r="E31" s="75" t="s">
        <v>14</v>
      </c>
      <c r="F31" s="69" t="s">
        <v>168</v>
      </c>
      <c r="G31" s="71" t="s">
        <v>297</v>
      </c>
      <c r="H31" s="74" t="s">
        <v>298</v>
      </c>
      <c r="I31" s="69" t="s">
        <v>18</v>
      </c>
      <c r="J31" s="71"/>
      <c r="K31" s="71"/>
      <c r="L31" s="73" t="str">
        <f t="shared" si="2"/>
        <v>No infirmation</v>
      </c>
      <c r="M31" s="73" t="str">
        <f t="shared" si="3"/>
        <v>20251219_snorkel_batch009__llm_navqa_popular_websites__18</v>
      </c>
    </row>
    <row r="32" ht="15.75" customHeight="1">
      <c r="B32" s="68">
        <f t="shared" si="1"/>
        <v>1</v>
      </c>
      <c r="C32" s="69" t="s">
        <v>193</v>
      </c>
      <c r="D32" s="75" t="s">
        <v>194</v>
      </c>
      <c r="E32" s="75" t="s">
        <v>14</v>
      </c>
      <c r="F32" s="69" t="s">
        <v>168</v>
      </c>
      <c r="G32" s="71" t="s">
        <v>299</v>
      </c>
      <c r="H32" s="74" t="s">
        <v>300</v>
      </c>
      <c r="I32" s="69" t="s">
        <v>18</v>
      </c>
      <c r="J32" s="71"/>
      <c r="K32" s="71"/>
      <c r="L32" s="73" t="str">
        <f t="shared" si="2"/>
        <v>No infirmation</v>
      </c>
      <c r="M32" s="73" t="str">
        <f t="shared" si="3"/>
        <v>20251219_snorkel_batch009__llm_navqa_popular_websites__66</v>
      </c>
    </row>
    <row r="33" ht="15.75" customHeight="1">
      <c r="B33" s="68">
        <f t="shared" si="1"/>
        <v>1</v>
      </c>
      <c r="C33" s="69" t="s">
        <v>195</v>
      </c>
      <c r="D33" s="70" t="s">
        <v>13</v>
      </c>
      <c r="E33" s="75" t="s">
        <v>14</v>
      </c>
      <c r="F33" s="69" t="s">
        <v>168</v>
      </c>
      <c r="G33" s="69" t="s">
        <v>301</v>
      </c>
      <c r="H33" s="76" t="s">
        <v>302</v>
      </c>
      <c r="I33" s="69" t="s">
        <v>18</v>
      </c>
      <c r="J33" s="69"/>
      <c r="K33" s="69"/>
      <c r="L33" s="73" t="str">
        <f t="shared" si="2"/>
        <v>No infirmation</v>
      </c>
      <c r="M33" s="73" t="str">
        <f t="shared" si="3"/>
        <v>20251219_snorkel_batch010__llm_navqa_popular_websites__88</v>
      </c>
    </row>
    <row r="34" ht="15.75" customHeight="1">
      <c r="B34" s="68">
        <f t="shared" si="1"/>
        <v>1</v>
      </c>
      <c r="C34" s="69" t="s">
        <v>195</v>
      </c>
      <c r="D34" s="70" t="s">
        <v>13</v>
      </c>
      <c r="E34" s="75" t="s">
        <v>14</v>
      </c>
      <c r="F34" s="69" t="s">
        <v>168</v>
      </c>
      <c r="G34" s="69" t="s">
        <v>303</v>
      </c>
      <c r="H34" s="76" t="s">
        <v>304</v>
      </c>
      <c r="I34" s="69" t="s">
        <v>18</v>
      </c>
      <c r="J34" s="69"/>
      <c r="K34" s="69"/>
      <c r="L34" s="73" t="str">
        <f t="shared" si="2"/>
        <v>No infirmation</v>
      </c>
      <c r="M34" s="73" t="str">
        <f t="shared" si="3"/>
        <v>20251126_snorkel_batch011__llm_step_onlinemind2web_websites__122</v>
      </c>
    </row>
    <row r="35" ht="15.75" customHeight="1">
      <c r="B35" s="68">
        <f t="shared" si="1"/>
        <v>1</v>
      </c>
      <c r="C35" s="69" t="s">
        <v>195</v>
      </c>
      <c r="D35" s="70" t="s">
        <v>13</v>
      </c>
      <c r="E35" s="70" t="s">
        <v>14</v>
      </c>
      <c r="F35" s="69" t="s">
        <v>168</v>
      </c>
      <c r="G35" s="69" t="s">
        <v>305</v>
      </c>
      <c r="H35" s="76" t="s">
        <v>306</v>
      </c>
      <c r="I35" s="69" t="s">
        <v>18</v>
      </c>
      <c r="J35" s="69"/>
      <c r="K35" s="69"/>
      <c r="L35" s="73" t="str">
        <f t="shared" si="2"/>
        <v>No infirmation</v>
      </c>
      <c r="M35" s="73" t="str">
        <f t="shared" si="3"/>
        <v>20251219_snorkel_batch010__llm_navqa_webvoyager_websites__141</v>
      </c>
    </row>
    <row r="36" ht="15.75" customHeight="1">
      <c r="B36" s="77">
        <f t="shared" si="1"/>
        <v>1</v>
      </c>
      <c r="C36" s="67" t="s">
        <v>195</v>
      </c>
      <c r="D36" s="78" t="s">
        <v>13</v>
      </c>
      <c r="E36" s="78" t="s">
        <v>14</v>
      </c>
      <c r="F36" s="67" t="s">
        <v>168</v>
      </c>
      <c r="G36" s="67" t="s">
        <v>307</v>
      </c>
      <c r="H36" s="79" t="s">
        <v>308</v>
      </c>
      <c r="I36" s="67" t="s">
        <v>18</v>
      </c>
      <c r="L36" s="80" t="str">
        <f t="shared" si="2"/>
        <v>No infirmation</v>
      </c>
      <c r="M36" s="80" t="str">
        <f t="shared" si="3"/>
        <v>20251219_snorkel_batch005__llm_navqa_popular_websites__88</v>
      </c>
    </row>
    <row r="37" ht="15.75" customHeight="1">
      <c r="B37" s="77">
        <f t="shared" si="1"/>
        <v>1</v>
      </c>
      <c r="C37" s="67" t="s">
        <v>195</v>
      </c>
      <c r="D37" s="78" t="s">
        <v>13</v>
      </c>
      <c r="E37" s="78" t="s">
        <v>14</v>
      </c>
      <c r="F37" s="67" t="s">
        <v>168</v>
      </c>
      <c r="G37" s="67" t="s">
        <v>309</v>
      </c>
      <c r="H37" s="79" t="s">
        <v>310</v>
      </c>
      <c r="I37" s="67" t="s">
        <v>18</v>
      </c>
      <c r="L37" s="80" t="str">
        <f t="shared" si="2"/>
        <v>No infirmation</v>
      </c>
      <c r="M37" s="80" t="str">
        <f t="shared" si="3"/>
        <v>20251219_snorkel_batch005__llm_navqa_webvoyager_websites__82</v>
      </c>
    </row>
    <row r="38" ht="15.75" customHeight="1">
      <c r="B38" s="77">
        <f t="shared" si="1"/>
        <v>1</v>
      </c>
      <c r="C38" s="67" t="s">
        <v>195</v>
      </c>
      <c r="D38" s="78" t="s">
        <v>13</v>
      </c>
      <c r="E38" s="78" t="s">
        <v>14</v>
      </c>
      <c r="F38" s="67" t="s">
        <v>168</v>
      </c>
      <c r="G38" s="81" t="s">
        <v>311</v>
      </c>
      <c r="H38" s="79" t="s">
        <v>312</v>
      </c>
      <c r="I38" s="67" t="s">
        <v>18</v>
      </c>
      <c r="L38" s="80" t="str">
        <f t="shared" si="2"/>
        <v>No infirmation</v>
      </c>
      <c r="M38" s="80" t="str">
        <f t="shared" si="3"/>
        <v>20251219_snorkel_batch006__llm_navqa_popular_websites__128</v>
      </c>
    </row>
    <row r="39" ht="15.75" customHeight="1">
      <c r="B39" s="77">
        <f t="shared" si="1"/>
        <v>1</v>
      </c>
      <c r="C39" s="67" t="s">
        <v>195</v>
      </c>
      <c r="D39" s="78" t="s">
        <v>13</v>
      </c>
      <c r="E39" s="78" t="s">
        <v>14</v>
      </c>
      <c r="F39" s="67" t="s">
        <v>168</v>
      </c>
      <c r="G39" s="81" t="s">
        <v>313</v>
      </c>
      <c r="H39" s="79" t="s">
        <v>314</v>
      </c>
      <c r="I39" s="67" t="s">
        <v>18</v>
      </c>
      <c r="L39" s="80" t="str">
        <f t="shared" si="2"/>
        <v>No infirmation</v>
      </c>
      <c r="M39" s="80" t="str">
        <f t="shared" si="3"/>
        <v>20251219_snorkel_batch003__llm_navqa_popular_websites__107</v>
      </c>
    </row>
    <row r="40" ht="15.75" customHeight="1">
      <c r="B40" s="77">
        <f t="shared" si="1"/>
        <v>1</v>
      </c>
      <c r="C40" s="67" t="s">
        <v>195</v>
      </c>
      <c r="D40" s="78" t="s">
        <v>13</v>
      </c>
      <c r="E40" s="78" t="s">
        <v>14</v>
      </c>
      <c r="F40" s="67" t="s">
        <v>168</v>
      </c>
      <c r="G40" s="81" t="s">
        <v>315</v>
      </c>
      <c r="H40" s="79" t="s">
        <v>316</v>
      </c>
      <c r="I40" s="67" t="s">
        <v>18</v>
      </c>
      <c r="L40" s="80" t="str">
        <f t="shared" si="2"/>
        <v>No infirmation</v>
      </c>
      <c r="M40" s="80" t="str">
        <f t="shared" si="3"/>
        <v>20251219_snorkel_batch004__llm_navqa_onlinemind2web_websites__167</v>
      </c>
    </row>
    <row r="41" ht="15.75" customHeight="1">
      <c r="B41" s="77">
        <f t="shared" si="1"/>
        <v>1</v>
      </c>
      <c r="C41" s="67" t="s">
        <v>195</v>
      </c>
      <c r="D41" s="78" t="s">
        <v>13</v>
      </c>
      <c r="E41" s="78" t="s">
        <v>14</v>
      </c>
      <c r="F41" s="67" t="s">
        <v>168</v>
      </c>
      <c r="G41" s="67" t="s">
        <v>317</v>
      </c>
      <c r="H41" s="79" t="s">
        <v>318</v>
      </c>
      <c r="I41" s="67" t="s">
        <v>18</v>
      </c>
      <c r="L41" s="80" t="str">
        <f t="shared" si="2"/>
        <v>No infirmation</v>
      </c>
      <c r="M41" s="80" t="str">
        <f t="shared" si="3"/>
        <v>20251219_snorkel_batch007__llm_navqa_popular_websites__41</v>
      </c>
    </row>
    <row r="42" ht="15.75" customHeight="1">
      <c r="B42" s="77">
        <f t="shared" si="1"/>
        <v>1</v>
      </c>
      <c r="C42" s="67" t="s">
        <v>195</v>
      </c>
      <c r="D42" s="78" t="s">
        <v>13</v>
      </c>
      <c r="E42" s="78" t="s">
        <v>14</v>
      </c>
      <c r="F42" s="67" t="s">
        <v>168</v>
      </c>
      <c r="G42" s="67" t="s">
        <v>319</v>
      </c>
      <c r="H42" s="79" t="s">
        <v>320</v>
      </c>
      <c r="I42" s="67" t="s">
        <v>18</v>
      </c>
      <c r="L42" s="80" t="str">
        <f t="shared" si="2"/>
        <v>No infirmation</v>
      </c>
      <c r="M42" s="80" t="str">
        <f t="shared" si="3"/>
        <v>20251219_snorkel_batch004__llm_navqa_webvoyager_websites__21</v>
      </c>
    </row>
    <row r="43" ht="15.75" customHeight="1">
      <c r="B43" s="77">
        <f t="shared" si="1"/>
        <v>1</v>
      </c>
      <c r="C43" s="67" t="s">
        <v>195</v>
      </c>
      <c r="D43" s="78" t="s">
        <v>13</v>
      </c>
      <c r="E43" s="78" t="s">
        <v>14</v>
      </c>
      <c r="F43" s="67" t="s">
        <v>168</v>
      </c>
      <c r="G43" s="81" t="s">
        <v>321</v>
      </c>
      <c r="H43" s="79" t="s">
        <v>322</v>
      </c>
      <c r="I43" s="67" t="s">
        <v>18</v>
      </c>
      <c r="L43" s="80" t="str">
        <f t="shared" si="2"/>
        <v>No infirmation</v>
      </c>
      <c r="M43" s="80" t="str">
        <f t="shared" si="3"/>
        <v>20251219_snorkel_batch006__llm_navqa_webvoyager_websites__8</v>
      </c>
    </row>
    <row r="44" ht="15.75" customHeight="1">
      <c r="B44" s="77">
        <f t="shared" si="1"/>
        <v>1</v>
      </c>
      <c r="C44" s="67" t="s">
        <v>195</v>
      </c>
      <c r="D44" s="78" t="s">
        <v>13</v>
      </c>
      <c r="E44" s="78" t="s">
        <v>14</v>
      </c>
      <c r="F44" s="67" t="s">
        <v>168</v>
      </c>
      <c r="G44" s="81" t="s">
        <v>323</v>
      </c>
      <c r="H44" s="79" t="s">
        <v>324</v>
      </c>
      <c r="I44" s="67" t="s">
        <v>18</v>
      </c>
      <c r="L44" s="80" t="str">
        <f t="shared" si="2"/>
        <v>No infirmation</v>
      </c>
      <c r="M44" s="80" t="str">
        <f t="shared" si="3"/>
        <v>20251121_snorkel_batch001__webvoyager_like__455</v>
      </c>
    </row>
    <row r="45" ht="15.75" customHeight="1">
      <c r="B45" s="77">
        <f t="shared" si="1"/>
        <v>1</v>
      </c>
      <c r="C45" s="67" t="s">
        <v>195</v>
      </c>
      <c r="D45" s="78" t="s">
        <v>13</v>
      </c>
      <c r="E45" s="78" t="s">
        <v>14</v>
      </c>
      <c r="F45" s="67" t="s">
        <v>168</v>
      </c>
      <c r="G45" s="81" t="s">
        <v>325</v>
      </c>
      <c r="H45" s="79" t="s">
        <v>326</v>
      </c>
      <c r="I45" s="67" t="s">
        <v>18</v>
      </c>
      <c r="L45" s="80" t="str">
        <f t="shared" si="2"/>
        <v>No infirmation</v>
      </c>
      <c r="M45" s="80" t="str">
        <f t="shared" si="3"/>
        <v>20251219_snorkel_batch006__llm_navqa_onlinemind2web_websites__88</v>
      </c>
    </row>
    <row r="46" ht="15.75" customHeight="1">
      <c r="B46" s="77">
        <f t="shared" si="1"/>
        <v>1</v>
      </c>
      <c r="C46" s="67" t="s">
        <v>195</v>
      </c>
      <c r="D46" s="78" t="s">
        <v>13</v>
      </c>
      <c r="E46" s="78" t="s">
        <v>14</v>
      </c>
      <c r="F46" s="67" t="s">
        <v>168</v>
      </c>
      <c r="G46" s="81" t="s">
        <v>327</v>
      </c>
      <c r="H46" s="79" t="s">
        <v>328</v>
      </c>
      <c r="I46" s="67" t="s">
        <v>18</v>
      </c>
      <c r="L46" s="80" t="str">
        <f t="shared" si="2"/>
        <v>No infirmation</v>
      </c>
      <c r="M46" s="80" t="str">
        <f t="shared" si="3"/>
        <v>20251219_snorkel_batch002__llm_navqa_webvoyager_websites__156</v>
      </c>
    </row>
    <row r="47" ht="15.75" customHeight="1">
      <c r="B47" s="77">
        <f t="shared" si="1"/>
        <v>1</v>
      </c>
      <c r="C47" s="67" t="s">
        <v>195</v>
      </c>
      <c r="D47" s="78" t="s">
        <v>13</v>
      </c>
      <c r="E47" s="78" t="s">
        <v>14</v>
      </c>
      <c r="F47" s="67" t="s">
        <v>168</v>
      </c>
      <c r="G47" s="81" t="s">
        <v>329</v>
      </c>
      <c r="H47" s="82" t="s">
        <v>330</v>
      </c>
      <c r="I47" s="67" t="s">
        <v>18</v>
      </c>
      <c r="L47" s="80" t="str">
        <f t="shared" si="2"/>
        <v>No infirmation</v>
      </c>
      <c r="M47" s="80" t="str">
        <f t="shared" si="3"/>
        <v>20251121_snorkel_batch001__webvoyager_like__467</v>
      </c>
    </row>
    <row r="48" ht="15.75" customHeight="1">
      <c r="B48" s="77">
        <f t="shared" si="1"/>
        <v>1</v>
      </c>
      <c r="C48" s="67" t="s">
        <v>195</v>
      </c>
      <c r="D48" s="78" t="s">
        <v>13</v>
      </c>
      <c r="E48" s="78" t="s">
        <v>14</v>
      </c>
      <c r="F48" s="67" t="s">
        <v>168</v>
      </c>
      <c r="G48" s="81" t="s">
        <v>331</v>
      </c>
      <c r="H48" s="83" t="s">
        <v>332</v>
      </c>
      <c r="I48" s="67" t="s">
        <v>18</v>
      </c>
      <c r="L48" s="80" t="str">
        <f t="shared" si="2"/>
        <v>No infirmation</v>
      </c>
      <c r="M48" s="80" t="str">
        <f t="shared" si="3"/>
        <v>20251219_snorkel_batch008__llm_navqa_webvoyager_websites__10</v>
      </c>
    </row>
    <row r="49" ht="15.75" customHeight="1">
      <c r="B49" s="77">
        <f t="shared" si="1"/>
        <v>1</v>
      </c>
      <c r="C49" s="67" t="s">
        <v>195</v>
      </c>
      <c r="D49" s="78" t="s">
        <v>13</v>
      </c>
      <c r="E49" s="78" t="s">
        <v>14</v>
      </c>
      <c r="F49" s="67" t="s">
        <v>168</v>
      </c>
      <c r="G49" s="81" t="s">
        <v>333</v>
      </c>
      <c r="H49" s="79" t="s">
        <v>334</v>
      </c>
      <c r="I49" s="67" t="s">
        <v>18</v>
      </c>
      <c r="L49" s="80" t="str">
        <f t="shared" si="2"/>
        <v>No infirmation</v>
      </c>
      <c r="M49" s="80" t="str">
        <f t="shared" si="3"/>
        <v>20251219_snorkel_batch010__llm_navqa_webvoyager_websites__147</v>
      </c>
    </row>
    <row r="50" ht="15.75" customHeight="1">
      <c r="B50" s="77">
        <f t="shared" si="1"/>
        <v>1</v>
      </c>
      <c r="C50" s="67" t="s">
        <v>195</v>
      </c>
      <c r="D50" s="78" t="s">
        <v>13</v>
      </c>
      <c r="E50" s="78" t="s">
        <v>14</v>
      </c>
      <c r="F50" s="67" t="s">
        <v>168</v>
      </c>
      <c r="G50" s="81" t="s">
        <v>335</v>
      </c>
      <c r="H50" s="79" t="s">
        <v>336</v>
      </c>
      <c r="I50" s="67" t="s">
        <v>18</v>
      </c>
      <c r="L50" s="80" t="str">
        <f t="shared" si="2"/>
        <v>No infirmation</v>
      </c>
      <c r="M50" s="80" t="str">
        <f t="shared" si="3"/>
        <v>20251219_snorkel_batch001__llm_navqa_popular_websites__103</v>
      </c>
    </row>
    <row r="51" ht="15.75" customHeight="1">
      <c r="B51" s="77">
        <f t="shared" si="1"/>
        <v>1</v>
      </c>
      <c r="C51" s="67" t="s">
        <v>195</v>
      </c>
      <c r="D51" s="78" t="s">
        <v>13</v>
      </c>
      <c r="E51" s="78" t="s">
        <v>14</v>
      </c>
      <c r="F51" s="67" t="s">
        <v>168</v>
      </c>
      <c r="G51" s="81" t="s">
        <v>337</v>
      </c>
      <c r="H51" s="79" t="s">
        <v>338</v>
      </c>
      <c r="I51" s="67" t="s">
        <v>18</v>
      </c>
      <c r="L51" s="80" t="str">
        <f t="shared" si="2"/>
        <v>No infirmation</v>
      </c>
      <c r="M51" s="80" t="str">
        <f t="shared" si="3"/>
        <v>20251219_snorkel_batch004__llm_navqa_webvoyager_websites__137</v>
      </c>
    </row>
    <row r="52" ht="15.75" customHeight="1">
      <c r="B52" s="77">
        <f t="shared" si="1"/>
        <v>1</v>
      </c>
      <c r="C52" s="67" t="s">
        <v>195</v>
      </c>
      <c r="D52" s="78" t="s">
        <v>13</v>
      </c>
      <c r="E52" s="78" t="s">
        <v>14</v>
      </c>
      <c r="F52" s="67" t="s">
        <v>168</v>
      </c>
      <c r="G52" s="81" t="s">
        <v>339</v>
      </c>
      <c r="H52" s="79" t="s">
        <v>340</v>
      </c>
      <c r="I52" s="67" t="s">
        <v>18</v>
      </c>
      <c r="L52" s="80" t="str">
        <f t="shared" si="2"/>
        <v>No infirmation</v>
      </c>
      <c r="M52" s="80" t="str">
        <f t="shared" si="3"/>
        <v>20251219_snorkel_batch005__llm_navqa_popular_websites__118</v>
      </c>
    </row>
    <row r="53" ht="15.75" customHeight="1">
      <c r="B53" s="77">
        <f t="shared" si="1"/>
        <v>1</v>
      </c>
      <c r="C53" s="67" t="s">
        <v>195</v>
      </c>
      <c r="D53" s="78" t="s">
        <v>13</v>
      </c>
      <c r="E53" s="78" t="s">
        <v>14</v>
      </c>
      <c r="F53" s="67" t="s">
        <v>168</v>
      </c>
      <c r="G53" s="81" t="s">
        <v>341</v>
      </c>
      <c r="H53" s="79" t="s">
        <v>342</v>
      </c>
      <c r="I53" s="67" t="s">
        <v>18</v>
      </c>
      <c r="L53" s="80" t="str">
        <f t="shared" si="2"/>
        <v>No infirmation</v>
      </c>
      <c r="M53" s="80" t="str">
        <f t="shared" si="3"/>
        <v>20251219_snorkel_batch004__llm_navqa_webvoyager_websites__61</v>
      </c>
    </row>
    <row r="54" ht="15.75" customHeight="1">
      <c r="B54" s="77">
        <f t="shared" si="1"/>
        <v>1</v>
      </c>
      <c r="C54" s="67" t="s">
        <v>195</v>
      </c>
      <c r="D54" s="78" t="s">
        <v>13</v>
      </c>
      <c r="E54" s="78" t="s">
        <v>14</v>
      </c>
      <c r="F54" s="67" t="s">
        <v>168</v>
      </c>
      <c r="G54" s="81" t="s">
        <v>343</v>
      </c>
      <c r="H54" s="79" t="s">
        <v>344</v>
      </c>
      <c r="I54" s="67" t="s">
        <v>18</v>
      </c>
      <c r="L54" s="80" t="str">
        <f t="shared" si="2"/>
        <v>No infirmation</v>
      </c>
      <c r="M54" s="80" t="str">
        <f t="shared" si="3"/>
        <v>20251219_snorkel_batch009__llm_navqa_onlinemind2web_websites__1</v>
      </c>
    </row>
    <row r="55" ht="15.75" customHeight="1">
      <c r="B55" s="77">
        <f t="shared" si="1"/>
        <v>1</v>
      </c>
      <c r="C55" s="67" t="s">
        <v>195</v>
      </c>
      <c r="D55" s="78" t="s">
        <v>13</v>
      </c>
      <c r="E55" s="78" t="s">
        <v>14</v>
      </c>
      <c r="F55" s="67" t="s">
        <v>168</v>
      </c>
      <c r="G55" s="81" t="s">
        <v>345</v>
      </c>
      <c r="H55" s="79" t="s">
        <v>346</v>
      </c>
      <c r="I55" s="67" t="s">
        <v>18</v>
      </c>
      <c r="L55" s="80" t="str">
        <f t="shared" si="2"/>
        <v>No infirmation</v>
      </c>
      <c r="M55" s="80" t="str">
        <f t="shared" si="3"/>
        <v>20251219_snorkel_batch003__llm_navqa_popular_websites__101</v>
      </c>
    </row>
    <row r="56" ht="15.75" customHeight="1">
      <c r="B56" s="77">
        <f t="shared" si="1"/>
        <v>1</v>
      </c>
      <c r="C56" s="67" t="s">
        <v>195</v>
      </c>
      <c r="D56" s="78" t="s">
        <v>13</v>
      </c>
      <c r="E56" s="78" t="s">
        <v>14</v>
      </c>
      <c r="F56" s="67" t="s">
        <v>168</v>
      </c>
      <c r="G56" s="81" t="s">
        <v>347</v>
      </c>
      <c r="H56" s="79" t="s">
        <v>348</v>
      </c>
      <c r="I56" s="67" t="s">
        <v>18</v>
      </c>
      <c r="L56" s="80" t="str">
        <f t="shared" si="2"/>
        <v>No infirmation</v>
      </c>
      <c r="M56" s="80" t="str">
        <f t="shared" si="3"/>
        <v>20251219_snorkel_batch002__llm_navqa_popular_websites__99</v>
      </c>
    </row>
    <row r="57" ht="15.75" customHeight="1">
      <c r="B57" s="77">
        <f t="shared" si="1"/>
        <v>1</v>
      </c>
      <c r="C57" s="67" t="s">
        <v>193</v>
      </c>
      <c r="D57" s="78" t="s">
        <v>194</v>
      </c>
      <c r="E57" s="78" t="s">
        <v>14</v>
      </c>
      <c r="F57" s="67" t="s">
        <v>168</v>
      </c>
      <c r="G57" s="81" t="s">
        <v>349</v>
      </c>
      <c r="H57" s="79" t="s">
        <v>350</v>
      </c>
      <c r="I57" s="67" t="s">
        <v>18</v>
      </c>
      <c r="L57" s="80" t="str">
        <f t="shared" si="2"/>
        <v>No infirmation</v>
      </c>
      <c r="M57" s="80" t="str">
        <f t="shared" si="3"/>
        <v>20251121_snorkel_batch001__webvoyager_like__424</v>
      </c>
    </row>
    <row r="58" ht="15.75" customHeight="1">
      <c r="B58" s="77">
        <f t="shared" si="1"/>
        <v>1</v>
      </c>
      <c r="C58" s="67" t="s">
        <v>193</v>
      </c>
      <c r="D58" s="78" t="s">
        <v>194</v>
      </c>
      <c r="E58" s="78" t="s">
        <v>14</v>
      </c>
      <c r="F58" s="67" t="s">
        <v>168</v>
      </c>
      <c r="G58" s="81" t="s">
        <v>351</v>
      </c>
      <c r="H58" s="79" t="s">
        <v>352</v>
      </c>
      <c r="I58" s="67" t="s">
        <v>18</v>
      </c>
      <c r="L58" s="80" t="str">
        <f t="shared" si="2"/>
        <v>No infirmation</v>
      </c>
      <c r="M58" s="80" t="str">
        <f t="shared" si="3"/>
        <v>20251219_snorkel_batch006__llm_navqa_webvoyager_websites__135</v>
      </c>
    </row>
    <row r="59" ht="15.75" customHeight="1">
      <c r="B59" s="77">
        <f t="shared" si="1"/>
        <v>1</v>
      </c>
      <c r="C59" s="67" t="s">
        <v>193</v>
      </c>
      <c r="D59" s="78" t="s">
        <v>194</v>
      </c>
      <c r="E59" s="78" t="s">
        <v>14</v>
      </c>
      <c r="F59" s="67" t="s">
        <v>168</v>
      </c>
      <c r="G59" s="81" t="s">
        <v>353</v>
      </c>
      <c r="H59" s="79" t="s">
        <v>354</v>
      </c>
      <c r="I59" s="67" t="s">
        <v>18</v>
      </c>
      <c r="L59" s="80" t="str">
        <f t="shared" si="2"/>
        <v>No infirmation</v>
      </c>
      <c r="M59" s="80" t="str">
        <f t="shared" si="3"/>
        <v>20251219_snorkel_batch002__llm_navqa_webvoyager_websites__96</v>
      </c>
    </row>
    <row r="60" ht="15.75" customHeight="1">
      <c r="B60" s="77">
        <f t="shared" si="1"/>
        <v>1</v>
      </c>
      <c r="C60" s="67" t="s">
        <v>193</v>
      </c>
      <c r="D60" s="78" t="s">
        <v>194</v>
      </c>
      <c r="E60" s="78" t="s">
        <v>14</v>
      </c>
      <c r="F60" s="67" t="s">
        <v>168</v>
      </c>
      <c r="G60" s="81" t="s">
        <v>355</v>
      </c>
      <c r="H60" s="79" t="s">
        <v>356</v>
      </c>
      <c r="I60" s="67" t="s">
        <v>18</v>
      </c>
      <c r="L60" s="80" t="str">
        <f t="shared" si="2"/>
        <v>No infirmation</v>
      </c>
      <c r="M60" s="80" t="str">
        <f t="shared" si="3"/>
        <v>20251219_snorkel_batch004__llm_navqa_webvoyager_websites__149</v>
      </c>
    </row>
    <row r="61" ht="15.75" customHeight="1">
      <c r="B61" s="77">
        <f t="shared" si="1"/>
        <v>1</v>
      </c>
      <c r="C61" s="67" t="s">
        <v>193</v>
      </c>
      <c r="D61" s="78" t="s">
        <v>194</v>
      </c>
      <c r="E61" s="78" t="s">
        <v>14</v>
      </c>
      <c r="F61" s="67" t="s">
        <v>168</v>
      </c>
      <c r="G61" s="81" t="s">
        <v>357</v>
      </c>
      <c r="H61" s="79" t="s">
        <v>358</v>
      </c>
      <c r="I61" s="67" t="s">
        <v>18</v>
      </c>
      <c r="L61" s="80" t="str">
        <f t="shared" si="2"/>
        <v>No infirmation</v>
      </c>
      <c r="M61" s="80" t="str">
        <f t="shared" si="3"/>
        <v>20251219_snorkel_batch008__llm_navqa_webvoyager_websites__87</v>
      </c>
    </row>
    <row r="62" ht="15.75" customHeight="1">
      <c r="B62" s="77">
        <f t="shared" si="1"/>
        <v>1</v>
      </c>
      <c r="C62" s="67" t="s">
        <v>193</v>
      </c>
      <c r="D62" s="78" t="s">
        <v>194</v>
      </c>
      <c r="E62" s="78" t="s">
        <v>14</v>
      </c>
      <c r="F62" s="67" t="s">
        <v>168</v>
      </c>
      <c r="G62" s="81" t="s">
        <v>359</v>
      </c>
      <c r="H62" s="79" t="s">
        <v>360</v>
      </c>
      <c r="I62" s="67" t="s">
        <v>18</v>
      </c>
      <c r="J62" s="67" t="s">
        <v>361</v>
      </c>
      <c r="K62" s="67">
        <v>40.0</v>
      </c>
      <c r="L62" s="80" t="str">
        <f t="shared" si="2"/>
        <v>No infirmation</v>
      </c>
      <c r="M62" s="80" t="str">
        <f t="shared" si="3"/>
        <v>20251219_snorkel_batch006__llm_navqa_popular_websites__67</v>
      </c>
    </row>
    <row r="63" ht="15.75" customHeight="1">
      <c r="B63" s="77">
        <f t="shared" si="1"/>
        <v>1</v>
      </c>
      <c r="C63" s="67" t="s">
        <v>193</v>
      </c>
      <c r="D63" s="78" t="s">
        <v>194</v>
      </c>
      <c r="E63" s="78" t="s">
        <v>14</v>
      </c>
      <c r="F63" s="67" t="s">
        <v>168</v>
      </c>
      <c r="G63" s="81" t="s">
        <v>362</v>
      </c>
      <c r="H63" s="79" t="s">
        <v>363</v>
      </c>
      <c r="I63" s="67" t="s">
        <v>18</v>
      </c>
      <c r="J63" s="67" t="s">
        <v>364</v>
      </c>
      <c r="K63" s="67">
        <v>40.0</v>
      </c>
      <c r="L63" s="80" t="str">
        <f t="shared" si="2"/>
        <v>No infirmation</v>
      </c>
      <c r="M63" s="80" t="str">
        <f t="shared" si="3"/>
        <v>20251219_snorkel_batch010__llm_navqa_webvoyager_websites__82</v>
      </c>
    </row>
    <row r="64" ht="15.75" customHeight="1">
      <c r="B64" s="77">
        <f t="shared" si="1"/>
        <v>1</v>
      </c>
      <c r="C64" s="67" t="s">
        <v>193</v>
      </c>
      <c r="D64" s="78" t="s">
        <v>194</v>
      </c>
      <c r="E64" s="78" t="s">
        <v>14</v>
      </c>
      <c r="F64" s="67" t="s">
        <v>168</v>
      </c>
      <c r="G64" s="81" t="s">
        <v>365</v>
      </c>
      <c r="H64" s="79" t="s">
        <v>366</v>
      </c>
      <c r="I64" s="67" t="s">
        <v>18</v>
      </c>
      <c r="L64" s="80" t="str">
        <f t="shared" si="2"/>
        <v>No infirmation</v>
      </c>
      <c r="M64" s="80" t="str">
        <f t="shared" si="3"/>
        <v>20251219_snorkel_batch006__llm_navqa_popular_websites__140</v>
      </c>
    </row>
    <row r="65" ht="15.75" customHeight="1">
      <c r="B65" s="77">
        <f t="shared" si="1"/>
        <v>1</v>
      </c>
      <c r="C65" s="67" t="s">
        <v>193</v>
      </c>
      <c r="D65" s="78" t="s">
        <v>194</v>
      </c>
      <c r="E65" s="78" t="s">
        <v>14</v>
      </c>
      <c r="F65" s="67" t="s">
        <v>168</v>
      </c>
      <c r="G65" s="81" t="s">
        <v>367</v>
      </c>
      <c r="H65" s="79" t="s">
        <v>368</v>
      </c>
      <c r="I65" s="67" t="s">
        <v>18</v>
      </c>
      <c r="L65" s="80" t="str">
        <f t="shared" si="2"/>
        <v>No infirmation</v>
      </c>
      <c r="M65" s="80" t="str">
        <f t="shared" si="3"/>
        <v>20251219_snorkel_batch010__llm_navqa_popular_websites__44</v>
      </c>
    </row>
    <row r="66" ht="15.75" customHeight="1">
      <c r="B66" s="77">
        <f t="shared" si="1"/>
        <v>1</v>
      </c>
      <c r="C66" s="67" t="s">
        <v>193</v>
      </c>
      <c r="D66" s="78" t="s">
        <v>194</v>
      </c>
      <c r="E66" s="78" t="s">
        <v>14</v>
      </c>
      <c r="F66" s="67" t="s">
        <v>168</v>
      </c>
      <c r="G66" s="81" t="s">
        <v>369</v>
      </c>
      <c r="H66" s="79" t="s">
        <v>370</v>
      </c>
      <c r="I66" s="67" t="s">
        <v>18</v>
      </c>
      <c r="J66" s="81" t="s">
        <v>241</v>
      </c>
      <c r="K66" s="67">
        <v>42.0</v>
      </c>
      <c r="L66" s="80" t="str">
        <f t="shared" si="2"/>
        <v>No infirmation</v>
      </c>
      <c r="M66" s="80" t="str">
        <f t="shared" si="3"/>
        <v>20251219_snorkel_batch009__llm_navqa_onlinemind2web_websites__128</v>
      </c>
    </row>
    <row r="67" ht="15.75" customHeight="1">
      <c r="B67" s="77">
        <f t="shared" si="1"/>
        <v>1</v>
      </c>
      <c r="C67" s="67" t="s">
        <v>193</v>
      </c>
      <c r="D67" s="78" t="s">
        <v>194</v>
      </c>
      <c r="E67" s="78" t="s">
        <v>14</v>
      </c>
      <c r="F67" s="67" t="s">
        <v>168</v>
      </c>
      <c r="G67" s="81" t="s">
        <v>371</v>
      </c>
      <c r="H67" s="79" t="s">
        <v>372</v>
      </c>
      <c r="I67" s="67" t="s">
        <v>18</v>
      </c>
      <c r="L67" s="80" t="str">
        <f t="shared" si="2"/>
        <v>No infirmation</v>
      </c>
      <c r="M67" s="80" t="str">
        <f t="shared" si="3"/>
        <v>20251219_snorkel_batch006__llm_navqa_webvoyager_websites__89</v>
      </c>
    </row>
    <row r="68" ht="15.75" customHeight="1">
      <c r="B68" s="77">
        <f t="shared" si="1"/>
        <v>1</v>
      </c>
      <c r="C68" s="67" t="s">
        <v>193</v>
      </c>
      <c r="D68" s="78" t="s">
        <v>194</v>
      </c>
      <c r="E68" s="78" t="s">
        <v>14</v>
      </c>
      <c r="F68" s="67" t="s">
        <v>168</v>
      </c>
      <c r="G68" s="81" t="s">
        <v>373</v>
      </c>
      <c r="H68" s="79" t="s">
        <v>374</v>
      </c>
      <c r="I68" s="67" t="s">
        <v>18</v>
      </c>
      <c r="L68" s="80" t="str">
        <f t="shared" si="2"/>
        <v>No infirmation</v>
      </c>
      <c r="M68" s="80" t="str">
        <f t="shared" si="3"/>
        <v>20251219_snorkel_batch001__llm_navqa_popular_websites__47</v>
      </c>
    </row>
    <row r="69" ht="15.75" customHeight="1">
      <c r="B69" s="77">
        <f t="shared" si="1"/>
        <v>1</v>
      </c>
      <c r="C69" s="67" t="s">
        <v>193</v>
      </c>
      <c r="D69" s="78" t="s">
        <v>194</v>
      </c>
      <c r="E69" s="78" t="s">
        <v>14</v>
      </c>
      <c r="F69" s="67" t="s">
        <v>168</v>
      </c>
      <c r="G69" s="81" t="s">
        <v>375</v>
      </c>
      <c r="H69" s="79" t="s">
        <v>376</v>
      </c>
      <c r="I69" s="67" t="s">
        <v>18</v>
      </c>
      <c r="J69" s="81" t="s">
        <v>241</v>
      </c>
      <c r="K69" s="67">
        <v>42.0</v>
      </c>
      <c r="L69" s="80" t="str">
        <f t="shared" si="2"/>
        <v>No infirmation</v>
      </c>
      <c r="M69" s="80" t="str">
        <f t="shared" si="3"/>
        <v>20251219_snorkel_batch005__llm_navqa_popular_websites__8</v>
      </c>
    </row>
    <row r="70" ht="15.75" customHeight="1">
      <c r="B70" s="77">
        <f t="shared" si="1"/>
        <v>1</v>
      </c>
      <c r="C70" s="67" t="s">
        <v>193</v>
      </c>
      <c r="D70" s="78" t="s">
        <v>194</v>
      </c>
      <c r="E70" s="78" t="s">
        <v>14</v>
      </c>
      <c r="F70" s="67" t="s">
        <v>168</v>
      </c>
      <c r="G70" s="81" t="s">
        <v>377</v>
      </c>
      <c r="H70" s="79" t="s">
        <v>378</v>
      </c>
      <c r="I70" s="67" t="s">
        <v>18</v>
      </c>
      <c r="L70" s="80" t="str">
        <f t="shared" si="2"/>
        <v>No infirmation</v>
      </c>
      <c r="M70" s="80" t="str">
        <f t="shared" si="3"/>
        <v>20251121_snorkel_batch001__webvoyager_like__222</v>
      </c>
    </row>
    <row r="71" ht="15.75" customHeight="1">
      <c r="B71" s="77">
        <f t="shared" si="1"/>
        <v>1</v>
      </c>
      <c r="C71" s="67" t="s">
        <v>193</v>
      </c>
      <c r="D71" s="78" t="s">
        <v>194</v>
      </c>
      <c r="E71" s="78" t="s">
        <v>14</v>
      </c>
      <c r="F71" s="67" t="s">
        <v>168</v>
      </c>
      <c r="G71" s="81" t="s">
        <v>379</v>
      </c>
      <c r="H71" s="79" t="s">
        <v>380</v>
      </c>
      <c r="I71" s="67" t="s">
        <v>18</v>
      </c>
      <c r="J71" s="81" t="s">
        <v>241</v>
      </c>
      <c r="K71" s="67">
        <v>42.0</v>
      </c>
      <c r="L71" s="80" t="str">
        <f t="shared" si="2"/>
        <v>No infirmation</v>
      </c>
      <c r="M71" s="80" t="str">
        <f t="shared" si="3"/>
        <v>20251219_snorkel_batch009__llm_navqa_webvoyager_websites__7</v>
      </c>
    </row>
    <row r="72" ht="15.75" customHeight="1">
      <c r="B72" s="77">
        <f t="shared" si="1"/>
        <v>1</v>
      </c>
      <c r="C72" s="67" t="s">
        <v>193</v>
      </c>
      <c r="D72" s="78" t="s">
        <v>194</v>
      </c>
      <c r="E72" s="78" t="s">
        <v>14</v>
      </c>
      <c r="F72" s="67" t="s">
        <v>168</v>
      </c>
      <c r="G72" s="81" t="s">
        <v>381</v>
      </c>
      <c r="H72" s="79" t="s">
        <v>382</v>
      </c>
      <c r="I72" s="67" t="s">
        <v>18</v>
      </c>
      <c r="L72" s="80" t="str">
        <f t="shared" si="2"/>
        <v>No infirmation</v>
      </c>
      <c r="M72" s="80" t="str">
        <f t="shared" si="3"/>
        <v>20251219_snorkel_batch001__llm_navqa_webvoyager_websites__50</v>
      </c>
    </row>
    <row r="73" ht="15.75" customHeight="1">
      <c r="B73" s="77">
        <f t="shared" si="1"/>
        <v>1</v>
      </c>
      <c r="C73" s="67" t="s">
        <v>193</v>
      </c>
      <c r="D73" s="78" t="s">
        <v>194</v>
      </c>
      <c r="E73" s="78" t="s">
        <v>14</v>
      </c>
      <c r="F73" s="67" t="s">
        <v>168</v>
      </c>
      <c r="G73" s="81" t="s">
        <v>383</v>
      </c>
      <c r="H73" s="79" t="s">
        <v>384</v>
      </c>
      <c r="I73" s="67" t="s">
        <v>18</v>
      </c>
      <c r="J73" s="67" t="s">
        <v>385</v>
      </c>
      <c r="K73" s="67">
        <v>41.0</v>
      </c>
      <c r="L73" s="80" t="str">
        <f t="shared" si="2"/>
        <v>No infirmation</v>
      </c>
      <c r="M73" s="80" t="str">
        <f t="shared" si="3"/>
        <v>20251219_snorkel_batch004__llm_navqa_popular_websites__76</v>
      </c>
    </row>
    <row r="74" ht="15.75" customHeight="1">
      <c r="B74" s="77">
        <f t="shared" si="1"/>
        <v>1</v>
      </c>
      <c r="C74" s="67" t="s">
        <v>193</v>
      </c>
      <c r="D74" s="78" t="s">
        <v>194</v>
      </c>
      <c r="E74" s="78" t="s">
        <v>14</v>
      </c>
      <c r="F74" s="67" t="s">
        <v>168</v>
      </c>
      <c r="G74" s="81" t="s">
        <v>386</v>
      </c>
      <c r="H74" s="79" t="s">
        <v>387</v>
      </c>
      <c r="I74" s="67" t="s">
        <v>18</v>
      </c>
      <c r="J74" s="67" t="s">
        <v>241</v>
      </c>
      <c r="K74" s="67">
        <v>42.0</v>
      </c>
      <c r="L74" s="80" t="str">
        <f t="shared" si="2"/>
        <v>No infirmation</v>
      </c>
      <c r="M74" s="80" t="str">
        <f t="shared" si="3"/>
        <v>20251219_snorkel_batch005__llm_navqa_webvoyager_websites__19</v>
      </c>
    </row>
    <row r="75" ht="15.75" customHeight="1">
      <c r="B75" s="77">
        <f t="shared" si="1"/>
        <v>1</v>
      </c>
      <c r="C75" s="67" t="s">
        <v>193</v>
      </c>
      <c r="D75" s="78" t="s">
        <v>194</v>
      </c>
      <c r="E75" s="78" t="s">
        <v>14</v>
      </c>
      <c r="F75" s="67" t="s">
        <v>168</v>
      </c>
      <c r="G75" s="81" t="s">
        <v>388</v>
      </c>
      <c r="H75" s="79" t="s">
        <v>389</v>
      </c>
      <c r="I75" s="67" t="s">
        <v>18</v>
      </c>
      <c r="L75" s="80" t="str">
        <f t="shared" si="2"/>
        <v>No infirmation</v>
      </c>
      <c r="M75" s="80" t="str">
        <f t="shared" si="3"/>
        <v>20251219_snorkel_batch002__llm_navqa_webvoyager_websites__162</v>
      </c>
    </row>
    <row r="76" ht="15.75" customHeight="1">
      <c r="B76" s="77">
        <f t="shared" si="1"/>
        <v>1</v>
      </c>
      <c r="C76" s="67" t="s">
        <v>193</v>
      </c>
      <c r="D76" s="78" t="s">
        <v>194</v>
      </c>
      <c r="E76" s="78" t="s">
        <v>14</v>
      </c>
      <c r="F76" s="67" t="s">
        <v>168</v>
      </c>
      <c r="G76" s="81" t="s">
        <v>390</v>
      </c>
      <c r="H76" s="79" t="s">
        <v>391</v>
      </c>
      <c r="I76" s="67" t="s">
        <v>18</v>
      </c>
      <c r="L76" s="80" t="str">
        <f t="shared" si="2"/>
        <v>No infirmation</v>
      </c>
      <c r="M76" s="80" t="str">
        <f t="shared" si="3"/>
        <v>20251219_snorkel_batch010__llm_navqa_onlinemind2web_websites__137</v>
      </c>
    </row>
    <row r="77" ht="15.75" customHeight="1">
      <c r="B77" s="77">
        <f t="shared" si="1"/>
        <v>1</v>
      </c>
      <c r="C77" s="67" t="s">
        <v>193</v>
      </c>
      <c r="D77" s="78" t="s">
        <v>194</v>
      </c>
      <c r="E77" s="78" t="s">
        <v>14</v>
      </c>
      <c r="F77" s="67" t="s">
        <v>168</v>
      </c>
      <c r="G77" s="81" t="s">
        <v>392</v>
      </c>
      <c r="H77" s="79" t="s">
        <v>393</v>
      </c>
      <c r="I77" s="67" t="s">
        <v>18</v>
      </c>
      <c r="J77" s="67" t="s">
        <v>394</v>
      </c>
      <c r="K77" s="67">
        <v>40.0</v>
      </c>
      <c r="L77" s="80" t="str">
        <f t="shared" si="2"/>
        <v>No infirmation</v>
      </c>
      <c r="M77" s="80" t="str">
        <f t="shared" si="3"/>
        <v>20251219_snorkel_batch007__llm_navqa_onlinemind2web_websites__123</v>
      </c>
    </row>
    <row r="78" ht="15.75" customHeight="1">
      <c r="B78" s="77">
        <f t="shared" si="1"/>
        <v>1</v>
      </c>
      <c r="C78" s="67" t="s">
        <v>193</v>
      </c>
      <c r="D78" s="78" t="s">
        <v>194</v>
      </c>
      <c r="E78" s="78" t="s">
        <v>14</v>
      </c>
      <c r="F78" s="67" t="s">
        <v>168</v>
      </c>
      <c r="G78" s="81" t="s">
        <v>395</v>
      </c>
      <c r="H78" s="79" t="s">
        <v>396</v>
      </c>
      <c r="I78" s="67" t="s">
        <v>18</v>
      </c>
      <c r="L78" s="80" t="str">
        <f t="shared" si="2"/>
        <v>No infirmation</v>
      </c>
      <c r="M78" s="80" t="str">
        <f t="shared" si="3"/>
        <v>20251219_snorkel_batch007__llm_navqa_onlinemind2web_websites__169</v>
      </c>
    </row>
    <row r="79" ht="15.75" customHeight="1">
      <c r="B79" s="77">
        <f t="shared" si="1"/>
        <v>1</v>
      </c>
      <c r="C79" s="67" t="s">
        <v>193</v>
      </c>
      <c r="D79" s="78" t="s">
        <v>194</v>
      </c>
      <c r="E79" s="78" t="s">
        <v>14</v>
      </c>
      <c r="F79" s="67" t="s">
        <v>168</v>
      </c>
      <c r="G79" s="81" t="s">
        <v>397</v>
      </c>
      <c r="H79" s="79" t="s">
        <v>398</v>
      </c>
      <c r="I79" s="67" t="s">
        <v>18</v>
      </c>
      <c r="J79" s="67" t="s">
        <v>399</v>
      </c>
      <c r="K79" s="67">
        <v>41.0</v>
      </c>
      <c r="L79" s="80" t="str">
        <f t="shared" si="2"/>
        <v>No infirmation</v>
      </c>
      <c r="M79" s="80" t="str">
        <f t="shared" si="3"/>
        <v>20251219_snorkel_batch002__llm_navqa_onlinemind2web_websites__67</v>
      </c>
    </row>
    <row r="80" ht="15.75" customHeight="1">
      <c r="B80" s="77">
        <f t="shared" si="1"/>
        <v>1</v>
      </c>
      <c r="C80" s="67" t="s">
        <v>193</v>
      </c>
      <c r="D80" s="78" t="s">
        <v>194</v>
      </c>
      <c r="E80" s="78" t="s">
        <v>14</v>
      </c>
      <c r="F80" s="67" t="s">
        <v>168</v>
      </c>
      <c r="G80" s="81" t="s">
        <v>400</v>
      </c>
      <c r="H80" s="79" t="s">
        <v>401</v>
      </c>
      <c r="I80" s="67" t="s">
        <v>18</v>
      </c>
      <c r="L80" s="80" t="str">
        <f t="shared" si="2"/>
        <v>No infirmation</v>
      </c>
      <c r="M80" s="80" t="str">
        <f t="shared" si="3"/>
        <v>20251219_snorkel_batch005__llm_navqa_webvoyager_websites__83</v>
      </c>
    </row>
    <row r="81" ht="15.75" customHeight="1">
      <c r="B81" s="77">
        <f t="shared" si="1"/>
        <v>1</v>
      </c>
      <c r="C81" s="67" t="s">
        <v>193</v>
      </c>
      <c r="D81" s="78" t="s">
        <v>194</v>
      </c>
      <c r="E81" s="78" t="s">
        <v>14</v>
      </c>
      <c r="F81" s="67" t="s">
        <v>168</v>
      </c>
      <c r="G81" s="81" t="s">
        <v>402</v>
      </c>
      <c r="H81" s="79" t="s">
        <v>403</v>
      </c>
      <c r="I81" s="67" t="s">
        <v>18</v>
      </c>
      <c r="L81" s="80" t="str">
        <f t="shared" si="2"/>
        <v>No infirmation</v>
      </c>
      <c r="M81" s="80" t="str">
        <f t="shared" si="3"/>
        <v>20251219_snorkel_batch005__llm_navqa_popular_websites__141</v>
      </c>
    </row>
    <row r="82" ht="15.75" customHeight="1">
      <c r="B82" s="77">
        <f t="shared" si="1"/>
        <v>1</v>
      </c>
      <c r="C82" s="67" t="s">
        <v>193</v>
      </c>
      <c r="D82" s="78" t="s">
        <v>194</v>
      </c>
      <c r="E82" s="78" t="s">
        <v>14</v>
      </c>
      <c r="F82" s="67" t="s">
        <v>168</v>
      </c>
      <c r="G82" s="81" t="s">
        <v>404</v>
      </c>
      <c r="H82" s="79" t="s">
        <v>405</v>
      </c>
      <c r="I82" s="67" t="s">
        <v>18</v>
      </c>
      <c r="L82" s="80" t="str">
        <f t="shared" si="2"/>
        <v>No infirmation</v>
      </c>
      <c r="M82" s="80" t="str">
        <f t="shared" si="3"/>
        <v>20251219_snorkel_batch007__llm_navqa_popular_websites__157</v>
      </c>
    </row>
    <row r="83" ht="15.75" customHeight="1">
      <c r="B83" s="77">
        <f t="shared" si="1"/>
        <v>1</v>
      </c>
      <c r="C83" s="67" t="s">
        <v>193</v>
      </c>
      <c r="D83" s="78" t="s">
        <v>194</v>
      </c>
      <c r="E83" s="78" t="s">
        <v>14</v>
      </c>
      <c r="F83" s="67" t="s">
        <v>168</v>
      </c>
      <c r="G83" s="81" t="s">
        <v>406</v>
      </c>
      <c r="H83" s="79" t="s">
        <v>407</v>
      </c>
      <c r="I83" s="67" t="s">
        <v>18</v>
      </c>
      <c r="L83" s="80" t="str">
        <f t="shared" si="2"/>
        <v>No infirmation</v>
      </c>
      <c r="M83" s="80" t="str">
        <f t="shared" si="3"/>
        <v>20251219_snorkel_batch008__llm_navqa_webvoyager_websites__96</v>
      </c>
    </row>
    <row r="84" ht="15.75" customHeight="1">
      <c r="B84" s="77">
        <f t="shared" si="1"/>
        <v>1</v>
      </c>
      <c r="C84" s="67" t="s">
        <v>193</v>
      </c>
      <c r="D84" s="78" t="s">
        <v>194</v>
      </c>
      <c r="E84" s="78" t="s">
        <v>14</v>
      </c>
      <c r="F84" s="67" t="s">
        <v>168</v>
      </c>
      <c r="G84" s="81" t="s">
        <v>408</v>
      </c>
      <c r="H84" s="79" t="s">
        <v>409</v>
      </c>
      <c r="I84" s="67" t="s">
        <v>18</v>
      </c>
      <c r="J84" s="67" t="s">
        <v>410</v>
      </c>
      <c r="K84" s="67">
        <v>40.0</v>
      </c>
      <c r="L84" s="80" t="str">
        <f t="shared" si="2"/>
        <v>No infirmation</v>
      </c>
      <c r="M84" s="80" t="str">
        <f t="shared" si="3"/>
        <v>20251219_snorkel_batch010__llm_navqa_popular_websites__91</v>
      </c>
    </row>
    <row r="85" ht="15.75" customHeight="1">
      <c r="B85" s="77">
        <f t="shared" si="1"/>
        <v>1</v>
      </c>
      <c r="C85" s="67" t="s">
        <v>193</v>
      </c>
      <c r="D85" s="78" t="s">
        <v>194</v>
      </c>
      <c r="E85" s="78" t="s">
        <v>14</v>
      </c>
      <c r="F85" s="67" t="s">
        <v>168</v>
      </c>
      <c r="G85" s="81" t="s">
        <v>411</v>
      </c>
      <c r="H85" s="79" t="s">
        <v>412</v>
      </c>
      <c r="I85" s="67" t="s">
        <v>18</v>
      </c>
      <c r="L85" s="80" t="str">
        <f t="shared" si="2"/>
        <v>No infirmation</v>
      </c>
      <c r="M85" s="80" t="str">
        <f t="shared" si="3"/>
        <v>20251219_snorkel_batch010__llm_navqa_webvoyager_websites__95</v>
      </c>
    </row>
    <row r="86" ht="15.75" customHeight="1">
      <c r="B86" s="77">
        <f t="shared" si="1"/>
        <v>1</v>
      </c>
      <c r="C86" s="67" t="s">
        <v>193</v>
      </c>
      <c r="D86" s="78" t="s">
        <v>194</v>
      </c>
      <c r="E86" s="78" t="s">
        <v>14</v>
      </c>
      <c r="F86" s="67" t="s">
        <v>168</v>
      </c>
      <c r="G86" s="81" t="s">
        <v>413</v>
      </c>
      <c r="H86" s="79" t="s">
        <v>414</v>
      </c>
      <c r="I86" s="67" t="s">
        <v>18</v>
      </c>
      <c r="L86" s="80" t="str">
        <f t="shared" si="2"/>
        <v>No infirmation</v>
      </c>
      <c r="M86" s="80" t="str">
        <f t="shared" si="3"/>
        <v>20251219_snorkel_batch007__llm_navqa_webvoyager_websites__91</v>
      </c>
    </row>
    <row r="87" ht="15.75" customHeight="1">
      <c r="B87" s="77">
        <f t="shared" si="1"/>
        <v>1</v>
      </c>
      <c r="C87" s="81" t="s">
        <v>197</v>
      </c>
      <c r="D87" s="78" t="s">
        <v>198</v>
      </c>
      <c r="E87" s="78" t="s">
        <v>14</v>
      </c>
      <c r="F87" s="67" t="s">
        <v>168</v>
      </c>
      <c r="G87" s="84" t="s">
        <v>415</v>
      </c>
      <c r="H87" s="85" t="s">
        <v>416</v>
      </c>
      <c r="I87" s="69" t="s">
        <v>18</v>
      </c>
      <c r="L87" s="80" t="str">
        <f t="shared" si="2"/>
        <v>No infirmation</v>
      </c>
      <c r="M87" s="80" t="str">
        <f t="shared" si="3"/>
        <v>20251219_snorkel_batch008__llm_navqa_popular_websites__62</v>
      </c>
    </row>
    <row r="88" ht="15.75" customHeight="1">
      <c r="B88" s="77">
        <f t="shared" si="1"/>
        <v>1</v>
      </c>
      <c r="C88" s="81" t="s">
        <v>197</v>
      </c>
      <c r="D88" s="78" t="s">
        <v>198</v>
      </c>
      <c r="E88" s="78" t="s">
        <v>14</v>
      </c>
      <c r="F88" s="67" t="s">
        <v>168</v>
      </c>
      <c r="G88" s="86" t="s">
        <v>417</v>
      </c>
      <c r="H88" s="85" t="s">
        <v>418</v>
      </c>
      <c r="I88" s="69" t="s">
        <v>18</v>
      </c>
      <c r="L88" s="80" t="str">
        <f t="shared" si="2"/>
        <v>No infirmation</v>
      </c>
      <c r="M88" s="80" t="str">
        <f t="shared" si="3"/>
        <v>20251219_snorkel_batch001__llm_navqa_webvoyager_websites__19</v>
      </c>
    </row>
    <row r="89" ht="15.75" customHeight="1">
      <c r="B89" s="77">
        <f t="shared" si="1"/>
        <v>1</v>
      </c>
      <c r="C89" s="81" t="s">
        <v>197</v>
      </c>
      <c r="D89" s="78" t="s">
        <v>198</v>
      </c>
      <c r="E89" s="78" t="s">
        <v>14</v>
      </c>
      <c r="F89" s="67" t="s">
        <v>168</v>
      </c>
      <c r="G89" s="84" t="s">
        <v>419</v>
      </c>
      <c r="H89" s="85" t="s">
        <v>420</v>
      </c>
      <c r="I89" s="69" t="s">
        <v>18</v>
      </c>
      <c r="L89" s="80" t="str">
        <f t="shared" si="2"/>
        <v>No infirmation</v>
      </c>
      <c r="M89" s="80" t="str">
        <f t="shared" si="3"/>
        <v>20251219_snorkel_batch006__llm_navqa_webvoyager_websites__20</v>
      </c>
    </row>
    <row r="90" ht="15.75" customHeight="1">
      <c r="B90" s="77">
        <f t="shared" si="1"/>
        <v>1</v>
      </c>
      <c r="C90" s="81" t="s">
        <v>197</v>
      </c>
      <c r="D90" s="78" t="s">
        <v>198</v>
      </c>
      <c r="E90" s="78" t="s">
        <v>14</v>
      </c>
      <c r="F90" s="67" t="s">
        <v>168</v>
      </c>
      <c r="G90" s="84" t="s">
        <v>421</v>
      </c>
      <c r="H90" s="87" t="s">
        <v>422</v>
      </c>
      <c r="I90" s="69" t="s">
        <v>18</v>
      </c>
      <c r="L90" s="80" t="str">
        <f t="shared" si="2"/>
        <v>No infirmation</v>
      </c>
      <c r="M90" s="80" t="str">
        <f t="shared" si="3"/>
        <v>20251219_snorkel_batch007__llm_navqa_popular_websites__139</v>
      </c>
    </row>
    <row r="91" ht="15.75" customHeight="1">
      <c r="B91" s="77">
        <f t="shared" si="1"/>
        <v>1</v>
      </c>
      <c r="C91" s="81" t="s">
        <v>197</v>
      </c>
      <c r="D91" s="78" t="s">
        <v>198</v>
      </c>
      <c r="E91" s="78" t="s">
        <v>14</v>
      </c>
      <c r="F91" s="67" t="s">
        <v>168</v>
      </c>
      <c r="G91" s="84" t="s">
        <v>423</v>
      </c>
      <c r="H91" s="88" t="s">
        <v>424</v>
      </c>
      <c r="I91" s="69" t="s">
        <v>18</v>
      </c>
      <c r="L91" s="80" t="str">
        <f t="shared" si="2"/>
        <v>No infirmation</v>
      </c>
      <c r="M91" s="80" t="str">
        <f t="shared" si="3"/>
        <v>20251219_snorkel_batch009__llm_navqa_onlinemind2web_websites__69</v>
      </c>
    </row>
    <row r="92" ht="15.75" customHeight="1">
      <c r="B92" s="77">
        <f t="shared" si="1"/>
        <v>1</v>
      </c>
      <c r="C92" s="81" t="s">
        <v>197</v>
      </c>
      <c r="D92" s="78" t="s">
        <v>198</v>
      </c>
      <c r="E92" s="78" t="s">
        <v>14</v>
      </c>
      <c r="F92" s="67" t="s">
        <v>168</v>
      </c>
      <c r="G92" s="84" t="s">
        <v>425</v>
      </c>
      <c r="H92" s="89" t="s">
        <v>426</v>
      </c>
      <c r="I92" s="69" t="s">
        <v>18</v>
      </c>
      <c r="L92" s="80" t="str">
        <f t="shared" si="2"/>
        <v>No infirmation</v>
      </c>
      <c r="M92" s="80" t="str">
        <f t="shared" si="3"/>
        <v>20251219_snorkel_batch010__llm_navqa_webvoyager_websites__47</v>
      </c>
    </row>
    <row r="93" ht="15.75" customHeight="1">
      <c r="B93" s="77">
        <f t="shared" si="1"/>
        <v>1</v>
      </c>
      <c r="C93" s="81" t="s">
        <v>197</v>
      </c>
      <c r="D93" s="78" t="s">
        <v>198</v>
      </c>
      <c r="E93" s="78" t="s">
        <v>14</v>
      </c>
      <c r="F93" s="67" t="s">
        <v>168</v>
      </c>
      <c r="G93" s="86" t="s">
        <v>427</v>
      </c>
      <c r="H93" s="87" t="s">
        <v>428</v>
      </c>
      <c r="I93" s="69" t="s">
        <v>429</v>
      </c>
      <c r="L93" s="80" t="str">
        <f t="shared" si="2"/>
        <v>No infirmation</v>
      </c>
      <c r="M93" s="80" t="str">
        <f t="shared" si="3"/>
        <v>20251219_snorkel_batch007__llm_navqa_onlinemind2web_websites__108</v>
      </c>
    </row>
    <row r="94" ht="15.75" customHeight="1">
      <c r="B94" s="77">
        <f t="shared" si="1"/>
        <v>1</v>
      </c>
      <c r="C94" s="81" t="s">
        <v>197</v>
      </c>
      <c r="D94" s="78" t="s">
        <v>198</v>
      </c>
      <c r="E94" s="78" t="s">
        <v>14</v>
      </c>
      <c r="F94" s="67" t="s">
        <v>168</v>
      </c>
      <c r="G94" s="86" t="s">
        <v>430</v>
      </c>
      <c r="H94" s="88" t="s">
        <v>431</v>
      </c>
      <c r="I94" s="69" t="s">
        <v>18</v>
      </c>
      <c r="L94" s="80" t="str">
        <f t="shared" si="2"/>
        <v>No infirmation</v>
      </c>
      <c r="M94" s="80" t="str">
        <f t="shared" si="3"/>
        <v>20251219_snorkel_batch007__llm_navqa_webvoyager_websites__85</v>
      </c>
    </row>
    <row r="95" ht="15.75" customHeight="1">
      <c r="B95" s="77">
        <f t="shared" si="1"/>
        <v>1</v>
      </c>
      <c r="C95" s="81" t="s">
        <v>197</v>
      </c>
      <c r="D95" s="78" t="s">
        <v>198</v>
      </c>
      <c r="E95" s="78" t="s">
        <v>14</v>
      </c>
      <c r="F95" s="67" t="s">
        <v>168</v>
      </c>
      <c r="G95" s="86" t="s">
        <v>432</v>
      </c>
      <c r="H95" s="87" t="s">
        <v>433</v>
      </c>
      <c r="I95" s="69" t="s">
        <v>18</v>
      </c>
      <c r="L95" s="80" t="str">
        <f t="shared" si="2"/>
        <v>No infirmation</v>
      </c>
      <c r="M95" s="80" t="str">
        <f t="shared" si="3"/>
        <v>20251219_snorkel_batch004__llm_navqa_onlinemind2web_websites__63</v>
      </c>
    </row>
    <row r="96" ht="15.75" customHeight="1">
      <c r="B96" s="77">
        <f t="shared" si="1"/>
        <v>1</v>
      </c>
      <c r="C96" s="81" t="s">
        <v>197</v>
      </c>
      <c r="D96" s="78" t="s">
        <v>198</v>
      </c>
      <c r="E96" s="78" t="s">
        <v>14</v>
      </c>
      <c r="F96" s="67" t="s">
        <v>168</v>
      </c>
      <c r="G96" s="86" t="s">
        <v>434</v>
      </c>
      <c r="H96" s="90" t="s">
        <v>435</v>
      </c>
      <c r="I96" s="69" t="s">
        <v>18</v>
      </c>
      <c r="L96" s="80" t="str">
        <f t="shared" si="2"/>
        <v>No infirmation</v>
      </c>
      <c r="M96" s="80" t="str">
        <f t="shared" si="3"/>
        <v>20251219_snorkel_batch001__llm_navqa_popular_websites__111</v>
      </c>
    </row>
    <row r="97" ht="15.75" customHeight="1">
      <c r="B97" s="77">
        <f t="shared" si="1"/>
        <v>1</v>
      </c>
      <c r="C97" s="81" t="s">
        <v>197</v>
      </c>
      <c r="D97" s="78" t="s">
        <v>198</v>
      </c>
      <c r="E97" s="78" t="s">
        <v>14</v>
      </c>
      <c r="F97" s="67" t="s">
        <v>168</v>
      </c>
      <c r="G97" s="86" t="s">
        <v>436</v>
      </c>
      <c r="H97" s="87" t="s">
        <v>437</v>
      </c>
      <c r="I97" s="69" t="s">
        <v>18</v>
      </c>
      <c r="L97" s="80" t="str">
        <f t="shared" si="2"/>
        <v>No infirmation</v>
      </c>
      <c r="M97" s="80" t="str">
        <f t="shared" si="3"/>
        <v>20251219_snorkel_batch005__llm_navqa_popular_websites__104</v>
      </c>
    </row>
    <row r="98" ht="15.75" customHeight="1">
      <c r="B98" s="77">
        <f t="shared" si="1"/>
        <v>1</v>
      </c>
      <c r="C98" s="81" t="s">
        <v>197</v>
      </c>
      <c r="D98" s="78" t="s">
        <v>198</v>
      </c>
      <c r="E98" s="78" t="s">
        <v>14</v>
      </c>
      <c r="F98" s="67" t="s">
        <v>168</v>
      </c>
      <c r="G98" s="86" t="s">
        <v>438</v>
      </c>
      <c r="H98" s="87" t="s">
        <v>439</v>
      </c>
      <c r="I98" s="69" t="s">
        <v>18</v>
      </c>
      <c r="L98" s="80" t="str">
        <f t="shared" si="2"/>
        <v>No infirmation</v>
      </c>
      <c r="M98" s="80" t="str">
        <f t="shared" si="3"/>
        <v>20251219_snorkel_batch004__llm_navqa_onlinemind2web_websites__147</v>
      </c>
    </row>
    <row r="99" ht="15.75" customHeight="1">
      <c r="B99" s="77">
        <f t="shared" si="1"/>
        <v>1</v>
      </c>
      <c r="C99" s="81" t="s">
        <v>197</v>
      </c>
      <c r="D99" s="78" t="s">
        <v>198</v>
      </c>
      <c r="E99" s="78" t="s">
        <v>14</v>
      </c>
      <c r="F99" s="67" t="s">
        <v>168</v>
      </c>
      <c r="G99" s="86" t="s">
        <v>440</v>
      </c>
      <c r="H99" s="87" t="s">
        <v>441</v>
      </c>
      <c r="I99" s="69" t="s">
        <v>18</v>
      </c>
      <c r="L99" s="80" t="str">
        <f t="shared" si="2"/>
        <v>No infirmation</v>
      </c>
      <c r="M99" s="80" t="str">
        <f t="shared" si="3"/>
        <v>20251219_snorkel_batch009__llm_navqa_webvoyager_websites__56</v>
      </c>
    </row>
    <row r="100" ht="15.75" customHeight="1">
      <c r="B100" s="77">
        <f t="shared" si="1"/>
        <v>1</v>
      </c>
      <c r="C100" s="81" t="s">
        <v>197</v>
      </c>
      <c r="D100" s="78" t="s">
        <v>198</v>
      </c>
      <c r="E100" s="78" t="s">
        <v>14</v>
      </c>
      <c r="F100" s="67" t="s">
        <v>168</v>
      </c>
      <c r="G100" s="86" t="s">
        <v>442</v>
      </c>
      <c r="H100" s="87" t="s">
        <v>443</v>
      </c>
      <c r="I100" s="69" t="s">
        <v>18</v>
      </c>
      <c r="L100" s="80" t="str">
        <f t="shared" si="2"/>
        <v>No infirmation</v>
      </c>
      <c r="M100" s="80" t="str">
        <f t="shared" si="3"/>
        <v>20251219_snorkel_batch009__llm_navqa_onlinemind2web_websites__141</v>
      </c>
    </row>
    <row r="101" ht="15.75" customHeight="1">
      <c r="B101" s="77">
        <f t="shared" si="1"/>
        <v>1</v>
      </c>
      <c r="C101" s="67" t="s">
        <v>195</v>
      </c>
      <c r="D101" s="78" t="s">
        <v>13</v>
      </c>
      <c r="E101" s="78" t="s">
        <v>14</v>
      </c>
      <c r="F101" s="67" t="s">
        <v>168</v>
      </c>
      <c r="G101" s="86" t="s">
        <v>444</v>
      </c>
      <c r="H101" s="87" t="s">
        <v>445</v>
      </c>
      <c r="I101" s="67" t="s">
        <v>18</v>
      </c>
      <c r="L101" s="80" t="str">
        <f t="shared" si="2"/>
        <v>No infirmation</v>
      </c>
      <c r="M101" s="80" t="str">
        <f t="shared" si="3"/>
        <v>20251219_snorkel_batch010__llm_navqa_webvoyager_websites__46</v>
      </c>
    </row>
    <row r="102" ht="15.75" customHeight="1">
      <c r="B102" s="77">
        <f t="shared" si="1"/>
        <v>1</v>
      </c>
      <c r="C102" s="67" t="s">
        <v>195</v>
      </c>
      <c r="D102" s="78" t="s">
        <v>13</v>
      </c>
      <c r="E102" s="78" t="s">
        <v>14</v>
      </c>
      <c r="F102" s="67" t="s">
        <v>168</v>
      </c>
      <c r="G102" s="86" t="s">
        <v>446</v>
      </c>
      <c r="H102" s="87" t="s">
        <v>447</v>
      </c>
      <c r="I102" s="67" t="s">
        <v>18</v>
      </c>
      <c r="J102" s="67" t="s">
        <v>448</v>
      </c>
      <c r="K102" s="67">
        <v>40.0</v>
      </c>
      <c r="L102" s="80" t="str">
        <f t="shared" si="2"/>
        <v>No infirmation</v>
      </c>
      <c r="M102" s="80" t="str">
        <f t="shared" si="3"/>
        <v>20251219_snorkel_batch005__llm_navqa_popular_websites__109</v>
      </c>
    </row>
    <row r="103" ht="15.75" customHeight="1">
      <c r="B103" s="77">
        <f t="shared" si="1"/>
        <v>1</v>
      </c>
      <c r="C103" s="67" t="s">
        <v>195</v>
      </c>
      <c r="D103" s="78" t="s">
        <v>13</v>
      </c>
      <c r="E103" s="78" t="s">
        <v>14</v>
      </c>
      <c r="F103" s="67" t="s">
        <v>168</v>
      </c>
      <c r="G103" s="86" t="s">
        <v>449</v>
      </c>
      <c r="H103" s="85" t="s">
        <v>450</v>
      </c>
      <c r="I103" s="67" t="s">
        <v>18</v>
      </c>
      <c r="L103" s="80" t="str">
        <f t="shared" si="2"/>
        <v>No infirmation</v>
      </c>
      <c r="M103" s="80" t="str">
        <f t="shared" si="3"/>
        <v>20251219_snorkel_batch005__llm_navqa_onlinemind2web_websites__85</v>
      </c>
    </row>
    <row r="104" ht="15.75" customHeight="1">
      <c r="B104" s="77">
        <f t="shared" si="1"/>
        <v>1</v>
      </c>
      <c r="C104" s="67" t="s">
        <v>195</v>
      </c>
      <c r="D104" s="78" t="s">
        <v>13</v>
      </c>
      <c r="E104" s="78" t="s">
        <v>14</v>
      </c>
      <c r="F104" s="67" t="s">
        <v>168</v>
      </c>
      <c r="G104" s="86" t="s">
        <v>451</v>
      </c>
      <c r="H104" s="85" t="s">
        <v>452</v>
      </c>
      <c r="I104" s="67" t="s">
        <v>18</v>
      </c>
      <c r="L104" s="80" t="str">
        <f t="shared" si="2"/>
        <v>No infirmation</v>
      </c>
      <c r="M104" s="80" t="str">
        <f t="shared" si="3"/>
        <v>20251219_snorkel_batch001__llm_navqa_onlinemind2web_websites__22</v>
      </c>
    </row>
    <row r="105" ht="15.75" customHeight="1">
      <c r="B105" s="77">
        <f t="shared" si="1"/>
        <v>1</v>
      </c>
      <c r="C105" s="67" t="s">
        <v>195</v>
      </c>
      <c r="D105" s="78" t="s">
        <v>13</v>
      </c>
      <c r="E105" s="78" t="s">
        <v>14</v>
      </c>
      <c r="F105" s="67" t="s">
        <v>168</v>
      </c>
      <c r="G105" s="86" t="s">
        <v>453</v>
      </c>
      <c r="H105" s="85" t="s">
        <v>454</v>
      </c>
      <c r="I105" s="67" t="s">
        <v>18</v>
      </c>
      <c r="J105" s="67" t="s">
        <v>455</v>
      </c>
      <c r="K105" s="67">
        <v>42.0</v>
      </c>
      <c r="L105" s="80" t="str">
        <f t="shared" si="2"/>
        <v>No infirmation</v>
      </c>
      <c r="M105" s="80" t="str">
        <f t="shared" si="3"/>
        <v>20251219_snorkel_batch004__llm_navqa_webvoyager_websites__118</v>
      </c>
    </row>
    <row r="106" ht="15.75" customHeight="1">
      <c r="B106" s="77">
        <f t="shared" si="1"/>
        <v>1</v>
      </c>
      <c r="C106" s="67" t="s">
        <v>195</v>
      </c>
      <c r="D106" s="78" t="s">
        <v>13</v>
      </c>
      <c r="E106" s="78" t="s">
        <v>14</v>
      </c>
      <c r="F106" s="67" t="s">
        <v>168</v>
      </c>
      <c r="G106" s="86" t="s">
        <v>456</v>
      </c>
      <c r="H106" s="85" t="s">
        <v>457</v>
      </c>
      <c r="I106" s="67" t="s">
        <v>18</v>
      </c>
      <c r="J106" s="67" t="s">
        <v>241</v>
      </c>
      <c r="K106" s="67">
        <v>42.0</v>
      </c>
      <c r="L106" s="80" t="str">
        <f t="shared" si="2"/>
        <v>No infirmation</v>
      </c>
      <c r="M106" s="80" t="str">
        <f t="shared" si="3"/>
        <v>20251219_snorkel_batch008__llm_navqa_webvoyager_websites__1</v>
      </c>
    </row>
    <row r="107" ht="15.75" customHeight="1">
      <c r="B107" s="77">
        <f t="shared" si="1"/>
        <v>1</v>
      </c>
      <c r="C107" s="67" t="s">
        <v>195</v>
      </c>
      <c r="D107" s="78" t="s">
        <v>13</v>
      </c>
      <c r="E107" s="78" t="s">
        <v>14</v>
      </c>
      <c r="F107" s="67" t="s">
        <v>168</v>
      </c>
      <c r="G107" s="86" t="s">
        <v>458</v>
      </c>
      <c r="H107" s="85" t="s">
        <v>459</v>
      </c>
      <c r="I107" s="67" t="s">
        <v>18</v>
      </c>
      <c r="J107" s="67" t="s">
        <v>241</v>
      </c>
      <c r="K107" s="67">
        <v>42.0</v>
      </c>
      <c r="L107" s="80" t="str">
        <f t="shared" si="2"/>
        <v>No infirmation</v>
      </c>
      <c r="M107" s="80" t="str">
        <f t="shared" si="3"/>
        <v>20251219_snorkel_batch002__llm_navqa_onlinemind2web_websites__14</v>
      </c>
    </row>
    <row r="108" ht="15.75" customHeight="1">
      <c r="B108" s="77">
        <f t="shared" si="1"/>
        <v>1</v>
      </c>
      <c r="C108" s="67" t="s">
        <v>195</v>
      </c>
      <c r="D108" s="78" t="s">
        <v>13</v>
      </c>
      <c r="E108" s="78" t="s">
        <v>14</v>
      </c>
      <c r="F108" s="67" t="s">
        <v>168</v>
      </c>
      <c r="G108" s="86" t="s">
        <v>460</v>
      </c>
      <c r="H108" s="85" t="s">
        <v>461</v>
      </c>
      <c r="I108" s="67" t="s">
        <v>18</v>
      </c>
      <c r="L108" s="80" t="str">
        <f t="shared" si="2"/>
        <v>No infirmation</v>
      </c>
      <c r="M108" s="80" t="str">
        <f t="shared" si="3"/>
        <v>20251121_snorkel_batch001__webvoyager_like__339</v>
      </c>
    </row>
    <row r="109" ht="15.75" customHeight="1">
      <c r="B109" s="77">
        <f t="shared" si="1"/>
        <v>1</v>
      </c>
      <c r="C109" s="67" t="s">
        <v>195</v>
      </c>
      <c r="D109" s="78" t="s">
        <v>13</v>
      </c>
      <c r="E109" s="78" t="s">
        <v>14</v>
      </c>
      <c r="F109" s="67" t="s">
        <v>168</v>
      </c>
      <c r="G109" s="86" t="s">
        <v>462</v>
      </c>
      <c r="H109" s="85" t="s">
        <v>463</v>
      </c>
      <c r="I109" s="67" t="s">
        <v>18</v>
      </c>
      <c r="L109" s="80" t="str">
        <f t="shared" si="2"/>
        <v>No infirmation</v>
      </c>
      <c r="M109" s="80" t="str">
        <f t="shared" si="3"/>
        <v>20251219_snorkel_batch006__llm_navqa_onlinemind2web_websites__80</v>
      </c>
    </row>
    <row r="110" ht="15.75" customHeight="1">
      <c r="B110" s="77">
        <f t="shared" si="1"/>
        <v>1</v>
      </c>
      <c r="C110" s="67" t="s">
        <v>195</v>
      </c>
      <c r="D110" s="78" t="s">
        <v>13</v>
      </c>
      <c r="E110" s="78" t="s">
        <v>14</v>
      </c>
      <c r="F110" s="67" t="s">
        <v>168</v>
      </c>
      <c r="G110" s="86" t="s">
        <v>464</v>
      </c>
      <c r="H110" s="85" t="s">
        <v>465</v>
      </c>
      <c r="I110" s="67" t="s">
        <v>18</v>
      </c>
      <c r="J110" s="67" t="s">
        <v>241</v>
      </c>
      <c r="K110" s="67">
        <v>42.0</v>
      </c>
      <c r="L110" s="80" t="str">
        <f t="shared" si="2"/>
        <v>No infirmation</v>
      </c>
      <c r="M110" s="80" t="str">
        <f t="shared" si="3"/>
        <v>20251219_snorkel_batch006__llm_navqa_onlinemind2web_websites__29</v>
      </c>
    </row>
    <row r="111" ht="15.75" customHeight="1">
      <c r="B111" s="77">
        <f t="shared" si="1"/>
        <v>1</v>
      </c>
      <c r="C111" s="67" t="s">
        <v>195</v>
      </c>
      <c r="D111" s="78" t="s">
        <v>13</v>
      </c>
      <c r="E111" s="78" t="s">
        <v>14</v>
      </c>
      <c r="F111" s="67" t="s">
        <v>168</v>
      </c>
      <c r="G111" s="86" t="s">
        <v>466</v>
      </c>
      <c r="H111" s="85" t="s">
        <v>467</v>
      </c>
      <c r="I111" s="67" t="s">
        <v>18</v>
      </c>
      <c r="J111" s="67" t="s">
        <v>468</v>
      </c>
      <c r="K111" s="67">
        <v>40.0</v>
      </c>
      <c r="L111" s="80" t="str">
        <f t="shared" si="2"/>
        <v>No infirmation</v>
      </c>
      <c r="M111" s="80" t="str">
        <f t="shared" si="3"/>
        <v>20251219_snorkel_batch010__llm_navqa_popular_websites__158</v>
      </c>
    </row>
    <row r="112" ht="15.75" customHeight="1">
      <c r="B112" s="77">
        <f t="shared" si="1"/>
        <v>1</v>
      </c>
      <c r="C112" s="67" t="s">
        <v>195</v>
      </c>
      <c r="D112" s="78" t="s">
        <v>13</v>
      </c>
      <c r="E112" s="78" t="s">
        <v>14</v>
      </c>
      <c r="F112" s="67" t="s">
        <v>168</v>
      </c>
      <c r="G112" s="86" t="s">
        <v>469</v>
      </c>
      <c r="H112" s="85" t="s">
        <v>470</v>
      </c>
      <c r="I112" s="67" t="s">
        <v>18</v>
      </c>
      <c r="L112" s="80" t="str">
        <f t="shared" si="2"/>
        <v>No infirmation</v>
      </c>
      <c r="M112" s="80" t="str">
        <f t="shared" si="3"/>
        <v>20251219_snorkel_batch010__llm_navqa_popular_websites__15</v>
      </c>
    </row>
    <row r="113" ht="15.75" customHeight="1">
      <c r="B113" s="77">
        <f t="shared" si="1"/>
        <v>1</v>
      </c>
      <c r="C113" s="67" t="s">
        <v>195</v>
      </c>
      <c r="D113" s="78" t="s">
        <v>13</v>
      </c>
      <c r="E113" s="78" t="s">
        <v>14</v>
      </c>
      <c r="F113" s="67" t="s">
        <v>168</v>
      </c>
      <c r="G113" s="86" t="s">
        <v>471</v>
      </c>
      <c r="H113" s="85" t="s">
        <v>472</v>
      </c>
      <c r="I113" s="67" t="s">
        <v>18</v>
      </c>
      <c r="L113" s="80" t="str">
        <f t="shared" si="2"/>
        <v>No infirmation</v>
      </c>
      <c r="M113" s="80" t="str">
        <f t="shared" si="3"/>
        <v>20251219_snorkel_batch005__llm_navqa_webvoyager_websites__36</v>
      </c>
    </row>
    <row r="114" ht="15.75" customHeight="1">
      <c r="B114" s="77">
        <f t="shared" si="1"/>
        <v>1</v>
      </c>
      <c r="C114" s="67" t="s">
        <v>195</v>
      </c>
      <c r="D114" s="78" t="s">
        <v>13</v>
      </c>
      <c r="E114" s="78" t="s">
        <v>14</v>
      </c>
      <c r="F114" s="67" t="s">
        <v>168</v>
      </c>
      <c r="G114" s="86" t="s">
        <v>473</v>
      </c>
      <c r="H114" s="85" t="s">
        <v>474</v>
      </c>
      <c r="I114" s="67" t="s">
        <v>18</v>
      </c>
      <c r="J114" s="67" t="s">
        <v>468</v>
      </c>
      <c r="K114" s="67">
        <v>40.0</v>
      </c>
      <c r="L114" s="80" t="str">
        <f t="shared" si="2"/>
        <v>No infirmation</v>
      </c>
      <c r="M114" s="80" t="str">
        <f t="shared" si="3"/>
        <v>20251121_snorkel_batch001__webvoyager_like__120</v>
      </c>
    </row>
    <row r="115" ht="15.75" customHeight="1">
      <c r="B115" s="77">
        <f t="shared" si="1"/>
        <v>1</v>
      </c>
      <c r="C115" s="67" t="s">
        <v>195</v>
      </c>
      <c r="D115" s="78" t="s">
        <v>13</v>
      </c>
      <c r="E115" s="78" t="s">
        <v>14</v>
      </c>
      <c r="F115" s="67" t="s">
        <v>168</v>
      </c>
      <c r="G115" s="86" t="s">
        <v>475</v>
      </c>
      <c r="H115" s="85" t="s">
        <v>476</v>
      </c>
      <c r="I115" s="67" t="s">
        <v>18</v>
      </c>
      <c r="L115" s="80" t="str">
        <f t="shared" si="2"/>
        <v>No infirmation</v>
      </c>
      <c r="M115" s="80" t="str">
        <f t="shared" si="3"/>
        <v>20251219_snorkel_batch009__llm_navqa_popular_websites__147</v>
      </c>
    </row>
    <row r="116" ht="15.75" customHeight="1">
      <c r="B116" s="77">
        <f t="shared" si="1"/>
        <v>1</v>
      </c>
      <c r="C116" s="67" t="s">
        <v>195</v>
      </c>
      <c r="D116" s="78" t="s">
        <v>13</v>
      </c>
      <c r="E116" s="78" t="s">
        <v>14</v>
      </c>
      <c r="F116" s="67" t="s">
        <v>168</v>
      </c>
      <c r="G116" s="86" t="s">
        <v>477</v>
      </c>
      <c r="H116" s="85" t="s">
        <v>478</v>
      </c>
      <c r="I116" s="67" t="s">
        <v>18</v>
      </c>
      <c r="J116" s="67" t="s">
        <v>479</v>
      </c>
      <c r="K116" s="67">
        <v>42.0</v>
      </c>
      <c r="L116" s="80" t="str">
        <f t="shared" si="2"/>
        <v>No infirmation</v>
      </c>
      <c r="M116" s="80" t="str">
        <f t="shared" si="3"/>
        <v>20251219_snorkel_batch006__llm_navqa_popular_websites__127</v>
      </c>
    </row>
    <row r="117" ht="15.75" customHeight="1">
      <c r="B117" s="77">
        <f t="shared" si="1"/>
        <v>1</v>
      </c>
      <c r="C117" s="67" t="s">
        <v>191</v>
      </c>
      <c r="D117" s="78" t="s">
        <v>192</v>
      </c>
      <c r="E117" s="78" t="s">
        <v>14</v>
      </c>
      <c r="F117" s="67" t="s">
        <v>168</v>
      </c>
      <c r="G117" s="86" t="s">
        <v>480</v>
      </c>
      <c r="H117" s="72" t="s">
        <v>481</v>
      </c>
      <c r="I117" s="67" t="s">
        <v>18</v>
      </c>
      <c r="L117" s="80" t="str">
        <f t="shared" si="2"/>
        <v>No infirmation</v>
      </c>
      <c r="M117" s="80" t="str">
        <f t="shared" si="3"/>
        <v>20251219_snorkel_batch003__llm_navqa_webvoyager_websites__87</v>
      </c>
    </row>
    <row r="118" ht="15.75" customHeight="1">
      <c r="B118" s="77">
        <f t="shared" si="1"/>
        <v>1</v>
      </c>
      <c r="C118" s="67" t="s">
        <v>191</v>
      </c>
      <c r="D118" s="78" t="s">
        <v>192</v>
      </c>
      <c r="E118" s="78" t="s">
        <v>14</v>
      </c>
      <c r="F118" s="67" t="s">
        <v>168</v>
      </c>
      <c r="G118" s="86" t="s">
        <v>482</v>
      </c>
      <c r="H118" s="72" t="s">
        <v>483</v>
      </c>
      <c r="I118" s="67" t="s">
        <v>18</v>
      </c>
      <c r="L118" s="80" t="str">
        <f t="shared" si="2"/>
        <v>No infirmation</v>
      </c>
      <c r="M118" s="80" t="str">
        <f t="shared" si="3"/>
        <v>20251219_snorkel_batch006__llm_navqa_popular_websites__116</v>
      </c>
    </row>
    <row r="119" ht="15.75" customHeight="1">
      <c r="B119" s="77">
        <f t="shared" si="1"/>
        <v>1</v>
      </c>
      <c r="C119" s="67" t="s">
        <v>191</v>
      </c>
      <c r="D119" s="78" t="s">
        <v>192</v>
      </c>
      <c r="E119" s="78" t="s">
        <v>14</v>
      </c>
      <c r="F119" s="67" t="s">
        <v>168</v>
      </c>
      <c r="G119" s="86" t="s">
        <v>484</v>
      </c>
      <c r="H119" s="72" t="s">
        <v>485</v>
      </c>
      <c r="I119" s="67" t="s">
        <v>18</v>
      </c>
      <c r="L119" s="80" t="str">
        <f t="shared" si="2"/>
        <v>No infirmation</v>
      </c>
      <c r="M119" s="80" t="str">
        <f t="shared" si="3"/>
        <v>20251219_snorkel_batch003__llm_navqa_onlinemind2web_websites__40</v>
      </c>
    </row>
    <row r="120" ht="15.75" customHeight="1">
      <c r="B120" s="77">
        <f t="shared" si="1"/>
        <v>1</v>
      </c>
      <c r="C120" s="67" t="s">
        <v>191</v>
      </c>
      <c r="D120" s="78" t="s">
        <v>192</v>
      </c>
      <c r="E120" s="78" t="s">
        <v>14</v>
      </c>
      <c r="F120" s="67" t="s">
        <v>168</v>
      </c>
      <c r="G120" s="86" t="s">
        <v>486</v>
      </c>
      <c r="H120" s="72" t="s">
        <v>487</v>
      </c>
      <c r="I120" s="67" t="s">
        <v>18</v>
      </c>
      <c r="L120" s="80" t="str">
        <f t="shared" si="2"/>
        <v>No infirmation</v>
      </c>
      <c r="M120" s="80" t="str">
        <f t="shared" si="3"/>
        <v>20251126_snorkel_batch017__llm_step_onlinemind2web_websites__134</v>
      </c>
    </row>
    <row r="121" ht="15.75" customHeight="1">
      <c r="B121" s="77">
        <f t="shared" si="1"/>
        <v>1</v>
      </c>
      <c r="C121" s="67" t="s">
        <v>191</v>
      </c>
      <c r="D121" s="78" t="s">
        <v>192</v>
      </c>
      <c r="E121" s="78" t="s">
        <v>14</v>
      </c>
      <c r="F121" s="67" t="s">
        <v>168</v>
      </c>
      <c r="G121" s="86" t="s">
        <v>488</v>
      </c>
      <c r="H121" s="72" t="s">
        <v>489</v>
      </c>
      <c r="I121" s="67" t="s">
        <v>18</v>
      </c>
      <c r="L121" s="80" t="str">
        <f t="shared" si="2"/>
        <v>No infirmation</v>
      </c>
      <c r="M121" s="80" t="str">
        <f t="shared" si="3"/>
        <v>20251219_snorkel_batch008__llm_navqa_onlinemind2web_websites__86</v>
      </c>
    </row>
    <row r="122" ht="15.75" customHeight="1">
      <c r="B122" s="77">
        <f t="shared" si="1"/>
        <v>1</v>
      </c>
      <c r="C122" s="67" t="s">
        <v>191</v>
      </c>
      <c r="D122" s="78" t="s">
        <v>192</v>
      </c>
      <c r="E122" s="78" t="s">
        <v>14</v>
      </c>
      <c r="F122" s="67" t="s">
        <v>168</v>
      </c>
      <c r="G122" s="86" t="s">
        <v>490</v>
      </c>
      <c r="H122" s="72" t="s">
        <v>491</v>
      </c>
      <c r="I122" s="67" t="s">
        <v>18</v>
      </c>
      <c r="L122" s="80" t="str">
        <f t="shared" si="2"/>
        <v>No infirmation</v>
      </c>
      <c r="M122" s="80" t="str">
        <f t="shared" si="3"/>
        <v>20251219_snorkel_batch006__llm_navqa_popular_websites__104</v>
      </c>
    </row>
    <row r="123" ht="15.75" customHeight="1">
      <c r="B123" s="77">
        <f t="shared" si="1"/>
        <v>1</v>
      </c>
      <c r="C123" s="67" t="s">
        <v>191</v>
      </c>
      <c r="D123" s="78" t="s">
        <v>192</v>
      </c>
      <c r="E123" s="78" t="s">
        <v>14</v>
      </c>
      <c r="F123" s="67" t="s">
        <v>168</v>
      </c>
      <c r="G123" s="86" t="s">
        <v>492</v>
      </c>
      <c r="H123" s="72" t="s">
        <v>493</v>
      </c>
      <c r="I123" s="67" t="s">
        <v>18</v>
      </c>
      <c r="L123" s="80" t="str">
        <f t="shared" si="2"/>
        <v>No infirmation</v>
      </c>
      <c r="M123" s="80" t="str">
        <f t="shared" si="3"/>
        <v>20251219_snorkel_batch010__llm_navqa_onlinemind2web_websites__90</v>
      </c>
    </row>
    <row r="124" ht="15.75" customHeight="1">
      <c r="B124" s="77">
        <f t="shared" si="1"/>
        <v>1</v>
      </c>
      <c r="C124" s="67" t="s">
        <v>191</v>
      </c>
      <c r="D124" s="78" t="s">
        <v>192</v>
      </c>
      <c r="E124" s="78" t="s">
        <v>14</v>
      </c>
      <c r="F124" s="67" t="s">
        <v>168</v>
      </c>
      <c r="G124" s="86" t="s">
        <v>494</v>
      </c>
      <c r="H124" s="72" t="s">
        <v>495</v>
      </c>
      <c r="I124" s="67" t="s">
        <v>18</v>
      </c>
      <c r="L124" s="80" t="str">
        <f t="shared" si="2"/>
        <v>No infirmation</v>
      </c>
      <c r="M124" s="80" t="str">
        <f t="shared" si="3"/>
        <v>20251219_snorkel_batch005__llm_navqa_popular_websites__14</v>
      </c>
    </row>
    <row r="125" ht="15.75" customHeight="1">
      <c r="B125" s="77">
        <f t="shared" si="1"/>
        <v>1</v>
      </c>
      <c r="C125" s="67" t="s">
        <v>191</v>
      </c>
      <c r="D125" s="78" t="s">
        <v>192</v>
      </c>
      <c r="E125" s="78" t="s">
        <v>14</v>
      </c>
      <c r="F125" s="67" t="s">
        <v>168</v>
      </c>
      <c r="G125" s="86" t="s">
        <v>496</v>
      </c>
      <c r="H125" s="72" t="s">
        <v>497</v>
      </c>
      <c r="I125" s="67" t="s">
        <v>18</v>
      </c>
      <c r="L125" s="80" t="str">
        <f t="shared" si="2"/>
        <v>No infirmation</v>
      </c>
      <c r="M125" s="80" t="str">
        <f t="shared" si="3"/>
        <v>20251219_snorkel_batch003__llm_navqa_onlinemind2web_websites__145</v>
      </c>
    </row>
    <row r="126" ht="15.75" customHeight="1">
      <c r="B126" s="77">
        <f t="shared" si="1"/>
        <v>1</v>
      </c>
      <c r="C126" s="67" t="s">
        <v>191</v>
      </c>
      <c r="D126" s="78" t="s">
        <v>192</v>
      </c>
      <c r="E126" s="78" t="s">
        <v>14</v>
      </c>
      <c r="F126" s="67" t="s">
        <v>168</v>
      </c>
      <c r="G126" s="86" t="s">
        <v>498</v>
      </c>
      <c r="H126" s="72" t="s">
        <v>499</v>
      </c>
      <c r="I126" s="67" t="s">
        <v>18</v>
      </c>
      <c r="L126" s="80" t="str">
        <f t="shared" si="2"/>
        <v>No infirmation</v>
      </c>
      <c r="M126" s="80" t="str">
        <f t="shared" si="3"/>
        <v>20251219_snorkel_batch003__llm_navqa_webvoyager_websites__18</v>
      </c>
    </row>
    <row r="127" ht="15.75" customHeight="1">
      <c r="B127" s="77">
        <f t="shared" si="1"/>
        <v>1</v>
      </c>
      <c r="C127" s="67" t="s">
        <v>191</v>
      </c>
      <c r="D127" s="78" t="s">
        <v>192</v>
      </c>
      <c r="E127" s="78" t="s">
        <v>14</v>
      </c>
      <c r="F127" s="67" t="s">
        <v>169</v>
      </c>
      <c r="G127" s="86" t="s">
        <v>500</v>
      </c>
      <c r="H127" s="72" t="s">
        <v>501</v>
      </c>
      <c r="I127" s="67" t="s">
        <v>18</v>
      </c>
      <c r="L127" s="80" t="str">
        <f t="shared" si="2"/>
        <v>No infirmation</v>
      </c>
      <c r="M127" s="80" t="str">
        <f t="shared" si="3"/>
        <v>20251219_snorkel_batch008__llm_navqa_webvoyager_websites__48</v>
      </c>
    </row>
    <row r="128" ht="15.75" customHeight="1">
      <c r="B128" s="77">
        <f t="shared" si="1"/>
        <v>1</v>
      </c>
      <c r="C128" s="67" t="s">
        <v>191</v>
      </c>
      <c r="D128" s="78" t="s">
        <v>192</v>
      </c>
      <c r="E128" s="78" t="s">
        <v>14</v>
      </c>
      <c r="F128" s="67" t="s">
        <v>169</v>
      </c>
      <c r="G128" s="86" t="s">
        <v>502</v>
      </c>
      <c r="H128" s="72" t="s">
        <v>503</v>
      </c>
      <c r="I128" s="67" t="s">
        <v>18</v>
      </c>
      <c r="L128" s="80" t="str">
        <f t="shared" si="2"/>
        <v>No infirmation</v>
      </c>
      <c r="M128" s="80" t="str">
        <f t="shared" si="3"/>
        <v>20251219_snorkel_batch005__llm_navqa_popular_websites__142</v>
      </c>
    </row>
    <row r="129" ht="15.75" customHeight="1">
      <c r="B129" s="77">
        <f t="shared" si="1"/>
        <v>1</v>
      </c>
      <c r="C129" s="67" t="s">
        <v>191</v>
      </c>
      <c r="D129" s="78" t="s">
        <v>192</v>
      </c>
      <c r="E129" s="78" t="s">
        <v>14</v>
      </c>
      <c r="F129" s="67" t="s">
        <v>169</v>
      </c>
      <c r="G129" s="86" t="s">
        <v>504</v>
      </c>
      <c r="H129" s="72" t="s">
        <v>505</v>
      </c>
      <c r="I129" s="67" t="s">
        <v>18</v>
      </c>
      <c r="L129" s="80" t="str">
        <f t="shared" si="2"/>
        <v>No infirmation</v>
      </c>
      <c r="M129" s="80" t="str">
        <f t="shared" si="3"/>
        <v>20251219_snorkel_batch009__llm_navqa_onlinemind2web_websites__29</v>
      </c>
    </row>
    <row r="130" ht="15.75" customHeight="1">
      <c r="B130" s="77">
        <f t="shared" si="1"/>
        <v>1</v>
      </c>
      <c r="C130" s="67" t="s">
        <v>191</v>
      </c>
      <c r="D130" s="78" t="s">
        <v>192</v>
      </c>
      <c r="E130" s="78" t="s">
        <v>14</v>
      </c>
      <c r="F130" s="67" t="s">
        <v>169</v>
      </c>
      <c r="G130" s="86" t="s">
        <v>506</v>
      </c>
      <c r="H130" s="72" t="s">
        <v>507</v>
      </c>
      <c r="I130" s="67" t="s">
        <v>18</v>
      </c>
      <c r="L130" s="80" t="str">
        <f t="shared" si="2"/>
        <v>No infirmation</v>
      </c>
      <c r="M130" s="80" t="str">
        <f t="shared" si="3"/>
        <v>20251219_snorkel_batch006__llm_navqa_webvoyager_websites__148</v>
      </c>
    </row>
    <row r="131" ht="15.75" customHeight="1">
      <c r="B131" s="77">
        <f t="shared" si="1"/>
        <v>1</v>
      </c>
      <c r="C131" s="67" t="s">
        <v>191</v>
      </c>
      <c r="D131" s="78" t="s">
        <v>192</v>
      </c>
      <c r="E131" s="78" t="s">
        <v>14</v>
      </c>
      <c r="F131" s="67" t="s">
        <v>169</v>
      </c>
      <c r="G131" s="86" t="s">
        <v>508</v>
      </c>
      <c r="H131" s="72" t="s">
        <v>509</v>
      </c>
      <c r="I131" s="67" t="s">
        <v>18</v>
      </c>
      <c r="L131" s="80" t="str">
        <f t="shared" si="2"/>
        <v>No infirmation</v>
      </c>
      <c r="M131" s="80" t="str">
        <f t="shared" si="3"/>
        <v>20251219_snorkel_batch008__llm_navqa_onlinemind2web_websites__136</v>
      </c>
    </row>
    <row r="132" ht="15.75" customHeight="1">
      <c r="B132" s="77">
        <f t="shared" si="1"/>
        <v>1</v>
      </c>
      <c r="C132" s="67" t="s">
        <v>191</v>
      </c>
      <c r="D132" s="78" t="s">
        <v>192</v>
      </c>
      <c r="E132" s="78" t="s">
        <v>14</v>
      </c>
      <c r="F132" s="67" t="s">
        <v>169</v>
      </c>
      <c r="G132" s="86" t="s">
        <v>510</v>
      </c>
      <c r="H132" s="72" t="s">
        <v>511</v>
      </c>
      <c r="I132" s="67" t="s">
        <v>18</v>
      </c>
      <c r="L132" s="80" t="str">
        <f t="shared" si="2"/>
        <v>No infirmation</v>
      </c>
      <c r="M132" s="80" t="str">
        <f t="shared" si="3"/>
        <v>20251219_snorkel_batch010__llm_navqa_popular_websites__9</v>
      </c>
    </row>
    <row r="133" ht="15.75" customHeight="1">
      <c r="B133" s="77">
        <f t="shared" si="1"/>
        <v>1</v>
      </c>
      <c r="C133" s="67" t="s">
        <v>191</v>
      </c>
      <c r="D133" s="78" t="s">
        <v>192</v>
      </c>
      <c r="E133" s="78" t="s">
        <v>14</v>
      </c>
      <c r="F133" s="67" t="s">
        <v>169</v>
      </c>
      <c r="G133" s="86" t="s">
        <v>512</v>
      </c>
      <c r="H133" s="72" t="s">
        <v>513</v>
      </c>
      <c r="I133" s="67" t="s">
        <v>18</v>
      </c>
      <c r="L133" s="80" t="str">
        <f t="shared" si="2"/>
        <v>No infirmation</v>
      </c>
      <c r="M133" s="80" t="str">
        <f t="shared" si="3"/>
        <v>20251219_snorkel_batch006__llm_navqa_popular_websites__55</v>
      </c>
    </row>
    <row r="134" ht="15.75" customHeight="1">
      <c r="B134" s="77">
        <f t="shared" si="1"/>
        <v>1</v>
      </c>
      <c r="C134" s="67" t="s">
        <v>191</v>
      </c>
      <c r="D134" s="78" t="s">
        <v>192</v>
      </c>
      <c r="E134" s="78" t="s">
        <v>14</v>
      </c>
      <c r="F134" s="67" t="s">
        <v>169</v>
      </c>
      <c r="G134" s="86" t="s">
        <v>514</v>
      </c>
      <c r="H134" s="72" t="s">
        <v>515</v>
      </c>
      <c r="I134" s="67" t="s">
        <v>18</v>
      </c>
      <c r="L134" s="80" t="str">
        <f t="shared" si="2"/>
        <v>No infirmation</v>
      </c>
      <c r="M134" s="80" t="str">
        <f t="shared" si="3"/>
        <v>20251219_snorkel_batch008__llm_navqa_webvoyager_websites__133</v>
      </c>
    </row>
    <row r="135" ht="15.75" customHeight="1">
      <c r="B135" s="77">
        <f t="shared" si="1"/>
        <v>1</v>
      </c>
      <c r="C135" s="67" t="s">
        <v>191</v>
      </c>
      <c r="D135" s="78" t="s">
        <v>192</v>
      </c>
      <c r="E135" s="78" t="s">
        <v>14</v>
      </c>
      <c r="F135" s="67" t="s">
        <v>169</v>
      </c>
      <c r="G135" s="86" t="s">
        <v>516</v>
      </c>
      <c r="H135" s="72" t="s">
        <v>517</v>
      </c>
      <c r="I135" s="67" t="s">
        <v>18</v>
      </c>
      <c r="L135" s="80" t="str">
        <f t="shared" si="2"/>
        <v>No infirmation</v>
      </c>
      <c r="M135" s="80" t="str">
        <f t="shared" si="3"/>
        <v>20251219_snorkel_batch006__llm_navqa_popular_websites__110</v>
      </c>
    </row>
    <row r="136" ht="15.75" customHeight="1">
      <c r="B136" s="77">
        <f t="shared" si="1"/>
        <v>1</v>
      </c>
      <c r="C136" s="67" t="s">
        <v>191</v>
      </c>
      <c r="D136" s="78" t="s">
        <v>192</v>
      </c>
      <c r="E136" s="78" t="s">
        <v>14</v>
      </c>
      <c r="F136" s="67" t="s">
        <v>169</v>
      </c>
      <c r="G136" s="86" t="s">
        <v>518</v>
      </c>
      <c r="H136" s="72" t="s">
        <v>519</v>
      </c>
      <c r="I136" s="67" t="s">
        <v>18</v>
      </c>
      <c r="L136" s="80" t="str">
        <f t="shared" si="2"/>
        <v>No infirmation</v>
      </c>
      <c r="M136" s="80" t="str">
        <f t="shared" si="3"/>
        <v>20251219_snorkel_batch001__llm_navqa_popular_websites__159</v>
      </c>
    </row>
    <row r="137" ht="15.75" customHeight="1">
      <c r="B137" s="77">
        <f t="shared" si="1"/>
        <v>1</v>
      </c>
      <c r="C137" s="67" t="s">
        <v>191</v>
      </c>
      <c r="D137" s="78" t="s">
        <v>192</v>
      </c>
      <c r="E137" s="78" t="s">
        <v>14</v>
      </c>
      <c r="F137" s="67" t="s">
        <v>169</v>
      </c>
      <c r="G137" s="86" t="s">
        <v>520</v>
      </c>
      <c r="H137" s="72" t="s">
        <v>521</v>
      </c>
      <c r="I137" s="67" t="s">
        <v>18</v>
      </c>
      <c r="L137" s="80" t="str">
        <f t="shared" si="2"/>
        <v>No infirmation</v>
      </c>
      <c r="M137" s="80" t="str">
        <f t="shared" si="3"/>
        <v>20251219_snorkel_batch007__llm_navqa_popular_websites__109</v>
      </c>
    </row>
    <row r="138" ht="15.75" customHeight="1">
      <c r="B138" s="77">
        <f t="shared" si="1"/>
        <v>1</v>
      </c>
      <c r="C138" s="67" t="s">
        <v>191</v>
      </c>
      <c r="D138" s="78" t="s">
        <v>192</v>
      </c>
      <c r="E138" s="78" t="s">
        <v>14</v>
      </c>
      <c r="F138" s="67" t="s">
        <v>169</v>
      </c>
      <c r="G138" s="86" t="s">
        <v>522</v>
      </c>
      <c r="H138" s="72" t="s">
        <v>523</v>
      </c>
      <c r="I138" s="67" t="s">
        <v>18</v>
      </c>
      <c r="L138" s="80" t="str">
        <f t="shared" si="2"/>
        <v>No infirmation</v>
      </c>
      <c r="M138" s="80" t="str">
        <f t="shared" si="3"/>
        <v>20251219_snorkel_batch009__llm_navqa_webvoyager_websites__94</v>
      </c>
    </row>
    <row r="139" ht="15.75" customHeight="1">
      <c r="B139" s="77">
        <f t="shared" si="1"/>
        <v>1</v>
      </c>
      <c r="C139" s="67" t="s">
        <v>191</v>
      </c>
      <c r="D139" s="78" t="s">
        <v>192</v>
      </c>
      <c r="E139" s="78" t="s">
        <v>14</v>
      </c>
      <c r="F139" s="67" t="s">
        <v>169</v>
      </c>
      <c r="G139" s="86" t="s">
        <v>524</v>
      </c>
      <c r="H139" s="72" t="s">
        <v>525</v>
      </c>
      <c r="I139" s="67" t="s">
        <v>18</v>
      </c>
      <c r="L139" s="80" t="str">
        <f t="shared" si="2"/>
        <v>No infirmation</v>
      </c>
      <c r="M139" s="80" t="str">
        <f t="shared" si="3"/>
        <v>20251219_snorkel_batch006__llm_navqa_popular_websites__100</v>
      </c>
    </row>
    <row r="140" ht="15.75" customHeight="1">
      <c r="B140" s="77">
        <f t="shared" si="1"/>
        <v>1</v>
      </c>
      <c r="C140" s="67" t="s">
        <v>191</v>
      </c>
      <c r="D140" s="78" t="s">
        <v>192</v>
      </c>
      <c r="E140" s="78" t="s">
        <v>14</v>
      </c>
      <c r="F140" s="67" t="s">
        <v>169</v>
      </c>
      <c r="G140" s="86" t="s">
        <v>526</v>
      </c>
      <c r="H140" s="72" t="s">
        <v>527</v>
      </c>
      <c r="I140" s="67" t="s">
        <v>18</v>
      </c>
      <c r="L140" s="80" t="str">
        <f t="shared" si="2"/>
        <v>No infirmation</v>
      </c>
      <c r="M140" s="80" t="str">
        <f t="shared" si="3"/>
        <v>20251219_snorkel_batch008__llm_navqa_popular_websites__106</v>
      </c>
    </row>
    <row r="141" ht="15.75" customHeight="1">
      <c r="B141" s="77">
        <f t="shared" si="1"/>
        <v>1</v>
      </c>
      <c r="C141" s="67" t="s">
        <v>191</v>
      </c>
      <c r="D141" s="78" t="s">
        <v>192</v>
      </c>
      <c r="E141" s="78" t="s">
        <v>14</v>
      </c>
      <c r="F141" s="67" t="s">
        <v>169</v>
      </c>
      <c r="G141" s="86" t="s">
        <v>528</v>
      </c>
      <c r="H141" s="72" t="s">
        <v>529</v>
      </c>
      <c r="I141" s="67" t="s">
        <v>18</v>
      </c>
      <c r="L141" s="80" t="str">
        <f t="shared" si="2"/>
        <v>No infirmation</v>
      </c>
      <c r="M141" s="80" t="str">
        <f t="shared" si="3"/>
        <v>20251121_snorkel_batch001__webvoyager_like__59</v>
      </c>
    </row>
    <row r="142" ht="15.75" customHeight="1">
      <c r="B142" s="77">
        <f t="shared" si="1"/>
        <v>1</v>
      </c>
      <c r="C142" s="67" t="s">
        <v>191</v>
      </c>
      <c r="D142" s="78" t="s">
        <v>192</v>
      </c>
      <c r="E142" s="78" t="s">
        <v>14</v>
      </c>
      <c r="F142" s="67" t="s">
        <v>169</v>
      </c>
      <c r="G142" s="86" t="s">
        <v>530</v>
      </c>
      <c r="H142" s="72" t="s">
        <v>531</v>
      </c>
      <c r="I142" s="67" t="s">
        <v>18</v>
      </c>
      <c r="L142" s="80" t="str">
        <f t="shared" si="2"/>
        <v>No infirmation</v>
      </c>
      <c r="M142" s="80" t="str">
        <f t="shared" si="3"/>
        <v>20251219_snorkel_batch005__llm_navqa_onlinemind2web_websites__156</v>
      </c>
    </row>
    <row r="143" ht="15.75" customHeight="1">
      <c r="B143" s="77">
        <f t="shared" si="1"/>
        <v>1</v>
      </c>
      <c r="C143" s="67" t="s">
        <v>191</v>
      </c>
      <c r="D143" s="78" t="s">
        <v>192</v>
      </c>
      <c r="E143" s="78" t="s">
        <v>14</v>
      </c>
      <c r="F143" s="67" t="s">
        <v>169</v>
      </c>
      <c r="G143" s="86" t="s">
        <v>532</v>
      </c>
      <c r="H143" s="72" t="s">
        <v>533</v>
      </c>
      <c r="I143" s="67" t="s">
        <v>18</v>
      </c>
      <c r="L143" s="80" t="str">
        <f t="shared" si="2"/>
        <v>No infirmation</v>
      </c>
      <c r="M143" s="80" t="str">
        <f t="shared" si="3"/>
        <v>20251219_snorkel_batch006__llm_navqa_popular_websites__117</v>
      </c>
    </row>
    <row r="144" ht="15.75" customHeight="1">
      <c r="B144" s="77">
        <f t="shared" si="1"/>
        <v>1</v>
      </c>
      <c r="C144" s="67" t="s">
        <v>191</v>
      </c>
      <c r="D144" s="78" t="s">
        <v>192</v>
      </c>
      <c r="E144" s="78" t="s">
        <v>14</v>
      </c>
      <c r="F144" s="67" t="s">
        <v>169</v>
      </c>
      <c r="G144" s="86" t="s">
        <v>534</v>
      </c>
      <c r="H144" s="72" t="s">
        <v>535</v>
      </c>
      <c r="I144" s="67" t="s">
        <v>18</v>
      </c>
      <c r="L144" s="80" t="str">
        <f t="shared" si="2"/>
        <v>No infirmation</v>
      </c>
      <c r="M144" s="80" t="str">
        <f t="shared" si="3"/>
        <v>20251219_snorkel_batch004__llm_navqa_popular_websites__9</v>
      </c>
    </row>
    <row r="145" ht="15.75" customHeight="1">
      <c r="B145" s="77">
        <f t="shared" si="1"/>
        <v>1</v>
      </c>
      <c r="C145" s="67" t="s">
        <v>191</v>
      </c>
      <c r="D145" s="78" t="s">
        <v>192</v>
      </c>
      <c r="E145" s="78" t="s">
        <v>14</v>
      </c>
      <c r="F145" s="67" t="s">
        <v>169</v>
      </c>
      <c r="G145" s="86" t="s">
        <v>536</v>
      </c>
      <c r="H145" s="72" t="s">
        <v>537</v>
      </c>
      <c r="I145" s="67" t="s">
        <v>18</v>
      </c>
      <c r="L145" s="80" t="str">
        <f t="shared" si="2"/>
        <v>No infirmation</v>
      </c>
      <c r="M145" s="80" t="str">
        <f t="shared" si="3"/>
        <v>20251219_snorkel_batch009__llm_navqa_popular_websites__132</v>
      </c>
    </row>
    <row r="146" ht="15.75" customHeight="1">
      <c r="B146" s="77">
        <f t="shared" si="1"/>
        <v>1</v>
      </c>
      <c r="C146" s="67" t="s">
        <v>191</v>
      </c>
      <c r="D146" s="78" t="s">
        <v>192</v>
      </c>
      <c r="E146" s="78" t="s">
        <v>14</v>
      </c>
      <c r="F146" s="67" t="s">
        <v>169</v>
      </c>
      <c r="G146" s="86" t="s">
        <v>538</v>
      </c>
      <c r="H146" s="72" t="s">
        <v>539</v>
      </c>
      <c r="I146" s="67" t="s">
        <v>18</v>
      </c>
      <c r="L146" s="80" t="str">
        <f t="shared" si="2"/>
        <v>No infirmation</v>
      </c>
      <c r="M146" s="80" t="str">
        <f t="shared" si="3"/>
        <v>20251219_snorkel_batch007__llm_navqa_popular_websites__125</v>
      </c>
    </row>
    <row r="147" ht="15.75" customHeight="1">
      <c r="B147" s="77">
        <f t="shared" si="1"/>
        <v>1</v>
      </c>
      <c r="C147" s="67" t="s">
        <v>191</v>
      </c>
      <c r="D147" s="78" t="s">
        <v>192</v>
      </c>
      <c r="E147" s="78" t="s">
        <v>14</v>
      </c>
      <c r="F147" s="67" t="s">
        <v>169</v>
      </c>
      <c r="G147" s="86" t="s">
        <v>540</v>
      </c>
      <c r="H147" s="72" t="s">
        <v>541</v>
      </c>
      <c r="I147" s="67" t="s">
        <v>18</v>
      </c>
      <c r="L147" s="80" t="str">
        <f t="shared" si="2"/>
        <v>No infirmation</v>
      </c>
      <c r="M147" s="80" t="str">
        <f t="shared" si="3"/>
        <v>20251219_snorkel_batch009__llm_navqa_onlinemind2web_websites__87</v>
      </c>
    </row>
    <row r="148" ht="15.75" customHeight="1">
      <c r="B148" s="77">
        <f t="shared" si="1"/>
        <v>1</v>
      </c>
      <c r="C148" s="67" t="s">
        <v>191</v>
      </c>
      <c r="D148" s="78" t="s">
        <v>192</v>
      </c>
      <c r="E148" s="78" t="s">
        <v>14</v>
      </c>
      <c r="F148" s="67" t="s">
        <v>169</v>
      </c>
      <c r="G148" s="86" t="s">
        <v>542</v>
      </c>
      <c r="H148" s="72" t="s">
        <v>543</v>
      </c>
      <c r="I148" s="67" t="s">
        <v>18</v>
      </c>
      <c r="L148" s="80" t="str">
        <f t="shared" si="2"/>
        <v>No infirmation</v>
      </c>
      <c r="M148" s="80" t="str">
        <f t="shared" si="3"/>
        <v>20251219_snorkel_batch006__llm_navqa_onlinemind2web_websites__96</v>
      </c>
    </row>
    <row r="149" ht="15.75" customHeight="1">
      <c r="B149" s="77">
        <f t="shared" si="1"/>
        <v>1</v>
      </c>
      <c r="C149" s="67" t="s">
        <v>191</v>
      </c>
      <c r="D149" s="78" t="s">
        <v>192</v>
      </c>
      <c r="E149" s="78" t="s">
        <v>14</v>
      </c>
      <c r="F149" s="67" t="s">
        <v>169</v>
      </c>
      <c r="G149" s="86" t="s">
        <v>544</v>
      </c>
      <c r="H149" s="72" t="s">
        <v>545</v>
      </c>
      <c r="I149" s="67" t="s">
        <v>18</v>
      </c>
      <c r="L149" s="80" t="str">
        <f t="shared" si="2"/>
        <v>No infirmation</v>
      </c>
      <c r="M149" s="80" t="str">
        <f t="shared" si="3"/>
        <v>20251121_snorkel_batch001__webvoyager_like__206</v>
      </c>
    </row>
    <row r="150" ht="15.75" customHeight="1">
      <c r="B150" s="77">
        <f t="shared" si="1"/>
        <v>1</v>
      </c>
      <c r="C150" s="67" t="s">
        <v>191</v>
      </c>
      <c r="D150" s="78" t="s">
        <v>192</v>
      </c>
      <c r="E150" s="78" t="s">
        <v>14</v>
      </c>
      <c r="F150" s="67" t="s">
        <v>169</v>
      </c>
      <c r="G150" s="86" t="s">
        <v>546</v>
      </c>
      <c r="H150" s="72" t="s">
        <v>547</v>
      </c>
      <c r="I150" s="67" t="s">
        <v>18</v>
      </c>
      <c r="L150" s="80" t="str">
        <f t="shared" si="2"/>
        <v>No infirmation</v>
      </c>
      <c r="M150" s="80" t="str">
        <f t="shared" si="3"/>
        <v>20251219_snorkel_batch002__llm_navqa_webvoyager_websites__28</v>
      </c>
    </row>
    <row r="151" ht="15.75" customHeight="1">
      <c r="B151" s="77">
        <f t="shared" si="1"/>
        <v>1</v>
      </c>
      <c r="C151" s="67" t="s">
        <v>191</v>
      </c>
      <c r="D151" s="78" t="s">
        <v>192</v>
      </c>
      <c r="E151" s="78" t="s">
        <v>14</v>
      </c>
      <c r="F151" s="67" t="s">
        <v>169</v>
      </c>
      <c r="G151" s="86" t="s">
        <v>548</v>
      </c>
      <c r="H151" s="72" t="s">
        <v>549</v>
      </c>
      <c r="I151" s="67" t="s">
        <v>18</v>
      </c>
      <c r="L151" s="80" t="str">
        <f t="shared" si="2"/>
        <v>No infirmation</v>
      </c>
      <c r="M151" s="80" t="str">
        <f t="shared" si="3"/>
        <v>20251219_snorkel_batch010__llm_navqa_webvoyager_websites__18</v>
      </c>
    </row>
    <row r="152" ht="15.75" customHeight="1">
      <c r="B152" s="77">
        <f t="shared" si="1"/>
        <v>1</v>
      </c>
      <c r="C152" s="81" t="s">
        <v>197</v>
      </c>
      <c r="D152" s="78" t="s">
        <v>198</v>
      </c>
      <c r="E152" s="78" t="s">
        <v>14</v>
      </c>
      <c r="F152" s="67" t="s">
        <v>169</v>
      </c>
      <c r="G152" s="91" t="s">
        <v>550</v>
      </c>
      <c r="H152" s="92" t="s">
        <v>551</v>
      </c>
      <c r="I152" s="67" t="s">
        <v>18</v>
      </c>
      <c r="L152" s="80" t="str">
        <f t="shared" si="2"/>
        <v>No infirmation</v>
      </c>
      <c r="M152" s="80" t="str">
        <f t="shared" si="3"/>
        <v>20251219_snorkel_batch007__llm_navqa_onlinemind2web_websites__76</v>
      </c>
    </row>
    <row r="153" ht="15.75" customHeight="1">
      <c r="B153" s="77">
        <f t="shared" si="1"/>
        <v>1</v>
      </c>
      <c r="C153" s="81" t="s">
        <v>197</v>
      </c>
      <c r="D153" s="78" t="s">
        <v>198</v>
      </c>
      <c r="E153" s="78" t="s">
        <v>14</v>
      </c>
      <c r="F153" s="67" t="s">
        <v>169</v>
      </c>
      <c r="G153" s="91" t="s">
        <v>552</v>
      </c>
      <c r="H153" s="92" t="s">
        <v>553</v>
      </c>
      <c r="I153" s="67" t="s">
        <v>18</v>
      </c>
      <c r="L153" s="80" t="str">
        <f t="shared" si="2"/>
        <v>No infirmation</v>
      </c>
      <c r="M153" s="80" t="str">
        <f t="shared" si="3"/>
        <v>20251219_snorkel_batch002__llm_navqa_popular_websites__30</v>
      </c>
    </row>
    <row r="154" ht="15.75" customHeight="1">
      <c r="B154" s="77">
        <f t="shared" si="1"/>
        <v>1</v>
      </c>
      <c r="C154" s="81" t="s">
        <v>197</v>
      </c>
      <c r="D154" s="78" t="s">
        <v>198</v>
      </c>
      <c r="E154" s="78" t="s">
        <v>14</v>
      </c>
      <c r="F154" s="67" t="s">
        <v>169</v>
      </c>
      <c r="G154" s="91" t="s">
        <v>554</v>
      </c>
      <c r="H154" s="92" t="s">
        <v>555</v>
      </c>
      <c r="I154" s="67" t="s">
        <v>18</v>
      </c>
      <c r="L154" s="80" t="str">
        <f t="shared" si="2"/>
        <v>No infirmation</v>
      </c>
      <c r="M154" s="80" t="str">
        <f t="shared" si="3"/>
        <v>20251219_snorkel_batch006__llm_navqa_popular_websites__41</v>
      </c>
    </row>
    <row r="155" ht="15.75" customHeight="1">
      <c r="B155" s="77">
        <f t="shared" si="1"/>
        <v>1</v>
      </c>
      <c r="C155" s="81" t="s">
        <v>197</v>
      </c>
      <c r="D155" s="78" t="s">
        <v>198</v>
      </c>
      <c r="E155" s="78" t="s">
        <v>14</v>
      </c>
      <c r="F155" s="67" t="s">
        <v>169</v>
      </c>
      <c r="G155" s="91" t="s">
        <v>556</v>
      </c>
      <c r="H155" s="92" t="s">
        <v>557</v>
      </c>
      <c r="I155" s="67" t="s">
        <v>18</v>
      </c>
      <c r="L155" s="80" t="str">
        <f t="shared" si="2"/>
        <v>No infirmation</v>
      </c>
      <c r="M155" s="80" t="str">
        <f t="shared" si="3"/>
        <v>20251219_snorkel_batch010__llm_navqa_onlinemind2web_websites__95</v>
      </c>
    </row>
    <row r="156" ht="15.75" customHeight="1">
      <c r="B156" s="77">
        <f t="shared" si="1"/>
        <v>1</v>
      </c>
      <c r="C156" s="81" t="s">
        <v>197</v>
      </c>
      <c r="D156" s="78" t="s">
        <v>198</v>
      </c>
      <c r="E156" s="78" t="s">
        <v>14</v>
      </c>
      <c r="F156" s="67" t="s">
        <v>169</v>
      </c>
      <c r="G156" s="91" t="s">
        <v>558</v>
      </c>
      <c r="H156" s="92" t="s">
        <v>559</v>
      </c>
      <c r="I156" s="67" t="s">
        <v>18</v>
      </c>
      <c r="L156" s="80" t="str">
        <f t="shared" si="2"/>
        <v>No infirmation</v>
      </c>
      <c r="M156" s="80" t="str">
        <f t="shared" si="3"/>
        <v>20251121_snorkel_batch001__webvoyager_like__470</v>
      </c>
    </row>
    <row r="157" ht="15.75" customHeight="1">
      <c r="B157" s="77">
        <f t="shared" si="1"/>
        <v>1</v>
      </c>
      <c r="C157" s="81" t="s">
        <v>197</v>
      </c>
      <c r="D157" s="78" t="s">
        <v>198</v>
      </c>
      <c r="E157" s="78" t="s">
        <v>14</v>
      </c>
      <c r="F157" s="67" t="s">
        <v>169</v>
      </c>
      <c r="G157" s="91" t="s">
        <v>560</v>
      </c>
      <c r="H157" s="92" t="s">
        <v>561</v>
      </c>
      <c r="I157" s="67" t="s">
        <v>18</v>
      </c>
      <c r="L157" s="80" t="str">
        <f t="shared" si="2"/>
        <v>No infirmation</v>
      </c>
      <c r="M157" s="80" t="str">
        <f t="shared" si="3"/>
        <v>20251219_snorkel_batch005__llm_navqa_popular_websites__102</v>
      </c>
    </row>
    <row r="158" ht="15.75" customHeight="1">
      <c r="B158" s="77">
        <f t="shared" si="1"/>
        <v>1</v>
      </c>
      <c r="C158" s="81" t="s">
        <v>197</v>
      </c>
      <c r="D158" s="78" t="s">
        <v>198</v>
      </c>
      <c r="E158" s="78" t="s">
        <v>14</v>
      </c>
      <c r="F158" s="67" t="s">
        <v>169</v>
      </c>
      <c r="G158" s="91" t="s">
        <v>562</v>
      </c>
      <c r="H158" s="92" t="s">
        <v>563</v>
      </c>
      <c r="I158" s="67" t="s">
        <v>18</v>
      </c>
      <c r="L158" s="80" t="str">
        <f t="shared" si="2"/>
        <v>No infirmation</v>
      </c>
      <c r="M158" s="80" t="str">
        <f t="shared" si="3"/>
        <v>20251219_snorkel_batch001__llm_navqa_onlinemind2web_websites__41</v>
      </c>
    </row>
    <row r="159" ht="15.75" customHeight="1">
      <c r="B159" s="77">
        <f t="shared" si="1"/>
        <v>1</v>
      </c>
      <c r="C159" s="81" t="s">
        <v>197</v>
      </c>
      <c r="D159" s="78" t="s">
        <v>198</v>
      </c>
      <c r="E159" s="78" t="s">
        <v>14</v>
      </c>
      <c r="F159" s="67" t="s">
        <v>169</v>
      </c>
      <c r="G159" s="91" t="s">
        <v>564</v>
      </c>
      <c r="H159" s="92" t="s">
        <v>565</v>
      </c>
      <c r="I159" s="67" t="s">
        <v>18</v>
      </c>
      <c r="L159" s="80" t="str">
        <f t="shared" si="2"/>
        <v>No infirmation</v>
      </c>
      <c r="M159" s="80" t="str">
        <f t="shared" si="3"/>
        <v>20251219_snorkel_batch010__llm_navqa_popular_websites__117</v>
      </c>
    </row>
    <row r="160" ht="15.75" customHeight="1">
      <c r="B160" s="77">
        <f t="shared" si="1"/>
        <v>1</v>
      </c>
      <c r="C160" s="81" t="s">
        <v>197</v>
      </c>
      <c r="D160" s="78" t="s">
        <v>198</v>
      </c>
      <c r="E160" s="78" t="s">
        <v>14</v>
      </c>
      <c r="F160" s="67" t="s">
        <v>169</v>
      </c>
      <c r="G160" s="91" t="s">
        <v>566</v>
      </c>
      <c r="H160" s="92" t="s">
        <v>567</v>
      </c>
      <c r="I160" s="67" t="s">
        <v>18</v>
      </c>
      <c r="L160" s="80" t="str">
        <f t="shared" si="2"/>
        <v>No infirmation</v>
      </c>
      <c r="M160" s="80" t="str">
        <f t="shared" si="3"/>
        <v>20251219_snorkel_batch010__llm_navqa_popular_websites__30</v>
      </c>
    </row>
    <row r="161" ht="15.75" customHeight="1">
      <c r="B161" s="77">
        <f t="shared" si="1"/>
        <v>1</v>
      </c>
      <c r="C161" s="81" t="s">
        <v>197</v>
      </c>
      <c r="D161" s="78" t="s">
        <v>198</v>
      </c>
      <c r="E161" s="78" t="s">
        <v>14</v>
      </c>
      <c r="F161" s="67" t="s">
        <v>169</v>
      </c>
      <c r="G161" s="91" t="s">
        <v>568</v>
      </c>
      <c r="H161" s="92" t="s">
        <v>569</v>
      </c>
      <c r="I161" s="67" t="s">
        <v>18</v>
      </c>
      <c r="L161" s="80" t="str">
        <f t="shared" si="2"/>
        <v>No infirmation</v>
      </c>
      <c r="M161" s="80" t="str">
        <f t="shared" si="3"/>
        <v>20251219_snorkel_batch005__llm_navqa_popular_websites__139</v>
      </c>
    </row>
    <row r="162" ht="15.75" customHeight="1">
      <c r="B162" s="77">
        <f t="shared" si="1"/>
        <v>1</v>
      </c>
      <c r="C162" s="81" t="s">
        <v>197</v>
      </c>
      <c r="D162" s="78" t="s">
        <v>198</v>
      </c>
      <c r="E162" s="78" t="s">
        <v>14</v>
      </c>
      <c r="F162" s="67" t="s">
        <v>169</v>
      </c>
      <c r="G162" s="91" t="s">
        <v>570</v>
      </c>
      <c r="H162" s="92" t="s">
        <v>571</v>
      </c>
      <c r="I162" s="67" t="s">
        <v>18</v>
      </c>
      <c r="L162" s="80" t="str">
        <f t="shared" si="2"/>
        <v>No infirmation</v>
      </c>
      <c r="M162" s="80" t="str">
        <f t="shared" si="3"/>
        <v>20251121_snorkel_batch001__webvoyager_like__32</v>
      </c>
    </row>
    <row r="163" ht="15.75" customHeight="1">
      <c r="B163" s="77">
        <f t="shared" si="1"/>
        <v>1</v>
      </c>
      <c r="C163" s="67" t="s">
        <v>195</v>
      </c>
      <c r="D163" s="78" t="s">
        <v>13</v>
      </c>
      <c r="E163" s="78" t="s">
        <v>14</v>
      </c>
      <c r="F163" s="67" t="s">
        <v>169</v>
      </c>
      <c r="G163" s="81" t="s">
        <v>572</v>
      </c>
      <c r="H163" s="79" t="s">
        <v>573</v>
      </c>
      <c r="I163" s="67" t="s">
        <v>18</v>
      </c>
      <c r="L163" s="80" t="str">
        <f t="shared" si="2"/>
        <v>No infirmation</v>
      </c>
      <c r="M163" s="80" t="str">
        <f t="shared" si="3"/>
        <v>20251219_snorkel_batch005__llm_navqa_onlinemind2web_websites__168</v>
      </c>
    </row>
    <row r="164" ht="15.75" customHeight="1">
      <c r="B164" s="77">
        <f t="shared" si="1"/>
        <v>1</v>
      </c>
      <c r="C164" s="67" t="s">
        <v>195</v>
      </c>
      <c r="D164" s="78" t="s">
        <v>13</v>
      </c>
      <c r="E164" s="78" t="s">
        <v>14</v>
      </c>
      <c r="F164" s="67" t="s">
        <v>169</v>
      </c>
      <c r="G164" s="81" t="s">
        <v>574</v>
      </c>
      <c r="H164" s="79" t="s">
        <v>575</v>
      </c>
      <c r="I164" s="67" t="s">
        <v>18</v>
      </c>
      <c r="L164" s="80" t="str">
        <f t="shared" si="2"/>
        <v>No infirmation</v>
      </c>
      <c r="M164" s="80" t="str">
        <f t="shared" si="3"/>
        <v>20251219_snorkel_batch008__llm_navqa_onlinemind2web_websites__165</v>
      </c>
    </row>
    <row r="165" ht="15.75" customHeight="1">
      <c r="B165" s="77">
        <f t="shared" si="1"/>
        <v>1</v>
      </c>
      <c r="C165" s="67" t="s">
        <v>195</v>
      </c>
      <c r="D165" s="78" t="s">
        <v>13</v>
      </c>
      <c r="E165" s="78" t="s">
        <v>14</v>
      </c>
      <c r="F165" s="67" t="s">
        <v>169</v>
      </c>
      <c r="G165" s="81" t="s">
        <v>576</v>
      </c>
      <c r="H165" s="79" t="s">
        <v>577</v>
      </c>
      <c r="I165" s="67" t="s">
        <v>18</v>
      </c>
      <c r="L165" s="80" t="str">
        <f t="shared" si="2"/>
        <v>No infirmation</v>
      </c>
      <c r="M165" s="80" t="str">
        <f t="shared" si="3"/>
        <v>20251121_snorkel_batch001__webvoyager_like__33</v>
      </c>
    </row>
    <row r="166" ht="15.75" customHeight="1">
      <c r="B166" s="77">
        <f t="shared" si="1"/>
        <v>1</v>
      </c>
      <c r="C166" s="67" t="s">
        <v>195</v>
      </c>
      <c r="D166" s="78" t="s">
        <v>13</v>
      </c>
      <c r="E166" s="78" t="s">
        <v>14</v>
      </c>
      <c r="F166" s="67" t="s">
        <v>169</v>
      </c>
      <c r="G166" s="81" t="s">
        <v>578</v>
      </c>
      <c r="H166" s="79" t="s">
        <v>579</v>
      </c>
      <c r="I166" s="67" t="s">
        <v>18</v>
      </c>
      <c r="L166" s="80" t="str">
        <f t="shared" si="2"/>
        <v>No infirmation</v>
      </c>
      <c r="M166" s="80" t="str">
        <f t="shared" si="3"/>
        <v>20251219_snorkel_batch005__llm_navqa_popular_websites__140</v>
      </c>
    </row>
    <row r="167" ht="15.75" customHeight="1">
      <c r="B167" s="77">
        <f t="shared" si="1"/>
        <v>1</v>
      </c>
      <c r="C167" s="67" t="s">
        <v>195</v>
      </c>
      <c r="D167" s="78" t="s">
        <v>13</v>
      </c>
      <c r="E167" s="78" t="s">
        <v>14</v>
      </c>
      <c r="F167" s="67" t="s">
        <v>169</v>
      </c>
      <c r="G167" s="81" t="s">
        <v>580</v>
      </c>
      <c r="H167" s="79" t="s">
        <v>581</v>
      </c>
      <c r="I167" s="67" t="s">
        <v>18</v>
      </c>
      <c r="J167" s="81" t="s">
        <v>582</v>
      </c>
      <c r="K167" s="67">
        <v>40.0</v>
      </c>
      <c r="L167" s="80" t="str">
        <f t="shared" si="2"/>
        <v>No infirmation</v>
      </c>
      <c r="M167" s="80" t="str">
        <f t="shared" si="3"/>
        <v>20251219_snorkel_batch008__llm_navqa_webvoyager_websites__121</v>
      </c>
    </row>
    <row r="168" ht="15.75" customHeight="1">
      <c r="B168" s="77">
        <f t="shared" si="1"/>
        <v>1</v>
      </c>
      <c r="C168" s="67" t="s">
        <v>195</v>
      </c>
      <c r="D168" s="78" t="s">
        <v>13</v>
      </c>
      <c r="E168" s="78" t="s">
        <v>14</v>
      </c>
      <c r="F168" s="67" t="s">
        <v>169</v>
      </c>
      <c r="G168" s="81" t="s">
        <v>583</v>
      </c>
      <c r="H168" s="79" t="s">
        <v>584</v>
      </c>
      <c r="I168" s="67" t="s">
        <v>18</v>
      </c>
      <c r="L168" s="80" t="str">
        <f t="shared" si="2"/>
        <v>No infirmation</v>
      </c>
      <c r="M168" s="80" t="str">
        <f t="shared" si="3"/>
        <v>20251219_snorkel_batch007__llm_navqa_popular_websites__5</v>
      </c>
    </row>
    <row r="169" ht="15.75" customHeight="1">
      <c r="B169" s="77">
        <f t="shared" si="1"/>
        <v>1</v>
      </c>
      <c r="C169" s="67" t="s">
        <v>195</v>
      </c>
      <c r="D169" s="78" t="s">
        <v>13</v>
      </c>
      <c r="E169" s="78" t="s">
        <v>14</v>
      </c>
      <c r="F169" s="67" t="s">
        <v>169</v>
      </c>
      <c r="G169" s="81" t="s">
        <v>585</v>
      </c>
      <c r="H169" s="79" t="s">
        <v>586</v>
      </c>
      <c r="I169" s="67" t="s">
        <v>18</v>
      </c>
      <c r="J169" s="67" t="s">
        <v>587</v>
      </c>
      <c r="K169" s="67" t="s">
        <v>588</v>
      </c>
      <c r="L169" s="80" t="str">
        <f t="shared" si="2"/>
        <v>No infirmation</v>
      </c>
      <c r="M169" s="80" t="str">
        <f t="shared" si="3"/>
        <v>20251219_snorkel_batch002__llm_navqa_onlinemind2web_websites__17</v>
      </c>
    </row>
    <row r="170" ht="15.75" customHeight="1">
      <c r="B170" s="77">
        <f t="shared" si="1"/>
        <v>1</v>
      </c>
      <c r="C170" s="67" t="s">
        <v>195</v>
      </c>
      <c r="D170" s="78" t="s">
        <v>13</v>
      </c>
      <c r="E170" s="78" t="s">
        <v>14</v>
      </c>
      <c r="F170" s="67" t="s">
        <v>169</v>
      </c>
      <c r="G170" s="81" t="s">
        <v>589</v>
      </c>
      <c r="H170" s="79" t="s">
        <v>590</v>
      </c>
      <c r="I170" s="67" t="s">
        <v>18</v>
      </c>
      <c r="L170" s="80" t="str">
        <f t="shared" si="2"/>
        <v>No infirmation</v>
      </c>
      <c r="M170" s="80" t="str">
        <f t="shared" si="3"/>
        <v>20251219_snorkel_batch008__llm_navqa_popular_websites__130</v>
      </c>
    </row>
    <row r="171" ht="15.75" customHeight="1">
      <c r="B171" s="77">
        <f t="shared" si="1"/>
        <v>1</v>
      </c>
      <c r="C171" s="67" t="s">
        <v>195</v>
      </c>
      <c r="D171" s="78" t="s">
        <v>13</v>
      </c>
      <c r="E171" s="78" t="s">
        <v>14</v>
      </c>
      <c r="F171" s="67" t="s">
        <v>169</v>
      </c>
      <c r="G171" s="81" t="s">
        <v>591</v>
      </c>
      <c r="H171" s="79" t="s">
        <v>592</v>
      </c>
      <c r="I171" s="67" t="s">
        <v>18</v>
      </c>
      <c r="J171" s="67" t="s">
        <v>593</v>
      </c>
      <c r="K171" s="67">
        <v>42.0</v>
      </c>
      <c r="L171" s="80" t="str">
        <f t="shared" si="2"/>
        <v>No infirmation</v>
      </c>
      <c r="M171" s="80" t="str">
        <f t="shared" si="3"/>
        <v>20251219_snorkel_batch009__llm_navqa_onlinemind2web_websites__74</v>
      </c>
    </row>
    <row r="172" ht="15.75" customHeight="1">
      <c r="B172" s="77">
        <f t="shared" si="1"/>
        <v>1</v>
      </c>
      <c r="C172" s="67" t="s">
        <v>195</v>
      </c>
      <c r="D172" s="78" t="s">
        <v>13</v>
      </c>
      <c r="E172" s="78" t="s">
        <v>14</v>
      </c>
      <c r="F172" s="67" t="s">
        <v>169</v>
      </c>
      <c r="G172" s="81" t="s">
        <v>594</v>
      </c>
      <c r="H172" s="79" t="s">
        <v>595</v>
      </c>
      <c r="I172" s="67" t="s">
        <v>18</v>
      </c>
      <c r="L172" s="80" t="str">
        <f t="shared" si="2"/>
        <v>No infirmation</v>
      </c>
      <c r="M172" s="80" t="str">
        <f t="shared" si="3"/>
        <v>20251219_snorkel_batch008__llm_navqa_onlinemind2web_websites__52</v>
      </c>
    </row>
    <row r="173" ht="15.75" customHeight="1">
      <c r="B173" s="77">
        <f t="shared" si="1"/>
        <v>1</v>
      </c>
      <c r="C173" s="67" t="s">
        <v>195</v>
      </c>
      <c r="D173" s="78" t="s">
        <v>13</v>
      </c>
      <c r="E173" s="78" t="s">
        <v>14</v>
      </c>
      <c r="F173" s="67" t="s">
        <v>169</v>
      </c>
      <c r="G173" s="81" t="s">
        <v>596</v>
      </c>
      <c r="H173" s="79" t="s">
        <v>597</v>
      </c>
      <c r="I173" s="67" t="s">
        <v>18</v>
      </c>
      <c r="L173" s="80" t="str">
        <f t="shared" si="2"/>
        <v>No infirmation</v>
      </c>
      <c r="M173" s="80" t="str">
        <f t="shared" si="3"/>
        <v>20251219_snorkel_batch007__llm_navqa_onlinemind2web_websites__110</v>
      </c>
    </row>
    <row r="174" ht="15.75" customHeight="1">
      <c r="B174" s="77">
        <f t="shared" si="1"/>
        <v>1</v>
      </c>
      <c r="C174" s="67" t="s">
        <v>195</v>
      </c>
      <c r="D174" s="78" t="s">
        <v>13</v>
      </c>
      <c r="E174" s="78" t="s">
        <v>14</v>
      </c>
      <c r="F174" s="67" t="s">
        <v>169</v>
      </c>
      <c r="G174" s="81" t="s">
        <v>598</v>
      </c>
      <c r="H174" s="79" t="s">
        <v>599</v>
      </c>
      <c r="I174" s="67" t="s">
        <v>18</v>
      </c>
      <c r="L174" s="80" t="str">
        <f t="shared" si="2"/>
        <v>No infirmation</v>
      </c>
      <c r="M174" s="80" t="str">
        <f t="shared" si="3"/>
        <v>20251219_snorkel_batch006__llm_navqa_onlinemind2web_websites__152</v>
      </c>
    </row>
    <row r="175" ht="15.75" customHeight="1">
      <c r="B175" s="77">
        <f t="shared" si="1"/>
        <v>1</v>
      </c>
      <c r="C175" s="67" t="s">
        <v>195</v>
      </c>
      <c r="D175" s="78" t="s">
        <v>13</v>
      </c>
      <c r="E175" s="78" t="s">
        <v>14</v>
      </c>
      <c r="F175" s="67" t="s">
        <v>169</v>
      </c>
      <c r="G175" s="81" t="s">
        <v>600</v>
      </c>
      <c r="H175" s="79" t="s">
        <v>601</v>
      </c>
      <c r="I175" s="67" t="s">
        <v>18</v>
      </c>
      <c r="J175" s="81" t="s">
        <v>241</v>
      </c>
      <c r="K175" s="67">
        <v>42.0</v>
      </c>
      <c r="L175" s="80" t="str">
        <f t="shared" si="2"/>
        <v>No infirmation</v>
      </c>
      <c r="M175" s="80" t="str">
        <f t="shared" si="3"/>
        <v>20251219_snorkel_batch004__llm_navqa_webvoyager_websites__150</v>
      </c>
    </row>
    <row r="176" ht="15.75" customHeight="1">
      <c r="B176" s="77">
        <f t="shared" si="1"/>
        <v>1</v>
      </c>
      <c r="C176" s="67" t="s">
        <v>195</v>
      </c>
      <c r="D176" s="78" t="s">
        <v>13</v>
      </c>
      <c r="E176" s="78" t="s">
        <v>14</v>
      </c>
      <c r="F176" s="67" t="s">
        <v>169</v>
      </c>
      <c r="G176" s="81" t="s">
        <v>602</v>
      </c>
      <c r="H176" s="79" t="s">
        <v>603</v>
      </c>
      <c r="I176" s="67" t="s">
        <v>18</v>
      </c>
      <c r="J176" s="81" t="s">
        <v>241</v>
      </c>
      <c r="K176" s="67">
        <v>42.0</v>
      </c>
      <c r="L176" s="80" t="str">
        <f t="shared" si="2"/>
        <v>No infirmation</v>
      </c>
      <c r="M176" s="80" t="str">
        <f t="shared" si="3"/>
        <v>20251219_snorkel_batch010__llm_navqa_popular_websites__68</v>
      </c>
    </row>
    <row r="177" ht="15.75" customHeight="1">
      <c r="B177" s="77">
        <f t="shared" si="1"/>
        <v>1</v>
      </c>
      <c r="C177" s="67" t="s">
        <v>195</v>
      </c>
      <c r="D177" s="78" t="s">
        <v>13</v>
      </c>
      <c r="E177" s="78" t="s">
        <v>14</v>
      </c>
      <c r="F177" s="67" t="s">
        <v>169</v>
      </c>
      <c r="G177" s="81" t="s">
        <v>604</v>
      </c>
      <c r="H177" s="79" t="s">
        <v>605</v>
      </c>
      <c r="I177" s="67" t="s">
        <v>18</v>
      </c>
      <c r="J177" s="67" t="s">
        <v>606</v>
      </c>
      <c r="K177" s="67">
        <v>42.0</v>
      </c>
      <c r="L177" s="80" t="str">
        <f t="shared" si="2"/>
        <v>No infirmation</v>
      </c>
      <c r="M177" s="80" t="str">
        <f t="shared" si="3"/>
        <v>20251219_snorkel_batch009__llm_navqa_popular_websites__25</v>
      </c>
    </row>
    <row r="178" ht="15.75" customHeight="1">
      <c r="B178" s="77">
        <f t="shared" si="1"/>
        <v>1</v>
      </c>
      <c r="C178" s="67" t="s">
        <v>195</v>
      </c>
      <c r="D178" s="78" t="s">
        <v>13</v>
      </c>
      <c r="E178" s="78" t="s">
        <v>14</v>
      </c>
      <c r="F178" s="67" t="s">
        <v>169</v>
      </c>
      <c r="G178" s="81" t="s">
        <v>607</v>
      </c>
      <c r="H178" s="79" t="s">
        <v>608</v>
      </c>
      <c r="I178" s="67" t="s">
        <v>18</v>
      </c>
      <c r="L178" s="80" t="str">
        <f t="shared" si="2"/>
        <v>No infirmation</v>
      </c>
      <c r="M178" s="80" t="str">
        <f t="shared" si="3"/>
        <v>20251219_snorkel_batch009__llm_navqa_onlinemind2web_websites__76</v>
      </c>
    </row>
    <row r="179" ht="15.75" customHeight="1">
      <c r="B179" s="77">
        <f t="shared" si="1"/>
        <v>1</v>
      </c>
      <c r="C179" s="67" t="s">
        <v>195</v>
      </c>
      <c r="D179" s="78" t="s">
        <v>13</v>
      </c>
      <c r="E179" s="78" t="s">
        <v>14</v>
      </c>
      <c r="F179" s="67" t="s">
        <v>169</v>
      </c>
      <c r="G179" s="81" t="s">
        <v>609</v>
      </c>
      <c r="H179" s="79" t="s">
        <v>610</v>
      </c>
      <c r="I179" s="67" t="s">
        <v>18</v>
      </c>
      <c r="J179" s="67" t="s">
        <v>241</v>
      </c>
      <c r="K179" s="67">
        <v>42.0</v>
      </c>
      <c r="L179" s="80" t="str">
        <f t="shared" si="2"/>
        <v>No infirmation</v>
      </c>
      <c r="M179" s="80" t="str">
        <f t="shared" si="3"/>
        <v>20251219_snorkel_batch010__llm_navqa_onlinemind2web_websites__34</v>
      </c>
    </row>
    <row r="180" ht="15.75" customHeight="1">
      <c r="B180" s="77">
        <f t="shared" si="1"/>
        <v>1</v>
      </c>
      <c r="C180" s="67" t="s">
        <v>195</v>
      </c>
      <c r="D180" s="78" t="s">
        <v>13</v>
      </c>
      <c r="E180" s="78" t="s">
        <v>14</v>
      </c>
      <c r="F180" s="67" t="s">
        <v>169</v>
      </c>
      <c r="G180" s="81" t="s">
        <v>611</v>
      </c>
      <c r="H180" s="79" t="s">
        <v>612</v>
      </c>
      <c r="I180" s="67" t="s">
        <v>18</v>
      </c>
      <c r="J180" s="67" t="s">
        <v>241</v>
      </c>
      <c r="K180" s="67">
        <v>42.0</v>
      </c>
      <c r="L180" s="80" t="str">
        <f t="shared" si="2"/>
        <v>No infirmation</v>
      </c>
      <c r="M180" s="80" t="str">
        <f t="shared" si="3"/>
        <v>20251219_snorkel_batch007__llm_navqa_webvoyager_websites__21</v>
      </c>
    </row>
    <row r="181" ht="15.75" customHeight="1">
      <c r="B181" s="77">
        <f t="shared" si="1"/>
        <v>1</v>
      </c>
      <c r="C181" s="67" t="s">
        <v>195</v>
      </c>
      <c r="D181" s="78" t="s">
        <v>13</v>
      </c>
      <c r="E181" s="78" t="s">
        <v>14</v>
      </c>
      <c r="F181" s="67" t="s">
        <v>169</v>
      </c>
      <c r="G181" s="81" t="s">
        <v>613</v>
      </c>
      <c r="H181" s="79" t="s">
        <v>614</v>
      </c>
      <c r="I181" s="67" t="s">
        <v>18</v>
      </c>
      <c r="J181" s="67" t="s">
        <v>468</v>
      </c>
      <c r="K181" s="67">
        <v>40.0</v>
      </c>
      <c r="L181" s="80" t="str">
        <f t="shared" si="2"/>
        <v>No infirmation</v>
      </c>
      <c r="M181" s="80" t="str">
        <f t="shared" si="3"/>
        <v>20251219_snorkel_batch004__llm_navqa_webvoyager_websites__157</v>
      </c>
    </row>
    <row r="182" ht="15.75" customHeight="1">
      <c r="B182" s="77">
        <f t="shared" si="1"/>
        <v>1</v>
      </c>
      <c r="C182" s="67" t="s">
        <v>195</v>
      </c>
      <c r="D182" s="78" t="s">
        <v>13</v>
      </c>
      <c r="E182" s="78" t="s">
        <v>14</v>
      </c>
      <c r="F182" s="67" t="s">
        <v>169</v>
      </c>
      <c r="G182" s="81" t="s">
        <v>615</v>
      </c>
      <c r="H182" s="79" t="s">
        <v>616</v>
      </c>
      <c r="I182" s="67" t="s">
        <v>18</v>
      </c>
      <c r="J182" s="81" t="s">
        <v>468</v>
      </c>
      <c r="K182" s="67">
        <v>40.0</v>
      </c>
      <c r="L182" s="80" t="str">
        <f t="shared" si="2"/>
        <v>No infirmation</v>
      </c>
      <c r="M182" s="80" t="str">
        <f t="shared" si="3"/>
        <v>20251219_snorkel_batch009__llm_navqa_onlinemind2web_websites__46</v>
      </c>
    </row>
    <row r="183" ht="15.75" customHeight="1">
      <c r="B183" s="77">
        <f t="shared" si="1"/>
        <v>1</v>
      </c>
      <c r="C183" s="67" t="s">
        <v>191</v>
      </c>
      <c r="D183" s="78" t="s">
        <v>192</v>
      </c>
      <c r="E183" s="78" t="s">
        <v>14</v>
      </c>
      <c r="F183" s="67" t="s">
        <v>169</v>
      </c>
      <c r="G183" s="81" t="s">
        <v>617</v>
      </c>
      <c r="H183" s="79" t="s">
        <v>618</v>
      </c>
      <c r="I183" s="67" t="s">
        <v>18</v>
      </c>
      <c r="L183" s="80" t="str">
        <f t="shared" si="2"/>
        <v>No infirmation</v>
      </c>
      <c r="M183" s="80" t="str">
        <f t="shared" si="3"/>
        <v>20251219_snorkel_batch006__llm_navqa_onlinemind2web_websites__129</v>
      </c>
    </row>
    <row r="184" ht="15.75" customHeight="1">
      <c r="B184" s="77">
        <f t="shared" si="1"/>
        <v>1</v>
      </c>
      <c r="C184" s="67" t="s">
        <v>191</v>
      </c>
      <c r="D184" s="78" t="s">
        <v>192</v>
      </c>
      <c r="E184" s="78" t="s">
        <v>14</v>
      </c>
      <c r="F184" s="67" t="s">
        <v>169</v>
      </c>
      <c r="G184" s="81" t="s">
        <v>619</v>
      </c>
      <c r="H184" s="79" t="s">
        <v>620</v>
      </c>
      <c r="I184" s="67" t="s">
        <v>18</v>
      </c>
      <c r="L184" s="80" t="str">
        <f t="shared" si="2"/>
        <v>No infirmation</v>
      </c>
      <c r="M184" s="80" t="str">
        <f t="shared" si="3"/>
        <v>20251219_snorkel_batch009__llm_navqa_webvoyager_websites__161</v>
      </c>
    </row>
    <row r="185" ht="15.75" customHeight="1">
      <c r="B185" s="77">
        <f t="shared" si="1"/>
        <v>1</v>
      </c>
      <c r="C185" s="67" t="s">
        <v>191</v>
      </c>
      <c r="D185" s="78" t="s">
        <v>192</v>
      </c>
      <c r="E185" s="78" t="s">
        <v>14</v>
      </c>
      <c r="F185" s="67" t="s">
        <v>169</v>
      </c>
      <c r="G185" s="81" t="s">
        <v>621</v>
      </c>
      <c r="H185" s="79" t="s">
        <v>622</v>
      </c>
      <c r="I185" s="67" t="s">
        <v>18</v>
      </c>
      <c r="L185" s="80" t="str">
        <f t="shared" si="2"/>
        <v>No infirmation</v>
      </c>
      <c r="M185" s="80" t="str">
        <f t="shared" si="3"/>
        <v>20251121_snorkel_batch001__webvoyager_like__121</v>
      </c>
    </row>
    <row r="186" ht="15.75" customHeight="1">
      <c r="B186" s="77">
        <f t="shared" si="1"/>
        <v>1</v>
      </c>
      <c r="C186" s="67" t="s">
        <v>191</v>
      </c>
      <c r="D186" s="78" t="s">
        <v>192</v>
      </c>
      <c r="E186" s="78" t="s">
        <v>14</v>
      </c>
      <c r="F186" s="67" t="s">
        <v>169</v>
      </c>
      <c r="G186" s="81" t="s">
        <v>623</v>
      </c>
      <c r="H186" s="79" t="s">
        <v>624</v>
      </c>
      <c r="I186" s="67" t="s">
        <v>18</v>
      </c>
      <c r="L186" s="80" t="str">
        <f t="shared" si="2"/>
        <v>No infirmation</v>
      </c>
      <c r="M186" s="80" t="str">
        <f t="shared" si="3"/>
        <v>20251121_snorkel_batch001__webvoyager_like__239</v>
      </c>
    </row>
    <row r="187" ht="15.75" customHeight="1">
      <c r="B187" s="77">
        <f t="shared" si="1"/>
        <v>1</v>
      </c>
      <c r="C187" s="67" t="s">
        <v>191</v>
      </c>
      <c r="D187" s="78" t="s">
        <v>192</v>
      </c>
      <c r="E187" s="78" t="s">
        <v>14</v>
      </c>
      <c r="F187" s="67" t="s">
        <v>169</v>
      </c>
      <c r="G187" s="81" t="s">
        <v>625</v>
      </c>
      <c r="H187" s="79" t="s">
        <v>626</v>
      </c>
      <c r="I187" s="67" t="s">
        <v>18</v>
      </c>
      <c r="L187" s="80" t="str">
        <f t="shared" si="2"/>
        <v>No infirmation</v>
      </c>
      <c r="M187" s="80" t="str">
        <f t="shared" si="3"/>
        <v>20251219_snorkel_batch008__llm_navqa_webvoyager_websites__66</v>
      </c>
    </row>
    <row r="188" ht="15.75" customHeight="1">
      <c r="B188" s="77">
        <f t="shared" si="1"/>
        <v>1</v>
      </c>
      <c r="C188" s="67" t="s">
        <v>191</v>
      </c>
      <c r="D188" s="78" t="s">
        <v>192</v>
      </c>
      <c r="E188" s="78" t="s">
        <v>14</v>
      </c>
      <c r="F188" s="67" t="s">
        <v>169</v>
      </c>
      <c r="G188" s="81" t="s">
        <v>627</v>
      </c>
      <c r="H188" s="79" t="s">
        <v>628</v>
      </c>
      <c r="I188" s="67" t="s">
        <v>18</v>
      </c>
      <c r="L188" s="80" t="str">
        <f t="shared" si="2"/>
        <v>No infirmation</v>
      </c>
      <c r="M188" s="80" t="str">
        <f t="shared" si="3"/>
        <v>20251219_snorkel_batch005__llm_navqa_webvoyager_websites__108</v>
      </c>
    </row>
    <row r="189" ht="15.75" customHeight="1">
      <c r="B189" s="77">
        <f t="shared" si="1"/>
        <v>1</v>
      </c>
      <c r="C189" s="67" t="s">
        <v>191</v>
      </c>
      <c r="D189" s="78" t="s">
        <v>192</v>
      </c>
      <c r="E189" s="78" t="s">
        <v>14</v>
      </c>
      <c r="F189" s="67" t="s">
        <v>169</v>
      </c>
      <c r="G189" s="81" t="s">
        <v>629</v>
      </c>
      <c r="H189" s="79" t="s">
        <v>630</v>
      </c>
      <c r="I189" s="67" t="s">
        <v>18</v>
      </c>
      <c r="L189" s="80" t="str">
        <f t="shared" si="2"/>
        <v>No infirmation</v>
      </c>
      <c r="M189" s="80" t="str">
        <f t="shared" si="3"/>
        <v>20251219_snorkel_batch002__llm_navqa_popular_websites__155</v>
      </c>
    </row>
    <row r="190" ht="15.75" customHeight="1">
      <c r="B190" s="77">
        <f t="shared" si="1"/>
        <v>1</v>
      </c>
      <c r="C190" s="67" t="s">
        <v>195</v>
      </c>
      <c r="D190" s="78" t="s">
        <v>13</v>
      </c>
      <c r="E190" s="78" t="s">
        <v>14</v>
      </c>
      <c r="F190" s="67" t="s">
        <v>169</v>
      </c>
      <c r="G190" s="81" t="s">
        <v>631</v>
      </c>
      <c r="H190" s="79" t="s">
        <v>632</v>
      </c>
      <c r="I190" s="67" t="s">
        <v>18</v>
      </c>
      <c r="L190" s="80" t="str">
        <f t="shared" si="2"/>
        <v>No infirmation</v>
      </c>
      <c r="M190" s="80" t="str">
        <f t="shared" si="3"/>
        <v>20251219_snorkel_batch005__llm_navqa_webvoyager_websites__115</v>
      </c>
    </row>
    <row r="191" ht="15.75" customHeight="1">
      <c r="B191" s="77">
        <f t="shared" si="1"/>
        <v>1</v>
      </c>
      <c r="C191" s="67" t="s">
        <v>195</v>
      </c>
      <c r="D191" s="78" t="s">
        <v>13</v>
      </c>
      <c r="E191" s="78" t="s">
        <v>14</v>
      </c>
      <c r="F191" s="67" t="s">
        <v>169</v>
      </c>
      <c r="G191" s="81" t="s">
        <v>633</v>
      </c>
      <c r="H191" s="79" t="s">
        <v>634</v>
      </c>
      <c r="I191" s="67" t="s">
        <v>18</v>
      </c>
      <c r="L191" s="80" t="str">
        <f t="shared" si="2"/>
        <v>No infirmation</v>
      </c>
      <c r="M191" s="80" t="str">
        <f t="shared" si="3"/>
        <v>20251219_snorkel_batch009__llm_navqa_onlinemind2web_websites__63</v>
      </c>
    </row>
    <row r="192" ht="15.75" customHeight="1">
      <c r="B192" s="77">
        <f t="shared" si="1"/>
        <v>1</v>
      </c>
      <c r="C192" s="67" t="s">
        <v>195</v>
      </c>
      <c r="D192" s="78" t="s">
        <v>13</v>
      </c>
      <c r="E192" s="78" t="s">
        <v>14</v>
      </c>
      <c r="F192" s="67" t="s">
        <v>169</v>
      </c>
      <c r="G192" s="81" t="s">
        <v>635</v>
      </c>
      <c r="H192" s="79" t="s">
        <v>636</v>
      </c>
      <c r="I192" s="67" t="s">
        <v>18</v>
      </c>
      <c r="J192" s="67" t="s">
        <v>637</v>
      </c>
      <c r="K192" s="67">
        <v>42.0</v>
      </c>
      <c r="L192" s="80" t="str">
        <f t="shared" si="2"/>
        <v>No infirmation</v>
      </c>
      <c r="M192" s="80" t="str">
        <f t="shared" si="3"/>
        <v>20251219_snorkel_batch005__llm_navqa_popular_websites__48</v>
      </c>
    </row>
    <row r="193" ht="15.75" customHeight="1">
      <c r="B193" s="77">
        <f t="shared" si="1"/>
        <v>1</v>
      </c>
      <c r="C193" s="67" t="s">
        <v>195</v>
      </c>
      <c r="D193" s="78" t="s">
        <v>13</v>
      </c>
      <c r="E193" s="78" t="s">
        <v>14</v>
      </c>
      <c r="F193" s="67" t="s">
        <v>169</v>
      </c>
      <c r="G193" s="81" t="s">
        <v>638</v>
      </c>
      <c r="H193" s="79" t="s">
        <v>639</v>
      </c>
      <c r="I193" s="67" t="s">
        <v>18</v>
      </c>
      <c r="J193" s="81" t="s">
        <v>468</v>
      </c>
      <c r="K193" s="67">
        <v>40.0</v>
      </c>
      <c r="L193" s="80" t="str">
        <f t="shared" si="2"/>
        <v>No infirmation</v>
      </c>
      <c r="M193" s="80" t="str">
        <f t="shared" si="3"/>
        <v>20251219_snorkel_batch003__llm_navqa_webvoyager_websites__71</v>
      </c>
    </row>
    <row r="194" ht="15.75" customHeight="1">
      <c r="B194" s="77">
        <f t="shared" si="1"/>
        <v>1</v>
      </c>
      <c r="C194" s="67" t="s">
        <v>195</v>
      </c>
      <c r="D194" s="78" t="s">
        <v>13</v>
      </c>
      <c r="E194" s="78" t="s">
        <v>14</v>
      </c>
      <c r="F194" s="67" t="s">
        <v>169</v>
      </c>
      <c r="G194" s="81" t="s">
        <v>640</v>
      </c>
      <c r="H194" s="79" t="s">
        <v>641</v>
      </c>
      <c r="I194" s="67" t="s">
        <v>18</v>
      </c>
      <c r="L194" s="80" t="str">
        <f t="shared" si="2"/>
        <v>No infirmation</v>
      </c>
      <c r="M194" s="80" t="str">
        <f t="shared" si="3"/>
        <v>20251219_snorkel_batch010__llm_navqa_onlinemind2web_websites__40</v>
      </c>
    </row>
    <row r="195" ht="15.75" customHeight="1">
      <c r="B195" s="77">
        <f t="shared" si="1"/>
        <v>1</v>
      </c>
      <c r="C195" s="67" t="s">
        <v>197</v>
      </c>
      <c r="D195" s="78" t="s">
        <v>198</v>
      </c>
      <c r="E195" s="78" t="s">
        <v>14</v>
      </c>
      <c r="F195" s="67" t="s">
        <v>169</v>
      </c>
      <c r="G195" s="91" t="s">
        <v>642</v>
      </c>
      <c r="H195" s="92" t="s">
        <v>643</v>
      </c>
      <c r="I195" s="67" t="s">
        <v>18</v>
      </c>
      <c r="L195" s="80" t="str">
        <f t="shared" si="2"/>
        <v>No infirmation</v>
      </c>
      <c r="M195" s="80" t="str">
        <f t="shared" si="3"/>
        <v>20251219_snorkel_batch008__llm_navqa_popular_websites__74</v>
      </c>
    </row>
    <row r="196" ht="15.75" customHeight="1">
      <c r="B196" s="77">
        <f t="shared" si="1"/>
        <v>1</v>
      </c>
      <c r="C196" s="67" t="s">
        <v>197</v>
      </c>
      <c r="D196" s="78" t="s">
        <v>198</v>
      </c>
      <c r="E196" s="78" t="s">
        <v>14</v>
      </c>
      <c r="F196" s="67" t="s">
        <v>169</v>
      </c>
      <c r="G196" s="91" t="s">
        <v>644</v>
      </c>
      <c r="H196" s="92" t="s">
        <v>645</v>
      </c>
      <c r="I196" s="67" t="s">
        <v>18</v>
      </c>
      <c r="J196" s="81"/>
      <c r="K196" s="81"/>
      <c r="L196" s="80" t="str">
        <f t="shared" si="2"/>
        <v>No infirmation</v>
      </c>
      <c r="M196" s="80" t="str">
        <f t="shared" si="3"/>
        <v>20251219_snorkel_batch003__llm_navqa_popular_websites__115</v>
      </c>
    </row>
    <row r="197" ht="15.75" customHeight="1">
      <c r="B197" s="77">
        <f t="shared" si="1"/>
        <v>1</v>
      </c>
      <c r="C197" s="67" t="s">
        <v>197</v>
      </c>
      <c r="D197" s="78" t="s">
        <v>198</v>
      </c>
      <c r="E197" s="78" t="s">
        <v>14</v>
      </c>
      <c r="F197" s="67" t="s">
        <v>169</v>
      </c>
      <c r="G197" s="91" t="s">
        <v>646</v>
      </c>
      <c r="H197" s="92" t="s">
        <v>647</v>
      </c>
      <c r="I197" s="67" t="s">
        <v>18</v>
      </c>
      <c r="J197" s="81" t="s">
        <v>648</v>
      </c>
      <c r="K197" s="67">
        <v>37.0</v>
      </c>
      <c r="L197" s="80" t="str">
        <f t="shared" si="2"/>
        <v>No infirmation</v>
      </c>
      <c r="M197" s="80" t="str">
        <f t="shared" si="3"/>
        <v>20251219_snorkel_batch002__llm_navqa_popular_websites__127</v>
      </c>
    </row>
    <row r="198" ht="15.75" customHeight="1">
      <c r="B198" s="77">
        <f t="shared" si="1"/>
        <v>1</v>
      </c>
      <c r="C198" s="67" t="s">
        <v>197</v>
      </c>
      <c r="D198" s="78" t="s">
        <v>198</v>
      </c>
      <c r="E198" s="78" t="s">
        <v>14</v>
      </c>
      <c r="F198" s="67" t="s">
        <v>169</v>
      </c>
      <c r="G198" s="91" t="s">
        <v>649</v>
      </c>
      <c r="H198" s="92" t="s">
        <v>650</v>
      </c>
      <c r="I198" s="67" t="s">
        <v>18</v>
      </c>
      <c r="L198" s="80" t="str">
        <f t="shared" si="2"/>
        <v>No infirmation</v>
      </c>
      <c r="M198" s="80" t="str">
        <f t="shared" si="3"/>
        <v>20251219_snorkel_batch003__llm_navqa_popular_websites__150</v>
      </c>
    </row>
    <row r="199" ht="15.75" customHeight="1">
      <c r="B199" s="77">
        <f t="shared" si="1"/>
        <v>1</v>
      </c>
      <c r="C199" s="67" t="s">
        <v>197</v>
      </c>
      <c r="D199" s="78" t="s">
        <v>198</v>
      </c>
      <c r="E199" s="78" t="s">
        <v>14</v>
      </c>
      <c r="F199" s="67" t="s">
        <v>169</v>
      </c>
      <c r="G199" s="91" t="s">
        <v>651</v>
      </c>
      <c r="H199" s="92" t="s">
        <v>652</v>
      </c>
      <c r="I199" s="67" t="s">
        <v>429</v>
      </c>
      <c r="J199" s="81" t="s">
        <v>653</v>
      </c>
      <c r="K199" s="67">
        <v>40.0</v>
      </c>
      <c r="L199" s="80" t="str">
        <f t="shared" si="2"/>
        <v>No infirmation</v>
      </c>
      <c r="M199" s="80" t="str">
        <f t="shared" si="3"/>
        <v>20251219_snorkel_batch002__llm_navqa_onlinemind2web_websites__149</v>
      </c>
    </row>
    <row r="200" ht="15.75" customHeight="1">
      <c r="B200" s="77">
        <f t="shared" si="1"/>
        <v>1</v>
      </c>
      <c r="C200" s="67" t="s">
        <v>197</v>
      </c>
      <c r="D200" s="78" t="s">
        <v>198</v>
      </c>
      <c r="E200" s="78" t="s">
        <v>14</v>
      </c>
      <c r="F200" s="67" t="s">
        <v>169</v>
      </c>
      <c r="G200" s="91" t="s">
        <v>654</v>
      </c>
      <c r="H200" s="92" t="s">
        <v>655</v>
      </c>
      <c r="I200" s="67" t="s">
        <v>18</v>
      </c>
      <c r="L200" s="80" t="str">
        <f t="shared" si="2"/>
        <v>No infirmation</v>
      </c>
      <c r="M200" s="80" t="str">
        <f t="shared" si="3"/>
        <v>20251219_snorkel_batch006__llm_navqa_onlinemind2web_websites__79</v>
      </c>
    </row>
    <row r="201" ht="15.75" customHeight="1">
      <c r="B201" s="77">
        <f t="shared" si="1"/>
        <v>1</v>
      </c>
      <c r="C201" s="67" t="s">
        <v>197</v>
      </c>
      <c r="D201" s="78" t="s">
        <v>198</v>
      </c>
      <c r="E201" s="78" t="s">
        <v>14</v>
      </c>
      <c r="F201" s="67" t="s">
        <v>169</v>
      </c>
      <c r="G201" s="91" t="s">
        <v>656</v>
      </c>
      <c r="H201" s="92" t="s">
        <v>657</v>
      </c>
      <c r="I201" s="67" t="s">
        <v>18</v>
      </c>
      <c r="L201" s="80" t="str">
        <f t="shared" si="2"/>
        <v>No infirmation</v>
      </c>
      <c r="M201" s="80" t="str">
        <f t="shared" si="3"/>
        <v>20251219_snorkel_batch009__llm_navqa_webvoyager_websites__0</v>
      </c>
    </row>
    <row r="202" ht="15.75" customHeight="1">
      <c r="B202" s="77">
        <f t="shared" si="1"/>
        <v>1</v>
      </c>
      <c r="C202" s="67" t="s">
        <v>197</v>
      </c>
      <c r="D202" s="78" t="s">
        <v>198</v>
      </c>
      <c r="E202" s="78" t="s">
        <v>14</v>
      </c>
      <c r="F202" s="67" t="s">
        <v>169</v>
      </c>
      <c r="G202" s="91" t="s">
        <v>658</v>
      </c>
      <c r="H202" s="92" t="s">
        <v>659</v>
      </c>
      <c r="I202" s="67" t="s">
        <v>18</v>
      </c>
      <c r="L202" s="80" t="str">
        <f t="shared" si="2"/>
        <v>No infirmation</v>
      </c>
      <c r="M202" s="80" t="str">
        <f t="shared" si="3"/>
        <v>20251219_snorkel_batch004__llm_navqa_webvoyager_websites__155</v>
      </c>
    </row>
    <row r="203" ht="15.75" customHeight="1">
      <c r="B203" s="77">
        <f t="shared" si="1"/>
        <v>1</v>
      </c>
      <c r="C203" s="67" t="s">
        <v>197</v>
      </c>
      <c r="D203" s="78" t="s">
        <v>198</v>
      </c>
      <c r="E203" s="78" t="s">
        <v>14</v>
      </c>
      <c r="F203" s="67" t="s">
        <v>169</v>
      </c>
      <c r="G203" s="91" t="s">
        <v>660</v>
      </c>
      <c r="H203" s="92" t="s">
        <v>661</v>
      </c>
      <c r="I203" s="67" t="s">
        <v>18</v>
      </c>
      <c r="L203" s="80" t="str">
        <f t="shared" si="2"/>
        <v>No infirmation</v>
      </c>
      <c r="M203" s="80" t="str">
        <f t="shared" si="3"/>
        <v>20251219_snorkel_batch005__llm_navqa_popular_websites__146</v>
      </c>
    </row>
    <row r="204" ht="15.75" customHeight="1">
      <c r="B204" s="77">
        <f t="shared" si="1"/>
        <v>1</v>
      </c>
      <c r="C204" s="67" t="s">
        <v>197</v>
      </c>
      <c r="D204" s="78" t="s">
        <v>198</v>
      </c>
      <c r="E204" s="78" t="s">
        <v>14</v>
      </c>
      <c r="F204" s="67" t="s">
        <v>169</v>
      </c>
      <c r="G204" s="91" t="s">
        <v>662</v>
      </c>
      <c r="H204" s="92" t="s">
        <v>663</v>
      </c>
      <c r="I204" s="67" t="s">
        <v>18</v>
      </c>
      <c r="L204" s="80" t="str">
        <f t="shared" si="2"/>
        <v>No infirmation</v>
      </c>
      <c r="M204" s="80" t="str">
        <f t="shared" si="3"/>
        <v>20251219_snorkel_batch008__llm_navqa_onlinemind2web_websites__161</v>
      </c>
    </row>
    <row r="205" ht="15.75" customHeight="1">
      <c r="B205" s="77">
        <f t="shared" si="1"/>
        <v>1</v>
      </c>
      <c r="C205" s="67" t="s">
        <v>197</v>
      </c>
      <c r="D205" s="78" t="s">
        <v>198</v>
      </c>
      <c r="E205" s="78" t="s">
        <v>14</v>
      </c>
      <c r="F205" s="67" t="s">
        <v>169</v>
      </c>
      <c r="G205" s="91" t="s">
        <v>664</v>
      </c>
      <c r="H205" s="92" t="s">
        <v>665</v>
      </c>
      <c r="I205" s="67" t="s">
        <v>18</v>
      </c>
      <c r="L205" s="80" t="str">
        <f t="shared" si="2"/>
        <v>No infirmation</v>
      </c>
      <c r="M205" s="80" t="str">
        <f t="shared" si="3"/>
        <v>20251219_snorkel_batch007__llm_navqa_webvoyager_websites__152</v>
      </c>
    </row>
    <row r="206" ht="15.75" customHeight="1">
      <c r="B206" s="77">
        <f t="shared" si="1"/>
        <v>1</v>
      </c>
      <c r="C206" s="67" t="s">
        <v>197</v>
      </c>
      <c r="D206" s="78" t="s">
        <v>198</v>
      </c>
      <c r="E206" s="78" t="s">
        <v>14</v>
      </c>
      <c r="F206" s="67" t="s">
        <v>169</v>
      </c>
      <c r="G206" s="91" t="s">
        <v>666</v>
      </c>
      <c r="H206" s="92" t="s">
        <v>667</v>
      </c>
      <c r="I206" s="67" t="s">
        <v>18</v>
      </c>
      <c r="L206" s="80" t="str">
        <f t="shared" si="2"/>
        <v>No infirmation</v>
      </c>
      <c r="M206" s="80" t="str">
        <f t="shared" si="3"/>
        <v>20251219_snorkel_batch006__llm_navqa_onlinemind2web_websites__68</v>
      </c>
    </row>
    <row r="207" ht="15.75" customHeight="1">
      <c r="B207" s="77">
        <f t="shared" si="1"/>
        <v>1</v>
      </c>
      <c r="C207" s="67" t="s">
        <v>197</v>
      </c>
      <c r="D207" s="78" t="s">
        <v>198</v>
      </c>
      <c r="E207" s="78" t="s">
        <v>14</v>
      </c>
      <c r="F207" s="67" t="s">
        <v>169</v>
      </c>
      <c r="G207" s="91" t="s">
        <v>668</v>
      </c>
      <c r="H207" s="92" t="s">
        <v>669</v>
      </c>
      <c r="I207" s="67" t="s">
        <v>18</v>
      </c>
      <c r="L207" s="80" t="str">
        <f t="shared" si="2"/>
        <v>No infirmation</v>
      </c>
      <c r="M207" s="80" t="str">
        <f t="shared" si="3"/>
        <v>20251219_snorkel_batch009__llm_navqa_webvoyager_websites__44</v>
      </c>
    </row>
    <row r="208" ht="15.75" customHeight="1">
      <c r="B208" s="77">
        <f t="shared" si="1"/>
        <v>1</v>
      </c>
      <c r="C208" s="67" t="s">
        <v>197</v>
      </c>
      <c r="D208" s="78" t="s">
        <v>198</v>
      </c>
      <c r="E208" s="78" t="s">
        <v>14</v>
      </c>
      <c r="F208" s="67" t="s">
        <v>169</v>
      </c>
      <c r="G208" s="91" t="s">
        <v>670</v>
      </c>
      <c r="H208" s="92" t="s">
        <v>671</v>
      </c>
      <c r="I208" s="67" t="s">
        <v>18</v>
      </c>
      <c r="L208" s="80" t="str">
        <f t="shared" si="2"/>
        <v>No infirmation</v>
      </c>
      <c r="M208" s="80" t="str">
        <f t="shared" si="3"/>
        <v>20251219_snorkel_batch003__llm_navqa_webvoyager_websites__20</v>
      </c>
    </row>
    <row r="209" ht="15.75" customHeight="1">
      <c r="B209" s="77">
        <f t="shared" si="1"/>
        <v>1</v>
      </c>
      <c r="C209" s="67" t="s">
        <v>197</v>
      </c>
      <c r="D209" s="78" t="s">
        <v>198</v>
      </c>
      <c r="E209" s="78" t="s">
        <v>14</v>
      </c>
      <c r="F209" s="67" t="s">
        <v>169</v>
      </c>
      <c r="G209" s="93" t="s">
        <v>672</v>
      </c>
      <c r="H209" s="92" t="s">
        <v>673</v>
      </c>
      <c r="I209" s="67" t="s">
        <v>18</v>
      </c>
      <c r="L209" s="80" t="str">
        <f t="shared" si="2"/>
        <v>No infirmation</v>
      </c>
      <c r="M209" s="80" t="str">
        <f t="shared" si="3"/>
        <v>20251126_snorkel_batch016__llm_step_popular_websites__135</v>
      </c>
    </row>
    <row r="210" ht="15.75" customHeight="1">
      <c r="B210" s="77">
        <f t="shared" si="1"/>
        <v>1</v>
      </c>
      <c r="C210" s="67" t="s">
        <v>197</v>
      </c>
      <c r="D210" s="78" t="s">
        <v>198</v>
      </c>
      <c r="E210" s="78" t="s">
        <v>14</v>
      </c>
      <c r="F210" s="67" t="s">
        <v>169</v>
      </c>
      <c r="G210" s="91" t="s">
        <v>674</v>
      </c>
      <c r="H210" s="92" t="s">
        <v>675</v>
      </c>
      <c r="I210" s="67" t="s">
        <v>18</v>
      </c>
      <c r="L210" s="80" t="str">
        <f t="shared" si="2"/>
        <v>No infirmation</v>
      </c>
      <c r="M210" s="80" t="str">
        <f t="shared" si="3"/>
        <v>20251219_snorkel_batch010__llm_navqa_popular_websites__129</v>
      </c>
    </row>
    <row r="211" ht="15.75" customHeight="1">
      <c r="B211" s="77">
        <f t="shared" si="1"/>
        <v>1</v>
      </c>
      <c r="C211" s="67" t="s">
        <v>197</v>
      </c>
      <c r="D211" s="78" t="s">
        <v>198</v>
      </c>
      <c r="E211" s="78" t="s">
        <v>14</v>
      </c>
      <c r="F211" s="67" t="s">
        <v>169</v>
      </c>
      <c r="G211" s="91" t="s">
        <v>676</v>
      </c>
      <c r="H211" s="92" t="s">
        <v>677</v>
      </c>
      <c r="I211" s="67" t="s">
        <v>18</v>
      </c>
      <c r="L211" s="80" t="str">
        <f t="shared" si="2"/>
        <v>No infirmation</v>
      </c>
      <c r="M211" s="80" t="str">
        <f t="shared" si="3"/>
        <v>20251219_snorkel_batch010__llm_navqa_webvoyager_websites__117</v>
      </c>
    </row>
    <row r="212" ht="15.75" customHeight="1">
      <c r="B212" s="77">
        <f t="shared" si="1"/>
        <v>1</v>
      </c>
      <c r="C212" s="67" t="s">
        <v>197</v>
      </c>
      <c r="D212" s="78" t="s">
        <v>198</v>
      </c>
      <c r="E212" s="78" t="s">
        <v>14</v>
      </c>
      <c r="F212" s="67" t="s">
        <v>169</v>
      </c>
      <c r="G212" s="91" t="s">
        <v>678</v>
      </c>
      <c r="H212" s="92" t="s">
        <v>679</v>
      </c>
      <c r="I212" s="67" t="s">
        <v>18</v>
      </c>
      <c r="L212" s="80" t="str">
        <f t="shared" si="2"/>
        <v>No infirmation</v>
      </c>
      <c r="M212" s="80" t="str">
        <f t="shared" si="3"/>
        <v>20251219_snorkel_batch008__llm_navqa_onlinemind2web_websites__104</v>
      </c>
    </row>
    <row r="213" ht="15.75" customHeight="1">
      <c r="B213" s="77">
        <f t="shared" si="1"/>
        <v>1</v>
      </c>
      <c r="C213" s="67" t="s">
        <v>191</v>
      </c>
      <c r="D213" s="78" t="s">
        <v>192</v>
      </c>
      <c r="E213" s="78" t="s">
        <v>14</v>
      </c>
      <c r="F213" s="67" t="s">
        <v>169</v>
      </c>
      <c r="G213" s="81" t="s">
        <v>680</v>
      </c>
      <c r="H213" s="79" t="s">
        <v>681</v>
      </c>
      <c r="I213" s="67" t="s">
        <v>18</v>
      </c>
      <c r="L213" s="94" t="str">
        <f t="shared" si="2"/>
        <v>No infirmation</v>
      </c>
      <c r="M213" s="94" t="str">
        <f t="shared" si="3"/>
        <v>20251219_snorkel_batch007__llm_navqa_onlinemind2web_websites__158</v>
      </c>
    </row>
    <row r="214" ht="15.75" customHeight="1">
      <c r="B214" s="77">
        <f t="shared" si="1"/>
        <v>1</v>
      </c>
      <c r="C214" s="67" t="s">
        <v>191</v>
      </c>
      <c r="D214" s="78" t="s">
        <v>192</v>
      </c>
      <c r="E214" s="78" t="s">
        <v>14</v>
      </c>
      <c r="F214" s="67" t="s">
        <v>169</v>
      </c>
      <c r="G214" s="81" t="s">
        <v>682</v>
      </c>
      <c r="H214" s="79" t="s">
        <v>683</v>
      </c>
      <c r="I214" s="67" t="s">
        <v>18</v>
      </c>
      <c r="L214" s="94" t="str">
        <f t="shared" si="2"/>
        <v>No infirmation</v>
      </c>
      <c r="M214" s="94" t="str">
        <f t="shared" si="3"/>
        <v>20251219_snorkel_batch007__llm_navqa_popular_websites__122</v>
      </c>
    </row>
    <row r="215" ht="15.75" customHeight="1">
      <c r="B215" s="77">
        <f t="shared" si="1"/>
        <v>1</v>
      </c>
      <c r="C215" s="67" t="s">
        <v>191</v>
      </c>
      <c r="D215" s="78" t="s">
        <v>192</v>
      </c>
      <c r="E215" s="78" t="s">
        <v>14</v>
      </c>
      <c r="F215" s="67" t="s">
        <v>169</v>
      </c>
      <c r="G215" s="81" t="s">
        <v>684</v>
      </c>
      <c r="H215" s="79" t="s">
        <v>685</v>
      </c>
      <c r="I215" s="67" t="s">
        <v>18</v>
      </c>
      <c r="L215" s="94" t="str">
        <f t="shared" si="2"/>
        <v>No infirmation</v>
      </c>
      <c r="M215" s="94" t="str">
        <f t="shared" si="3"/>
        <v>20251219_snorkel_batch006__llm_navqa_popular_websites__39</v>
      </c>
    </row>
    <row r="216" ht="15.75" customHeight="1">
      <c r="B216" s="77">
        <f t="shared" si="1"/>
        <v>1</v>
      </c>
      <c r="C216" s="67" t="s">
        <v>191</v>
      </c>
      <c r="D216" s="78" t="s">
        <v>192</v>
      </c>
      <c r="E216" s="78" t="s">
        <v>14</v>
      </c>
      <c r="F216" s="67" t="s">
        <v>169</v>
      </c>
      <c r="G216" s="81" t="s">
        <v>686</v>
      </c>
      <c r="H216" s="79" t="s">
        <v>687</v>
      </c>
      <c r="I216" s="67" t="s">
        <v>18</v>
      </c>
      <c r="L216" s="94" t="str">
        <f t="shared" si="2"/>
        <v>No infirmation</v>
      </c>
      <c r="M216" s="94" t="str">
        <f t="shared" si="3"/>
        <v>20251219_snorkel_batch006__llm_navqa_popular_websites__31</v>
      </c>
    </row>
    <row r="217" ht="15.75" customHeight="1">
      <c r="B217" s="77">
        <f t="shared" si="1"/>
        <v>1</v>
      </c>
      <c r="C217" s="67" t="s">
        <v>191</v>
      </c>
      <c r="D217" s="78" t="s">
        <v>192</v>
      </c>
      <c r="E217" s="78" t="s">
        <v>14</v>
      </c>
      <c r="F217" s="67" t="s">
        <v>169</v>
      </c>
      <c r="G217" s="81" t="s">
        <v>688</v>
      </c>
      <c r="H217" s="79" t="s">
        <v>689</v>
      </c>
      <c r="I217" s="67" t="s">
        <v>18</v>
      </c>
      <c r="L217" s="94" t="str">
        <f t="shared" si="2"/>
        <v>No infirmation</v>
      </c>
      <c r="M217" s="94" t="str">
        <f t="shared" si="3"/>
        <v>20251219_snorkel_batch006__llm_navqa_popular_websites__73</v>
      </c>
    </row>
    <row r="218" ht="15.75" customHeight="1">
      <c r="B218" s="77">
        <f t="shared" si="1"/>
        <v>1</v>
      </c>
      <c r="C218" s="67" t="s">
        <v>191</v>
      </c>
      <c r="D218" s="78" t="s">
        <v>192</v>
      </c>
      <c r="E218" s="78" t="s">
        <v>14</v>
      </c>
      <c r="F218" s="67" t="s">
        <v>169</v>
      </c>
      <c r="G218" s="81" t="s">
        <v>690</v>
      </c>
      <c r="H218" s="79" t="s">
        <v>691</v>
      </c>
      <c r="I218" s="67" t="s">
        <v>18</v>
      </c>
      <c r="L218" s="94" t="str">
        <f t="shared" si="2"/>
        <v>No infirmation</v>
      </c>
      <c r="M218" s="94" t="str">
        <f t="shared" si="3"/>
        <v>20251219_snorkel_batch002__llm_navqa_popular_websites__151</v>
      </c>
    </row>
    <row r="219" ht="15.75" customHeight="1">
      <c r="B219" s="77">
        <f t="shared" si="1"/>
        <v>1</v>
      </c>
      <c r="C219" s="67" t="s">
        <v>191</v>
      </c>
      <c r="D219" s="78" t="s">
        <v>192</v>
      </c>
      <c r="E219" s="78" t="s">
        <v>14</v>
      </c>
      <c r="F219" s="67" t="s">
        <v>169</v>
      </c>
      <c r="G219" s="81" t="s">
        <v>692</v>
      </c>
      <c r="H219" s="79" t="s">
        <v>693</v>
      </c>
      <c r="I219" s="67" t="s">
        <v>18</v>
      </c>
      <c r="L219" s="94" t="str">
        <f t="shared" si="2"/>
        <v>No infirmation</v>
      </c>
      <c r="M219" s="94" t="str">
        <f t="shared" si="3"/>
        <v>20251219_snorkel_batch007__llm_navqa_onlinemind2web_websites__133</v>
      </c>
    </row>
    <row r="220" ht="15.75" customHeight="1">
      <c r="B220" s="77">
        <f t="shared" si="1"/>
        <v>1</v>
      </c>
      <c r="C220" s="67" t="s">
        <v>191</v>
      </c>
      <c r="D220" s="78" t="s">
        <v>192</v>
      </c>
      <c r="E220" s="78" t="s">
        <v>14</v>
      </c>
      <c r="F220" s="67" t="s">
        <v>169</v>
      </c>
      <c r="G220" s="81" t="s">
        <v>694</v>
      </c>
      <c r="H220" s="79" t="s">
        <v>695</v>
      </c>
      <c r="I220" s="67" t="s">
        <v>18</v>
      </c>
      <c r="L220" s="94" t="str">
        <f t="shared" si="2"/>
        <v>No infirmation</v>
      </c>
      <c r="M220" s="94" t="str">
        <f t="shared" si="3"/>
        <v>20251219_snorkel_batch008__llm_navqa_webvoyager_websites__62</v>
      </c>
    </row>
    <row r="221" ht="15.75" customHeight="1">
      <c r="B221" s="77">
        <f t="shared" si="1"/>
        <v>1</v>
      </c>
      <c r="C221" s="67" t="s">
        <v>191</v>
      </c>
      <c r="D221" s="78" t="s">
        <v>192</v>
      </c>
      <c r="E221" s="78" t="s">
        <v>14</v>
      </c>
      <c r="F221" s="67" t="s">
        <v>169</v>
      </c>
      <c r="G221" s="81" t="s">
        <v>696</v>
      </c>
      <c r="H221" s="79" t="s">
        <v>697</v>
      </c>
      <c r="I221" s="67" t="s">
        <v>18</v>
      </c>
      <c r="L221" s="94" t="str">
        <f t="shared" si="2"/>
        <v>No infirmation</v>
      </c>
      <c r="M221" s="94" t="str">
        <f t="shared" si="3"/>
        <v>20251219_snorkel_batch010__llm_navqa_webvoyager_websites__123</v>
      </c>
    </row>
    <row r="222" ht="15.75" customHeight="1">
      <c r="B222" s="77">
        <f t="shared" si="1"/>
        <v>1</v>
      </c>
      <c r="C222" s="67" t="s">
        <v>191</v>
      </c>
      <c r="D222" s="78" t="s">
        <v>192</v>
      </c>
      <c r="E222" s="78" t="s">
        <v>14</v>
      </c>
      <c r="F222" s="67" t="s">
        <v>169</v>
      </c>
      <c r="G222" s="81" t="s">
        <v>698</v>
      </c>
      <c r="H222" s="79" t="s">
        <v>699</v>
      </c>
      <c r="I222" s="67" t="s">
        <v>18</v>
      </c>
      <c r="L222" s="94" t="str">
        <f t="shared" si="2"/>
        <v>No infirmation</v>
      </c>
      <c r="M222" s="94" t="str">
        <f t="shared" si="3"/>
        <v>20251219_snorkel_batch010__llm_navqa_webvoyager_websites__151</v>
      </c>
    </row>
    <row r="223" ht="15.75" customHeight="1">
      <c r="B223" s="77">
        <f t="shared" si="1"/>
        <v>1</v>
      </c>
      <c r="C223" s="67" t="s">
        <v>191</v>
      </c>
      <c r="D223" s="78" t="s">
        <v>192</v>
      </c>
      <c r="E223" s="78" t="s">
        <v>14</v>
      </c>
      <c r="F223" s="67" t="s">
        <v>169</v>
      </c>
      <c r="G223" s="81" t="s">
        <v>700</v>
      </c>
      <c r="H223" s="79" t="s">
        <v>701</v>
      </c>
      <c r="I223" s="67" t="s">
        <v>18</v>
      </c>
      <c r="L223" s="80" t="str">
        <f t="shared" si="2"/>
        <v>No infirmation</v>
      </c>
      <c r="M223" s="80" t="str">
        <f t="shared" si="3"/>
        <v>20251219_snorkel_batch005__llm_navqa_popular_websites__58</v>
      </c>
    </row>
    <row r="224" ht="15.75" customHeight="1">
      <c r="B224" s="77">
        <f t="shared" si="1"/>
        <v>1</v>
      </c>
      <c r="C224" s="67" t="s">
        <v>191</v>
      </c>
      <c r="D224" s="78" t="s">
        <v>192</v>
      </c>
      <c r="E224" s="78" t="s">
        <v>14</v>
      </c>
      <c r="F224" s="67" t="s">
        <v>169</v>
      </c>
      <c r="G224" s="81" t="s">
        <v>702</v>
      </c>
      <c r="H224" s="79" t="s">
        <v>703</v>
      </c>
      <c r="I224" s="67" t="s">
        <v>18</v>
      </c>
      <c r="L224" s="80" t="str">
        <f t="shared" si="2"/>
        <v>No infirmation</v>
      </c>
      <c r="M224" s="80" t="str">
        <f t="shared" si="3"/>
        <v>20251219_snorkel_batch001__llm_navqa_webvoyager_websites__156</v>
      </c>
    </row>
    <row r="225" ht="15.75" customHeight="1">
      <c r="B225" s="77">
        <f t="shared" si="1"/>
        <v>1</v>
      </c>
      <c r="C225" s="67" t="s">
        <v>191</v>
      </c>
      <c r="D225" s="78" t="s">
        <v>192</v>
      </c>
      <c r="E225" s="78" t="s">
        <v>14</v>
      </c>
      <c r="F225" s="67" t="s">
        <v>169</v>
      </c>
      <c r="G225" s="81" t="s">
        <v>704</v>
      </c>
      <c r="H225" s="79" t="s">
        <v>705</v>
      </c>
      <c r="I225" s="67" t="s">
        <v>18</v>
      </c>
      <c r="L225" s="80" t="str">
        <f t="shared" si="2"/>
        <v>No infirmation</v>
      </c>
      <c r="M225" s="80" t="str">
        <f t="shared" si="3"/>
        <v>20251219_snorkel_batch005__llm_navqa_popular_websites__77</v>
      </c>
    </row>
    <row r="226" ht="15.75" customHeight="1">
      <c r="B226" s="77">
        <f t="shared" si="1"/>
        <v>1</v>
      </c>
      <c r="C226" s="67" t="s">
        <v>191</v>
      </c>
      <c r="D226" s="78" t="s">
        <v>192</v>
      </c>
      <c r="E226" s="78" t="s">
        <v>14</v>
      </c>
      <c r="F226" s="67" t="s">
        <v>169</v>
      </c>
      <c r="G226" s="81" t="s">
        <v>706</v>
      </c>
      <c r="H226" s="79" t="s">
        <v>707</v>
      </c>
      <c r="I226" s="67" t="s">
        <v>18</v>
      </c>
      <c r="L226" s="80" t="str">
        <f t="shared" si="2"/>
        <v>No infirmation</v>
      </c>
      <c r="M226" s="80" t="str">
        <f t="shared" si="3"/>
        <v>20251219_snorkel_batch001__llm_navqa_popular_websites__113</v>
      </c>
    </row>
    <row r="227" ht="15.75" customHeight="1">
      <c r="B227" s="77">
        <f t="shared" si="1"/>
        <v>1</v>
      </c>
      <c r="C227" s="67" t="s">
        <v>191</v>
      </c>
      <c r="D227" s="78" t="s">
        <v>192</v>
      </c>
      <c r="E227" s="78" t="s">
        <v>14</v>
      </c>
      <c r="F227" s="67" t="s">
        <v>169</v>
      </c>
      <c r="G227" s="81" t="s">
        <v>708</v>
      </c>
      <c r="H227" s="79" t="s">
        <v>709</v>
      </c>
      <c r="I227" s="67" t="s">
        <v>18</v>
      </c>
      <c r="L227" s="80" t="str">
        <f t="shared" si="2"/>
        <v>No infirmation</v>
      </c>
      <c r="M227" s="80" t="str">
        <f t="shared" si="3"/>
        <v>20251219_snorkel_batch009__llm_navqa_popular_websites__159</v>
      </c>
    </row>
    <row r="228" ht="15.75" customHeight="1">
      <c r="B228" s="77">
        <f t="shared" si="1"/>
        <v>1</v>
      </c>
      <c r="C228" s="67" t="s">
        <v>191</v>
      </c>
      <c r="D228" s="78" t="s">
        <v>192</v>
      </c>
      <c r="E228" s="78" t="s">
        <v>14</v>
      </c>
      <c r="F228" s="67" t="s">
        <v>169</v>
      </c>
      <c r="G228" s="81" t="s">
        <v>710</v>
      </c>
      <c r="H228" s="79" t="s">
        <v>711</v>
      </c>
      <c r="I228" s="67" t="s">
        <v>18</v>
      </c>
      <c r="L228" s="80" t="str">
        <f t="shared" si="2"/>
        <v>No infirmation</v>
      </c>
      <c r="M228" s="80" t="str">
        <f t="shared" si="3"/>
        <v>20251219_snorkel_batch006__llm_navqa_webvoyager_websites__88</v>
      </c>
    </row>
    <row r="229" ht="15.75" customHeight="1">
      <c r="B229" s="77">
        <f t="shared" si="1"/>
        <v>1</v>
      </c>
      <c r="C229" s="67" t="s">
        <v>191</v>
      </c>
      <c r="D229" s="78" t="s">
        <v>192</v>
      </c>
      <c r="E229" s="78" t="s">
        <v>14</v>
      </c>
      <c r="F229" s="67" t="s">
        <v>169</v>
      </c>
      <c r="G229" s="81" t="s">
        <v>712</v>
      </c>
      <c r="H229" s="79" t="s">
        <v>713</v>
      </c>
      <c r="I229" s="67" t="s">
        <v>18</v>
      </c>
      <c r="L229" s="80" t="str">
        <f t="shared" si="2"/>
        <v>No infirmation</v>
      </c>
      <c r="M229" s="80" t="str">
        <f t="shared" si="3"/>
        <v>20251219_snorkel_batch002__llm_navqa_onlinemind2web_websites__29</v>
      </c>
    </row>
    <row r="230" ht="15.75" customHeight="1">
      <c r="B230" s="77">
        <f t="shared" si="1"/>
        <v>1</v>
      </c>
      <c r="C230" s="67" t="s">
        <v>191</v>
      </c>
      <c r="D230" s="78" t="s">
        <v>192</v>
      </c>
      <c r="E230" s="78" t="s">
        <v>14</v>
      </c>
      <c r="F230" s="67" t="s">
        <v>169</v>
      </c>
      <c r="G230" s="81" t="s">
        <v>714</v>
      </c>
      <c r="H230" s="79" t="s">
        <v>715</v>
      </c>
      <c r="I230" s="67" t="s">
        <v>18</v>
      </c>
      <c r="L230" s="80" t="str">
        <f t="shared" si="2"/>
        <v>No infirmation</v>
      </c>
      <c r="M230" s="80" t="str">
        <f t="shared" si="3"/>
        <v>20251219_snorkel_batch010__llm_navqa_webvoyager_websites__67</v>
      </c>
    </row>
    <row r="231" ht="15.75" customHeight="1">
      <c r="B231" s="77">
        <f t="shared" si="1"/>
        <v>1</v>
      </c>
      <c r="C231" s="67" t="s">
        <v>191</v>
      </c>
      <c r="D231" s="78" t="s">
        <v>192</v>
      </c>
      <c r="E231" s="78" t="s">
        <v>14</v>
      </c>
      <c r="F231" s="67" t="s">
        <v>169</v>
      </c>
      <c r="G231" s="81" t="s">
        <v>716</v>
      </c>
      <c r="H231" s="79" t="s">
        <v>717</v>
      </c>
      <c r="I231" s="67" t="s">
        <v>18</v>
      </c>
      <c r="L231" s="80" t="str">
        <f t="shared" si="2"/>
        <v>No infirmation</v>
      </c>
      <c r="M231" s="80" t="str">
        <f t="shared" si="3"/>
        <v>20251219_snorkel_batch007__llm_navqa_onlinemind2web_websites__105</v>
      </c>
    </row>
    <row r="232" ht="15.75" customHeight="1">
      <c r="B232" s="77">
        <f t="shared" si="1"/>
        <v>1</v>
      </c>
      <c r="C232" s="67" t="s">
        <v>191</v>
      </c>
      <c r="D232" s="78" t="s">
        <v>192</v>
      </c>
      <c r="E232" s="78" t="s">
        <v>14</v>
      </c>
      <c r="F232" s="67" t="s">
        <v>169</v>
      </c>
      <c r="G232" s="81" t="s">
        <v>718</v>
      </c>
      <c r="H232" s="79" t="s">
        <v>719</v>
      </c>
      <c r="I232" s="67" t="s">
        <v>18</v>
      </c>
      <c r="L232" s="80" t="str">
        <f t="shared" si="2"/>
        <v>No infirmation</v>
      </c>
      <c r="M232" s="80" t="str">
        <f t="shared" si="3"/>
        <v>20251219_snorkel_batch009__llm_navqa_webvoyager_websites__81</v>
      </c>
    </row>
    <row r="233" ht="15.75" customHeight="1">
      <c r="B233" s="77">
        <f t="shared" si="1"/>
        <v>1</v>
      </c>
      <c r="C233" s="67" t="s">
        <v>12</v>
      </c>
      <c r="D233" s="78" t="s">
        <v>13</v>
      </c>
      <c r="E233" s="78" t="s">
        <v>14</v>
      </c>
      <c r="F233" s="67" t="s">
        <v>15</v>
      </c>
      <c r="G233" s="81" t="s">
        <v>16</v>
      </c>
      <c r="H233" s="79" t="s">
        <v>17</v>
      </c>
      <c r="I233" s="67" t="s">
        <v>18</v>
      </c>
      <c r="L233" s="94" t="str">
        <f t="shared" si="2"/>
        <v>No infirmation</v>
      </c>
      <c r="M233" s="94" t="str">
        <f t="shared" si="3"/>
        <v>20251219_snorkel_batch010__llm_navqa_popular_websites__98</v>
      </c>
    </row>
    <row r="234" ht="15.75" customHeight="1">
      <c r="B234" s="77">
        <f t="shared" si="1"/>
        <v>1</v>
      </c>
      <c r="C234" s="67" t="s">
        <v>12</v>
      </c>
      <c r="D234" s="78" t="s">
        <v>13</v>
      </c>
      <c r="E234" s="78" t="s">
        <v>14</v>
      </c>
      <c r="F234" s="67" t="s">
        <v>15</v>
      </c>
      <c r="G234" s="81" t="s">
        <v>720</v>
      </c>
      <c r="H234" s="79" t="s">
        <v>721</v>
      </c>
      <c r="I234" s="67" t="s">
        <v>18</v>
      </c>
      <c r="J234" s="67" t="s">
        <v>722</v>
      </c>
      <c r="K234" s="67">
        <v>40.0</v>
      </c>
      <c r="L234" s="94" t="str">
        <f t="shared" si="2"/>
        <v>No infirmation</v>
      </c>
      <c r="M234" s="94" t="str">
        <f t="shared" si="3"/>
        <v>20251219_snorkel_batch008__llm_navqa_webvoyager_websites__27</v>
      </c>
    </row>
    <row r="235" ht="15.75" customHeight="1">
      <c r="B235" s="77">
        <f t="shared" si="1"/>
        <v>1</v>
      </c>
      <c r="C235" s="67" t="s">
        <v>12</v>
      </c>
      <c r="D235" s="78" t="s">
        <v>13</v>
      </c>
      <c r="E235" s="78" t="s">
        <v>14</v>
      </c>
      <c r="F235" s="67" t="s">
        <v>15</v>
      </c>
      <c r="G235" s="67" t="s">
        <v>21</v>
      </c>
      <c r="H235" s="82" t="s">
        <v>22</v>
      </c>
      <c r="I235" s="67" t="s">
        <v>18</v>
      </c>
      <c r="L235" s="94" t="str">
        <f t="shared" si="2"/>
        <v>No infirmation</v>
      </c>
      <c r="M235" s="94" t="str">
        <f t="shared" si="3"/>
        <v>20251219_snorkel_batch006__llm_navqa_onlinemind2web_websites__103</v>
      </c>
    </row>
    <row r="236" ht="15.75" customHeight="1">
      <c r="B236" s="77">
        <f t="shared" si="1"/>
        <v>1</v>
      </c>
      <c r="C236" s="67" t="s">
        <v>12</v>
      </c>
      <c r="D236" s="78" t="s">
        <v>13</v>
      </c>
      <c r="E236" s="78" t="s">
        <v>14</v>
      </c>
      <c r="F236" s="67" t="s">
        <v>15</v>
      </c>
      <c r="G236" s="67" t="s">
        <v>723</v>
      </c>
      <c r="H236" s="82" t="s">
        <v>724</v>
      </c>
      <c r="I236" s="67" t="s">
        <v>18</v>
      </c>
      <c r="J236" s="67" t="s">
        <v>725</v>
      </c>
      <c r="K236" s="67">
        <v>40.0</v>
      </c>
      <c r="L236" s="94" t="str">
        <f t="shared" si="2"/>
        <v>No infirmation</v>
      </c>
      <c r="M236" s="94" t="str">
        <f t="shared" si="3"/>
        <v>20251219_snorkel_batch009__llm_navqa_onlinemind2web_websites__163</v>
      </c>
    </row>
    <row r="237" ht="15.75" customHeight="1">
      <c r="B237" s="77">
        <f t="shared" si="1"/>
        <v>1</v>
      </c>
      <c r="C237" s="67" t="s">
        <v>12</v>
      </c>
      <c r="D237" s="78" t="s">
        <v>13</v>
      </c>
      <c r="E237" s="78" t="s">
        <v>14</v>
      </c>
      <c r="F237" s="67" t="s">
        <v>15</v>
      </c>
      <c r="G237" s="81" t="s">
        <v>726</v>
      </c>
      <c r="H237" s="83" t="s">
        <v>727</v>
      </c>
      <c r="I237" s="67" t="s">
        <v>18</v>
      </c>
      <c r="L237" s="94" t="str">
        <f t="shared" si="2"/>
        <v>No infirmation</v>
      </c>
      <c r="M237" s="94" t="str">
        <f t="shared" si="3"/>
        <v>20251219_snorkel_batch007__llm_navqa_onlinemind2web_websites__66</v>
      </c>
    </row>
    <row r="238" ht="15.75" customHeight="1">
      <c r="B238" s="77">
        <f t="shared" si="1"/>
        <v>1</v>
      </c>
      <c r="C238" s="67" t="s">
        <v>12</v>
      </c>
      <c r="D238" s="78" t="s">
        <v>13</v>
      </c>
      <c r="E238" s="78" t="s">
        <v>14</v>
      </c>
      <c r="F238" s="67" t="s">
        <v>15</v>
      </c>
      <c r="G238" s="67" t="s">
        <v>728</v>
      </c>
      <c r="H238" s="83" t="s">
        <v>729</v>
      </c>
      <c r="I238" s="67" t="s">
        <v>18</v>
      </c>
      <c r="L238" s="94" t="str">
        <f t="shared" si="2"/>
        <v>No infirmation</v>
      </c>
      <c r="M238" s="94" t="str">
        <f t="shared" si="3"/>
        <v>20251219_snorkel_batch001__llm_navqa_webvoyager_websites__113</v>
      </c>
    </row>
    <row r="239" ht="15.75" customHeight="1">
      <c r="B239" s="77">
        <f t="shared" si="1"/>
        <v>1</v>
      </c>
      <c r="C239" s="67" t="s">
        <v>12</v>
      </c>
      <c r="D239" s="78" t="s">
        <v>13</v>
      </c>
      <c r="E239" s="78" t="s">
        <v>14</v>
      </c>
      <c r="F239" s="67" t="s">
        <v>15</v>
      </c>
      <c r="G239" s="67" t="s">
        <v>730</v>
      </c>
      <c r="H239" s="83" t="s">
        <v>731</v>
      </c>
      <c r="I239" s="67" t="s">
        <v>18</v>
      </c>
      <c r="J239" s="67" t="s">
        <v>732</v>
      </c>
      <c r="K239" s="67">
        <v>40.0</v>
      </c>
      <c r="L239" s="94" t="str">
        <f t="shared" si="2"/>
        <v>No infirmation</v>
      </c>
      <c r="M239" s="94" t="str">
        <f t="shared" si="3"/>
        <v>20251219_snorkel_batch010__llm_navqa_onlinemind2web_websites__26</v>
      </c>
    </row>
    <row r="240" ht="15.75" customHeight="1">
      <c r="B240" s="77">
        <f t="shared" si="1"/>
        <v>1</v>
      </c>
      <c r="C240" s="67" t="s">
        <v>12</v>
      </c>
      <c r="D240" s="78" t="s">
        <v>13</v>
      </c>
      <c r="E240" s="78" t="s">
        <v>14</v>
      </c>
      <c r="F240" s="67" t="s">
        <v>15</v>
      </c>
      <c r="G240" s="81" t="s">
        <v>733</v>
      </c>
      <c r="H240" s="79" t="s">
        <v>734</v>
      </c>
      <c r="I240" s="67" t="s">
        <v>18</v>
      </c>
      <c r="J240" s="67" t="s">
        <v>735</v>
      </c>
      <c r="K240" s="67">
        <v>40.0</v>
      </c>
      <c r="L240" s="94" t="str">
        <f t="shared" si="2"/>
        <v>No infirmation</v>
      </c>
      <c r="M240" s="94" t="str">
        <f t="shared" si="3"/>
        <v>20251219_snorkel_batch001__llm_navqa_onlinemind2web_websites__82</v>
      </c>
    </row>
    <row r="241" ht="15.75" customHeight="1">
      <c r="B241" s="77">
        <f t="shared" si="1"/>
        <v>1</v>
      </c>
      <c r="C241" s="67" t="s">
        <v>12</v>
      </c>
      <c r="D241" s="78" t="s">
        <v>13</v>
      </c>
      <c r="E241" s="78" t="s">
        <v>14</v>
      </c>
      <c r="F241" s="67" t="s">
        <v>15</v>
      </c>
      <c r="G241" s="67" t="s">
        <v>24</v>
      </c>
      <c r="H241" s="79" t="s">
        <v>25</v>
      </c>
      <c r="I241" s="67" t="s">
        <v>18</v>
      </c>
      <c r="L241" s="94" t="str">
        <f t="shared" si="2"/>
        <v>No infirmation</v>
      </c>
      <c r="M241" s="94" t="str">
        <f t="shared" si="3"/>
        <v>20251219_snorkel_batch009__llm_navqa_popular_websites__127</v>
      </c>
    </row>
    <row r="242" ht="15.75" customHeight="1">
      <c r="B242" s="77">
        <f t="shared" si="1"/>
        <v>1</v>
      </c>
      <c r="C242" s="67" t="s">
        <v>195</v>
      </c>
      <c r="D242" s="78" t="s">
        <v>196</v>
      </c>
      <c r="E242" s="78" t="s">
        <v>14</v>
      </c>
      <c r="F242" s="67" t="s">
        <v>15</v>
      </c>
      <c r="G242" s="67" t="s">
        <v>736</v>
      </c>
      <c r="H242" s="82" t="s">
        <v>737</v>
      </c>
      <c r="I242" s="67" t="s">
        <v>18</v>
      </c>
      <c r="J242" s="67" t="s">
        <v>241</v>
      </c>
      <c r="K242" s="67">
        <v>42.0</v>
      </c>
      <c r="L242" s="94" t="str">
        <f t="shared" si="2"/>
        <v>No infirmation</v>
      </c>
      <c r="M242" s="94" t="str">
        <f t="shared" si="3"/>
        <v>20251219_snorkel_batch005__llm_navqa_onlinemind2web_websites__83</v>
      </c>
    </row>
    <row r="243" ht="15.75" customHeight="1">
      <c r="B243" s="77">
        <f t="shared" si="1"/>
        <v>1</v>
      </c>
      <c r="C243" s="67" t="s">
        <v>195</v>
      </c>
      <c r="D243" s="78" t="s">
        <v>196</v>
      </c>
      <c r="E243" s="78" t="s">
        <v>14</v>
      </c>
      <c r="F243" s="67" t="s">
        <v>15</v>
      </c>
      <c r="G243" s="81" t="s">
        <v>738</v>
      </c>
      <c r="H243" s="79" t="s">
        <v>739</v>
      </c>
      <c r="I243" s="67" t="s">
        <v>18</v>
      </c>
      <c r="L243" s="94" t="str">
        <f t="shared" si="2"/>
        <v>No infirmation</v>
      </c>
      <c r="M243" s="94" t="str">
        <f t="shared" si="3"/>
        <v>20251219_snorkel_batch010__llm_navqa_webvoyager_websites__166</v>
      </c>
    </row>
    <row r="244" ht="15.75" customHeight="1">
      <c r="B244" s="77">
        <f t="shared" si="1"/>
        <v>1</v>
      </c>
      <c r="C244" s="67" t="s">
        <v>195</v>
      </c>
      <c r="D244" s="78" t="s">
        <v>196</v>
      </c>
      <c r="E244" s="78" t="s">
        <v>14</v>
      </c>
      <c r="F244" s="67" t="s">
        <v>15</v>
      </c>
      <c r="G244" s="81" t="s">
        <v>740</v>
      </c>
      <c r="H244" s="79" t="s">
        <v>741</v>
      </c>
      <c r="I244" s="67" t="s">
        <v>18</v>
      </c>
      <c r="J244" s="67" t="s">
        <v>742</v>
      </c>
      <c r="K244" s="67">
        <v>42.0</v>
      </c>
      <c r="L244" s="94" t="str">
        <f t="shared" si="2"/>
        <v>No infirmation</v>
      </c>
      <c r="M244" s="94" t="str">
        <f t="shared" si="3"/>
        <v>20251219_snorkel_batch007__llm_navqa_popular_websites__38</v>
      </c>
    </row>
    <row r="245" ht="15.75" customHeight="1">
      <c r="B245" s="77">
        <f t="shared" si="1"/>
        <v>1</v>
      </c>
      <c r="C245" s="67" t="s">
        <v>195</v>
      </c>
      <c r="D245" s="78" t="s">
        <v>196</v>
      </c>
      <c r="E245" s="78" t="s">
        <v>14</v>
      </c>
      <c r="F245" s="67" t="s">
        <v>15</v>
      </c>
      <c r="G245" s="81" t="s">
        <v>743</v>
      </c>
      <c r="H245" s="79" t="s">
        <v>744</v>
      </c>
      <c r="I245" s="67" t="s">
        <v>18</v>
      </c>
      <c r="L245" s="94" t="str">
        <f t="shared" si="2"/>
        <v>No infirmation</v>
      </c>
      <c r="M245" s="94" t="str">
        <f t="shared" si="3"/>
        <v>20251219_snorkel_batch010__llm_navqa_onlinemind2web_websites__91</v>
      </c>
    </row>
    <row r="246" ht="15.75" customHeight="1">
      <c r="B246" s="77">
        <f t="shared" si="1"/>
        <v>1</v>
      </c>
      <c r="C246" s="67" t="s">
        <v>195</v>
      </c>
      <c r="D246" s="78" t="s">
        <v>196</v>
      </c>
      <c r="E246" s="78" t="s">
        <v>14</v>
      </c>
      <c r="F246" s="67" t="s">
        <v>15</v>
      </c>
      <c r="G246" s="81" t="s">
        <v>745</v>
      </c>
      <c r="H246" s="79" t="s">
        <v>746</v>
      </c>
      <c r="I246" s="67" t="s">
        <v>18</v>
      </c>
      <c r="J246" s="67" t="s">
        <v>747</v>
      </c>
      <c r="K246" s="67">
        <v>37.0</v>
      </c>
      <c r="L246" s="94" t="str">
        <f t="shared" si="2"/>
        <v>No infirmation</v>
      </c>
      <c r="M246" s="94" t="str">
        <f t="shared" si="3"/>
        <v>20251219_snorkel_batch001__llm_navqa_onlinemind2web_websites__99</v>
      </c>
    </row>
    <row r="247" ht="15.75" customHeight="1">
      <c r="B247" s="77">
        <f t="shared" si="1"/>
        <v>1</v>
      </c>
      <c r="C247" s="67" t="s">
        <v>195</v>
      </c>
      <c r="D247" s="78" t="s">
        <v>196</v>
      </c>
      <c r="E247" s="78" t="s">
        <v>14</v>
      </c>
      <c r="F247" s="67" t="s">
        <v>15</v>
      </c>
      <c r="G247" s="67" t="s">
        <v>748</v>
      </c>
      <c r="H247" s="79" t="s">
        <v>749</v>
      </c>
      <c r="I247" s="67" t="s">
        <v>18</v>
      </c>
      <c r="J247" s="81" t="s">
        <v>241</v>
      </c>
      <c r="K247" s="67">
        <v>42.0</v>
      </c>
      <c r="L247" s="94" t="str">
        <f t="shared" si="2"/>
        <v>No infirmation</v>
      </c>
      <c r="M247" s="94" t="str">
        <f t="shared" si="3"/>
        <v>20251219_snorkel_batch004__llm_navqa_webvoyager_websites__38</v>
      </c>
    </row>
    <row r="248" ht="15.75" customHeight="1">
      <c r="B248" s="77">
        <f t="shared" si="1"/>
        <v>1</v>
      </c>
      <c r="C248" s="67" t="s">
        <v>195</v>
      </c>
      <c r="D248" s="78" t="s">
        <v>196</v>
      </c>
      <c r="E248" s="78" t="s">
        <v>14</v>
      </c>
      <c r="F248" s="67" t="s">
        <v>15</v>
      </c>
      <c r="G248" s="81" t="s">
        <v>750</v>
      </c>
      <c r="H248" s="79" t="s">
        <v>751</v>
      </c>
      <c r="I248" s="67" t="s">
        <v>18</v>
      </c>
      <c r="L248" s="94" t="str">
        <f t="shared" si="2"/>
        <v>No infirmation</v>
      </c>
      <c r="M248" s="94" t="str">
        <f t="shared" si="3"/>
        <v>20251219_snorkel_batch007__llm_navqa_webvoyager_websites__34</v>
      </c>
    </row>
    <row r="249" ht="15.75" customHeight="1">
      <c r="B249" s="77">
        <f t="shared" si="1"/>
        <v>1</v>
      </c>
      <c r="C249" s="67" t="s">
        <v>195</v>
      </c>
      <c r="D249" s="78" t="s">
        <v>196</v>
      </c>
      <c r="E249" s="78" t="s">
        <v>14</v>
      </c>
      <c r="F249" s="67" t="s">
        <v>15</v>
      </c>
      <c r="G249" s="81" t="s">
        <v>752</v>
      </c>
      <c r="H249" s="79" t="s">
        <v>753</v>
      </c>
      <c r="I249" s="67" t="s">
        <v>18</v>
      </c>
      <c r="J249" s="67" t="s">
        <v>754</v>
      </c>
      <c r="K249" s="67">
        <v>37.0</v>
      </c>
      <c r="L249" s="94" t="str">
        <f t="shared" si="2"/>
        <v>No infirmation</v>
      </c>
      <c r="M249" s="94" t="str">
        <f t="shared" si="3"/>
        <v>20251121_snorkel_batch001__webvoyager_like__422</v>
      </c>
    </row>
    <row r="250" ht="15.75" customHeight="1">
      <c r="B250" s="77">
        <f t="shared" si="1"/>
        <v>1</v>
      </c>
      <c r="C250" s="67" t="s">
        <v>195</v>
      </c>
      <c r="D250" s="78" t="s">
        <v>196</v>
      </c>
      <c r="E250" s="78" t="s">
        <v>14</v>
      </c>
      <c r="F250" s="67" t="s">
        <v>15</v>
      </c>
      <c r="G250" s="81" t="s">
        <v>755</v>
      </c>
      <c r="H250" s="79" t="s">
        <v>756</v>
      </c>
      <c r="I250" s="67" t="s">
        <v>18</v>
      </c>
      <c r="J250" s="67" t="s">
        <v>754</v>
      </c>
      <c r="K250" s="67">
        <v>37.0</v>
      </c>
      <c r="L250" s="94" t="str">
        <f t="shared" si="2"/>
        <v>No infirmation</v>
      </c>
      <c r="M250" s="94" t="str">
        <f t="shared" si="3"/>
        <v>20251219_snorkel_batch008__llm_navqa_webvoyager_websites__68</v>
      </c>
    </row>
    <row r="251" ht="15.75" customHeight="1">
      <c r="B251" s="77">
        <f t="shared" si="1"/>
        <v>1</v>
      </c>
      <c r="C251" s="67" t="s">
        <v>195</v>
      </c>
      <c r="D251" s="78" t="s">
        <v>196</v>
      </c>
      <c r="E251" s="78" t="s">
        <v>14</v>
      </c>
      <c r="F251" s="67" t="s">
        <v>15</v>
      </c>
      <c r="G251" s="81" t="s">
        <v>757</v>
      </c>
      <c r="H251" s="79" t="s">
        <v>758</v>
      </c>
      <c r="I251" s="67" t="s">
        <v>18</v>
      </c>
      <c r="L251" s="94" t="str">
        <f t="shared" si="2"/>
        <v>No infirmation</v>
      </c>
      <c r="M251" s="94" t="str">
        <f t="shared" si="3"/>
        <v>20251219_snorkel_batch003__llm_navqa_webvoyager_websites__98</v>
      </c>
    </row>
    <row r="252" ht="15.75" customHeight="1">
      <c r="B252" s="77">
        <f t="shared" si="1"/>
        <v>1</v>
      </c>
      <c r="C252" s="67" t="s">
        <v>12</v>
      </c>
      <c r="D252" s="78" t="s">
        <v>13</v>
      </c>
      <c r="E252" s="78" t="s">
        <v>14</v>
      </c>
      <c r="F252" s="67" t="s">
        <v>15</v>
      </c>
      <c r="G252" s="67" t="s">
        <v>759</v>
      </c>
      <c r="H252" s="82" t="s">
        <v>760</v>
      </c>
      <c r="I252" s="67" t="s">
        <v>18</v>
      </c>
      <c r="L252" s="94" t="str">
        <f t="shared" si="2"/>
        <v>No infirmation</v>
      </c>
      <c r="M252" s="94" t="str">
        <f t="shared" si="3"/>
        <v>20251219_snorkel_batch010__llm_navqa_webvoyager_websites__142</v>
      </c>
    </row>
    <row r="253" ht="15.75" customHeight="1">
      <c r="B253" s="77">
        <f t="shared" si="1"/>
        <v>1</v>
      </c>
      <c r="C253" s="67" t="s">
        <v>199</v>
      </c>
      <c r="D253" s="78" t="s">
        <v>200</v>
      </c>
      <c r="E253" s="78" t="s">
        <v>14</v>
      </c>
      <c r="F253" s="67" t="s">
        <v>15</v>
      </c>
      <c r="G253" s="67" t="s">
        <v>761</v>
      </c>
      <c r="H253" s="82" t="s">
        <v>762</v>
      </c>
      <c r="I253" s="67" t="s">
        <v>18</v>
      </c>
      <c r="J253" s="67" t="s">
        <v>763</v>
      </c>
      <c r="K253" s="67">
        <v>40.0</v>
      </c>
      <c r="L253" s="94" t="str">
        <f t="shared" si="2"/>
        <v>No infirmation</v>
      </c>
      <c r="M253" s="94" t="str">
        <f t="shared" si="3"/>
        <v>20251219_snorkel_batch009__llm_navqa_webvoyager_websites__99</v>
      </c>
    </row>
    <row r="254" ht="15.75" customHeight="1">
      <c r="B254" s="77">
        <f t="shared" si="1"/>
        <v>1</v>
      </c>
      <c r="C254" s="67" t="s">
        <v>199</v>
      </c>
      <c r="D254" s="78" t="s">
        <v>200</v>
      </c>
      <c r="E254" s="78" t="s">
        <v>14</v>
      </c>
      <c r="F254" s="67" t="s">
        <v>15</v>
      </c>
      <c r="G254" s="81" t="s">
        <v>764</v>
      </c>
      <c r="H254" s="79" t="s">
        <v>765</v>
      </c>
      <c r="I254" s="67" t="s">
        <v>18</v>
      </c>
      <c r="L254" s="94" t="str">
        <f t="shared" si="2"/>
        <v>No infirmation</v>
      </c>
      <c r="M254" s="94" t="str">
        <f t="shared" si="3"/>
        <v>20251219_snorkel_batch006__llm_navqa_popular_websites__51</v>
      </c>
    </row>
    <row r="255" ht="15.75" customHeight="1">
      <c r="B255" s="77">
        <f t="shared" si="1"/>
        <v>1</v>
      </c>
      <c r="C255" s="67" t="s">
        <v>199</v>
      </c>
      <c r="D255" s="78" t="s">
        <v>200</v>
      </c>
      <c r="E255" s="78" t="s">
        <v>14</v>
      </c>
      <c r="F255" s="67" t="s">
        <v>15</v>
      </c>
      <c r="G255" s="67" t="s">
        <v>766</v>
      </c>
      <c r="H255" s="83" t="s">
        <v>767</v>
      </c>
      <c r="I255" s="67" t="s">
        <v>18</v>
      </c>
      <c r="L255" s="94" t="str">
        <f t="shared" si="2"/>
        <v>No infirmation</v>
      </c>
      <c r="M255" s="94" t="str">
        <f t="shared" si="3"/>
        <v>20251219_snorkel_batch001__llm_navqa_webvoyager_websites__34</v>
      </c>
    </row>
    <row r="256" ht="15.75" customHeight="1">
      <c r="B256" s="77">
        <f t="shared" si="1"/>
        <v>1</v>
      </c>
      <c r="C256" s="67" t="s">
        <v>199</v>
      </c>
      <c r="D256" s="78" t="s">
        <v>200</v>
      </c>
      <c r="E256" s="78" t="s">
        <v>14</v>
      </c>
      <c r="F256" s="67" t="s">
        <v>15</v>
      </c>
      <c r="G256" s="67" t="s">
        <v>768</v>
      </c>
      <c r="H256" s="83" t="s">
        <v>769</v>
      </c>
      <c r="I256" s="67" t="s">
        <v>18</v>
      </c>
      <c r="L256" s="94" t="str">
        <f t="shared" si="2"/>
        <v>No infirmation</v>
      </c>
      <c r="M256" s="94" t="str">
        <f t="shared" si="3"/>
        <v>20251219_snorkel_batch009__llm_navqa_onlinemind2web_websites__83</v>
      </c>
    </row>
    <row r="257" ht="15.75" customHeight="1">
      <c r="B257" s="77">
        <f t="shared" si="1"/>
        <v>1</v>
      </c>
      <c r="C257" s="67" t="s">
        <v>199</v>
      </c>
      <c r="D257" s="78" t="s">
        <v>200</v>
      </c>
      <c r="E257" s="78" t="s">
        <v>14</v>
      </c>
      <c r="F257" s="67" t="s">
        <v>15</v>
      </c>
      <c r="G257" s="67" t="s">
        <v>770</v>
      </c>
      <c r="H257" s="83" t="s">
        <v>771</v>
      </c>
      <c r="I257" s="67" t="s">
        <v>18</v>
      </c>
      <c r="J257" s="67" t="s">
        <v>772</v>
      </c>
      <c r="K257" s="67">
        <v>40.0</v>
      </c>
      <c r="L257" s="94" t="str">
        <f t="shared" si="2"/>
        <v>No infirmation</v>
      </c>
      <c r="M257" s="94" t="str">
        <f t="shared" si="3"/>
        <v>20251126_snorkel_batch013__llm_step_webvoyager_websites__24</v>
      </c>
    </row>
    <row r="258" ht="15.75" customHeight="1">
      <c r="B258" s="77">
        <f t="shared" si="1"/>
        <v>1</v>
      </c>
      <c r="C258" s="67" t="s">
        <v>199</v>
      </c>
      <c r="D258" s="78" t="s">
        <v>200</v>
      </c>
      <c r="E258" s="78" t="s">
        <v>14</v>
      </c>
      <c r="F258" s="67" t="s">
        <v>15</v>
      </c>
      <c r="G258" s="67" t="s">
        <v>773</v>
      </c>
      <c r="H258" s="83" t="s">
        <v>774</v>
      </c>
      <c r="I258" s="67" t="s">
        <v>18</v>
      </c>
      <c r="J258" s="67" t="s">
        <v>772</v>
      </c>
      <c r="K258" s="67">
        <v>40.0</v>
      </c>
      <c r="L258" s="94" t="str">
        <f t="shared" si="2"/>
        <v>No infirmation</v>
      </c>
      <c r="M258" s="94" t="str">
        <f t="shared" si="3"/>
        <v>20251219_snorkel_batch005__llm_navqa_webvoyager_websites__138</v>
      </c>
    </row>
    <row r="259" ht="15.75" customHeight="1">
      <c r="B259" s="77">
        <f t="shared" si="1"/>
        <v>1</v>
      </c>
      <c r="C259" s="67" t="s">
        <v>199</v>
      </c>
      <c r="D259" s="78" t="s">
        <v>200</v>
      </c>
      <c r="E259" s="78" t="s">
        <v>14</v>
      </c>
      <c r="F259" s="67" t="s">
        <v>15</v>
      </c>
      <c r="G259" s="67" t="s">
        <v>775</v>
      </c>
      <c r="H259" s="83" t="s">
        <v>776</v>
      </c>
      <c r="I259" s="67" t="s">
        <v>18</v>
      </c>
      <c r="L259" s="94" t="str">
        <f t="shared" si="2"/>
        <v>No infirmation</v>
      </c>
      <c r="M259" s="94" t="str">
        <f t="shared" si="3"/>
        <v>20251219_snorkel_batch003__llm_navqa_onlinemind2web_websites__63</v>
      </c>
    </row>
    <row r="260" ht="15.75" customHeight="1">
      <c r="B260" s="77">
        <f t="shared" si="1"/>
        <v>1</v>
      </c>
      <c r="C260" s="67" t="s">
        <v>199</v>
      </c>
      <c r="D260" s="78" t="s">
        <v>200</v>
      </c>
      <c r="E260" s="78" t="s">
        <v>14</v>
      </c>
      <c r="F260" s="67" t="s">
        <v>15</v>
      </c>
      <c r="G260" s="67" t="s">
        <v>777</v>
      </c>
      <c r="H260" s="83" t="s">
        <v>778</v>
      </c>
      <c r="I260" s="67" t="s">
        <v>18</v>
      </c>
      <c r="L260" s="94" t="str">
        <f t="shared" si="2"/>
        <v>No infirmation</v>
      </c>
      <c r="M260" s="94" t="str">
        <f t="shared" si="3"/>
        <v>20251219_snorkel_batch004__llm_navqa_webvoyager_websites__140</v>
      </c>
    </row>
    <row r="261" ht="15.75" customHeight="1">
      <c r="B261" s="77">
        <f t="shared" si="1"/>
        <v>1</v>
      </c>
      <c r="D261" s="81" t="s">
        <v>202</v>
      </c>
      <c r="E261" s="78" t="s">
        <v>14</v>
      </c>
      <c r="F261" s="67" t="s">
        <v>15</v>
      </c>
      <c r="G261" s="81" t="s">
        <v>779</v>
      </c>
      <c r="H261" s="79" t="s">
        <v>780</v>
      </c>
      <c r="I261" s="67" t="s">
        <v>18</v>
      </c>
      <c r="L261" s="94" t="str">
        <f t="shared" si="2"/>
        <v>No infirmation</v>
      </c>
      <c r="M261" s="94" t="str">
        <f t="shared" si="3"/>
        <v>20251121_snorkel_batch001__webvoyager_like__380</v>
      </c>
    </row>
    <row r="262" ht="15.75" customHeight="1">
      <c r="B262" s="77">
        <f t="shared" si="1"/>
        <v>1</v>
      </c>
      <c r="C262" s="67" t="s">
        <v>193</v>
      </c>
      <c r="D262" s="78" t="s">
        <v>194</v>
      </c>
      <c r="E262" s="78" t="s">
        <v>14</v>
      </c>
      <c r="F262" s="67" t="s">
        <v>15</v>
      </c>
      <c r="G262" s="81" t="s">
        <v>781</v>
      </c>
      <c r="H262" s="79" t="s">
        <v>782</v>
      </c>
      <c r="I262" s="67" t="s">
        <v>18</v>
      </c>
      <c r="L262" s="94" t="str">
        <f t="shared" si="2"/>
        <v>No infirmation</v>
      </c>
      <c r="M262" s="94" t="str">
        <f t="shared" si="3"/>
        <v>20251219_snorkel_batch001__llm_navqa_onlinemind2web_websites__3</v>
      </c>
    </row>
    <row r="263" ht="15.75" customHeight="1">
      <c r="B263" s="77">
        <f t="shared" si="1"/>
        <v>1</v>
      </c>
      <c r="C263" s="67" t="s">
        <v>193</v>
      </c>
      <c r="D263" s="78" t="s">
        <v>194</v>
      </c>
      <c r="E263" s="78" t="s">
        <v>14</v>
      </c>
      <c r="F263" s="67" t="s">
        <v>15</v>
      </c>
      <c r="G263" s="81" t="s">
        <v>783</v>
      </c>
      <c r="H263" s="79" t="s">
        <v>784</v>
      </c>
      <c r="I263" s="67" t="s">
        <v>18</v>
      </c>
      <c r="L263" s="94" t="str">
        <f t="shared" si="2"/>
        <v>No infirmation</v>
      </c>
      <c r="M263" s="94" t="str">
        <f t="shared" si="3"/>
        <v>20251219_snorkel_batch010__llm_navqa_webvoyager_websites__63</v>
      </c>
    </row>
    <row r="264" ht="15.75" customHeight="1">
      <c r="B264" s="77">
        <f t="shared" si="1"/>
        <v>1</v>
      </c>
      <c r="C264" s="67" t="s">
        <v>193</v>
      </c>
      <c r="D264" s="78" t="s">
        <v>194</v>
      </c>
      <c r="E264" s="78" t="s">
        <v>14</v>
      </c>
      <c r="F264" s="67" t="s">
        <v>15</v>
      </c>
      <c r="G264" s="81" t="s">
        <v>785</v>
      </c>
      <c r="H264" s="79" t="s">
        <v>786</v>
      </c>
      <c r="I264" s="67" t="s">
        <v>18</v>
      </c>
      <c r="J264" s="67" t="s">
        <v>787</v>
      </c>
      <c r="K264" s="67">
        <v>40.0</v>
      </c>
      <c r="L264" s="94" t="str">
        <f t="shared" si="2"/>
        <v>No infirmation</v>
      </c>
      <c r="M264" s="94" t="str">
        <f t="shared" si="3"/>
        <v>20251219_snorkel_batch001__llm_navqa_webvoyager_websites__16</v>
      </c>
    </row>
    <row r="265" ht="15.75" customHeight="1">
      <c r="B265" s="77">
        <f t="shared" si="1"/>
        <v>1</v>
      </c>
      <c r="C265" s="67" t="s">
        <v>193</v>
      </c>
      <c r="D265" s="78" t="s">
        <v>194</v>
      </c>
      <c r="E265" s="78" t="s">
        <v>14</v>
      </c>
      <c r="F265" s="67" t="s">
        <v>15</v>
      </c>
      <c r="G265" s="81" t="s">
        <v>788</v>
      </c>
      <c r="H265" s="79" t="s">
        <v>789</v>
      </c>
      <c r="I265" s="67" t="s">
        <v>18</v>
      </c>
      <c r="L265" s="94" t="str">
        <f t="shared" si="2"/>
        <v>No infirmation</v>
      </c>
      <c r="M265" s="94" t="str">
        <f t="shared" si="3"/>
        <v>20251219_snorkel_batch003__llm_navqa_popular_websites__153</v>
      </c>
    </row>
    <row r="266" ht="15.75" customHeight="1">
      <c r="B266" s="77">
        <f t="shared" si="1"/>
        <v>1</v>
      </c>
      <c r="C266" s="67" t="s">
        <v>193</v>
      </c>
      <c r="D266" s="78" t="s">
        <v>194</v>
      </c>
      <c r="E266" s="78" t="s">
        <v>14</v>
      </c>
      <c r="F266" s="67" t="s">
        <v>15</v>
      </c>
      <c r="G266" s="81" t="s">
        <v>790</v>
      </c>
      <c r="H266" s="79" t="s">
        <v>791</v>
      </c>
      <c r="I266" s="67" t="s">
        <v>18</v>
      </c>
      <c r="J266" s="67" t="s">
        <v>792</v>
      </c>
      <c r="K266" s="67">
        <v>42.0</v>
      </c>
      <c r="L266" s="94" t="str">
        <f t="shared" si="2"/>
        <v>No infirmation</v>
      </c>
      <c r="M266" s="94" t="str">
        <f t="shared" si="3"/>
        <v>20251219_snorkel_batch002__llm_navqa_webvoyager_websites__115</v>
      </c>
    </row>
    <row r="267" ht="15.75" customHeight="1">
      <c r="B267" s="77">
        <f t="shared" si="1"/>
        <v>1</v>
      </c>
      <c r="C267" s="67" t="s">
        <v>193</v>
      </c>
      <c r="D267" s="78" t="s">
        <v>194</v>
      </c>
      <c r="E267" s="78" t="s">
        <v>14</v>
      </c>
      <c r="F267" s="67" t="s">
        <v>15</v>
      </c>
      <c r="G267" s="81" t="s">
        <v>793</v>
      </c>
      <c r="H267" s="79" t="s">
        <v>794</v>
      </c>
      <c r="I267" s="67" t="s">
        <v>18</v>
      </c>
      <c r="L267" s="94" t="str">
        <f t="shared" si="2"/>
        <v>No infirmation</v>
      </c>
      <c r="M267" s="94" t="str">
        <f t="shared" si="3"/>
        <v>20251219_snorkel_batch009__llm_navqa_webvoyager_websites__77</v>
      </c>
    </row>
    <row r="268" ht="15.75" customHeight="1">
      <c r="B268" s="77">
        <f t="shared" si="1"/>
        <v>1</v>
      </c>
      <c r="C268" s="67" t="s">
        <v>193</v>
      </c>
      <c r="D268" s="78" t="s">
        <v>194</v>
      </c>
      <c r="E268" s="78" t="s">
        <v>14</v>
      </c>
      <c r="F268" s="67" t="s">
        <v>15</v>
      </c>
      <c r="G268" s="81" t="s">
        <v>795</v>
      </c>
      <c r="H268" s="79" t="s">
        <v>796</v>
      </c>
      <c r="I268" s="67" t="s">
        <v>18</v>
      </c>
      <c r="J268" s="67" t="s">
        <v>241</v>
      </c>
      <c r="K268" s="67">
        <v>42.0</v>
      </c>
      <c r="L268" s="94" t="str">
        <f t="shared" si="2"/>
        <v>No infirmation</v>
      </c>
      <c r="M268" s="94" t="str">
        <f t="shared" si="3"/>
        <v>20251219_snorkel_batch003__llm_navqa_onlinemind2web_websites__6</v>
      </c>
    </row>
    <row r="269" ht="15.75" customHeight="1">
      <c r="B269" s="77">
        <f t="shared" si="1"/>
        <v>1</v>
      </c>
      <c r="C269" s="67" t="s">
        <v>193</v>
      </c>
      <c r="D269" s="78" t="s">
        <v>194</v>
      </c>
      <c r="E269" s="78" t="s">
        <v>14</v>
      </c>
      <c r="F269" s="67" t="s">
        <v>15</v>
      </c>
      <c r="G269" s="81" t="s">
        <v>797</v>
      </c>
      <c r="H269" s="79" t="s">
        <v>798</v>
      </c>
      <c r="I269" s="67" t="s">
        <v>18</v>
      </c>
      <c r="J269" s="67" t="s">
        <v>799</v>
      </c>
      <c r="K269" s="67">
        <v>40.0</v>
      </c>
      <c r="L269" s="94" t="str">
        <f t="shared" si="2"/>
        <v>No infirmation</v>
      </c>
      <c r="M269" s="94" t="str">
        <f t="shared" si="3"/>
        <v>20251219_snorkel_batch005__llm_navqa_onlinemind2web_websites__43</v>
      </c>
    </row>
    <row r="270" ht="15.75" customHeight="1">
      <c r="B270" s="77">
        <f t="shared" si="1"/>
        <v>1</v>
      </c>
      <c r="C270" s="67" t="s">
        <v>193</v>
      </c>
      <c r="D270" s="78" t="s">
        <v>194</v>
      </c>
      <c r="E270" s="78" t="s">
        <v>14</v>
      </c>
      <c r="F270" s="67" t="s">
        <v>15</v>
      </c>
      <c r="G270" s="81" t="s">
        <v>800</v>
      </c>
      <c r="H270" s="79" t="s">
        <v>801</v>
      </c>
      <c r="I270" s="67" t="s">
        <v>18</v>
      </c>
      <c r="J270" s="67" t="s">
        <v>802</v>
      </c>
      <c r="K270" s="67">
        <v>43.0</v>
      </c>
      <c r="L270" s="94" t="str">
        <f t="shared" si="2"/>
        <v>No infirmation</v>
      </c>
      <c r="M270" s="94" t="str">
        <f t="shared" si="3"/>
        <v>20251219_snorkel_batch004__llm_navqa_onlinemind2web_websites__136</v>
      </c>
    </row>
    <row r="271" ht="15.75" customHeight="1">
      <c r="B271" s="77">
        <f t="shared" si="1"/>
        <v>1</v>
      </c>
      <c r="C271" s="67" t="s">
        <v>193</v>
      </c>
      <c r="D271" s="78" t="s">
        <v>194</v>
      </c>
      <c r="E271" s="78" t="s">
        <v>14</v>
      </c>
      <c r="F271" s="67" t="s">
        <v>15</v>
      </c>
      <c r="G271" s="81" t="s">
        <v>803</v>
      </c>
      <c r="H271" s="79" t="s">
        <v>804</v>
      </c>
      <c r="I271" s="67" t="s">
        <v>18</v>
      </c>
      <c r="L271" s="94" t="str">
        <f t="shared" si="2"/>
        <v>No infirmation</v>
      </c>
      <c r="M271" s="94" t="str">
        <f t="shared" si="3"/>
        <v>20251219_snorkel_batch005__llm_navqa_webvoyager_websites__44</v>
      </c>
    </row>
    <row r="272" ht="15.75" customHeight="1">
      <c r="B272" s="77">
        <f t="shared" si="1"/>
        <v>1</v>
      </c>
      <c r="C272" s="67" t="s">
        <v>193</v>
      </c>
      <c r="D272" s="78" t="s">
        <v>194</v>
      </c>
      <c r="E272" s="78" t="s">
        <v>14</v>
      </c>
      <c r="F272" s="67" t="s">
        <v>15</v>
      </c>
      <c r="G272" s="81" t="s">
        <v>805</v>
      </c>
      <c r="H272" s="79" t="s">
        <v>806</v>
      </c>
      <c r="I272" s="67" t="s">
        <v>18</v>
      </c>
      <c r="J272" s="67" t="s">
        <v>807</v>
      </c>
      <c r="K272" s="67">
        <v>42.0</v>
      </c>
      <c r="L272" s="94" t="str">
        <f t="shared" si="2"/>
        <v>No infirmation</v>
      </c>
      <c r="M272" s="94" t="str">
        <f t="shared" si="3"/>
        <v>20251219_snorkel_batch010__llm_navqa_popular_websites__62</v>
      </c>
    </row>
    <row r="273" ht="15.75" customHeight="1">
      <c r="B273" s="77">
        <f t="shared" si="1"/>
        <v>1</v>
      </c>
      <c r="C273" s="67" t="s">
        <v>193</v>
      </c>
      <c r="D273" s="78" t="s">
        <v>194</v>
      </c>
      <c r="E273" s="78" t="s">
        <v>14</v>
      </c>
      <c r="F273" s="67" t="s">
        <v>15</v>
      </c>
      <c r="G273" s="81" t="s">
        <v>808</v>
      </c>
      <c r="H273" s="79" t="s">
        <v>809</v>
      </c>
      <c r="I273" s="67" t="s">
        <v>18</v>
      </c>
      <c r="L273" s="94" t="str">
        <f t="shared" si="2"/>
        <v>No infirmation</v>
      </c>
      <c r="M273" s="94" t="str">
        <f t="shared" si="3"/>
        <v>20251219_snorkel_batch005__llm_navqa_onlinemind2web_websites__100</v>
      </c>
    </row>
    <row r="274" ht="15.75" customHeight="1">
      <c r="B274" s="77">
        <f t="shared" si="1"/>
        <v>1</v>
      </c>
      <c r="C274" s="67" t="s">
        <v>193</v>
      </c>
      <c r="D274" s="78" t="s">
        <v>194</v>
      </c>
      <c r="E274" s="78" t="s">
        <v>14</v>
      </c>
      <c r="F274" s="67" t="s">
        <v>15</v>
      </c>
      <c r="G274" s="81" t="s">
        <v>810</v>
      </c>
      <c r="H274" s="79" t="s">
        <v>811</v>
      </c>
      <c r="I274" s="67" t="s">
        <v>18</v>
      </c>
      <c r="L274" s="94" t="str">
        <f t="shared" si="2"/>
        <v>No infirmation</v>
      </c>
      <c r="M274" s="94" t="str">
        <f t="shared" si="3"/>
        <v>20251219_snorkel_batch001__llm_navqa_popular_websites__59</v>
      </c>
    </row>
    <row r="275" ht="15.75" customHeight="1">
      <c r="B275" s="77">
        <f t="shared" si="1"/>
        <v>1</v>
      </c>
      <c r="C275" s="67" t="s">
        <v>193</v>
      </c>
      <c r="D275" s="78" t="s">
        <v>194</v>
      </c>
      <c r="E275" s="78" t="s">
        <v>14</v>
      </c>
      <c r="F275" s="67" t="s">
        <v>15</v>
      </c>
      <c r="G275" s="81" t="s">
        <v>812</v>
      </c>
      <c r="H275" s="79" t="s">
        <v>813</v>
      </c>
      <c r="I275" s="67" t="s">
        <v>18</v>
      </c>
      <c r="L275" s="94" t="str">
        <f t="shared" si="2"/>
        <v>No infirmation</v>
      </c>
      <c r="M275" s="94" t="str">
        <f t="shared" si="3"/>
        <v>20251219_snorkel_batch008__llm_navqa_webvoyager_websites__152</v>
      </c>
    </row>
    <row r="276" ht="15.75" customHeight="1">
      <c r="B276" s="77">
        <f t="shared" si="1"/>
        <v>1</v>
      </c>
      <c r="C276" s="67" t="s">
        <v>193</v>
      </c>
      <c r="D276" s="78" t="s">
        <v>194</v>
      </c>
      <c r="E276" s="78" t="s">
        <v>14</v>
      </c>
      <c r="F276" s="67" t="s">
        <v>15</v>
      </c>
      <c r="G276" s="81" t="s">
        <v>814</v>
      </c>
      <c r="H276" s="79" t="s">
        <v>815</v>
      </c>
      <c r="I276" s="67" t="s">
        <v>18</v>
      </c>
      <c r="L276" s="94" t="str">
        <f t="shared" si="2"/>
        <v>No infirmation</v>
      </c>
      <c r="M276" s="94" t="str">
        <f t="shared" si="3"/>
        <v>20251219_snorkel_batch005__llm_navqa_onlinemind2web_websites__36</v>
      </c>
    </row>
    <row r="277" ht="15.75" customHeight="1">
      <c r="B277" s="77">
        <f t="shared" si="1"/>
        <v>1</v>
      </c>
      <c r="C277" s="67" t="s">
        <v>197</v>
      </c>
      <c r="D277" s="78" t="s">
        <v>198</v>
      </c>
      <c r="E277" s="78" t="s">
        <v>14</v>
      </c>
      <c r="F277" s="67" t="s">
        <v>15</v>
      </c>
      <c r="G277" s="95" t="s">
        <v>816</v>
      </c>
      <c r="H277" s="87" t="s">
        <v>817</v>
      </c>
      <c r="I277" s="69" t="s">
        <v>18</v>
      </c>
      <c r="L277" s="94" t="str">
        <f t="shared" si="2"/>
        <v>No infirmation</v>
      </c>
      <c r="M277" s="94" t="str">
        <f t="shared" si="3"/>
        <v>20251219_snorkel_batch007__llm_navqa_webvoyager_websites__19</v>
      </c>
    </row>
    <row r="278" ht="15.75" customHeight="1">
      <c r="B278" s="77">
        <f t="shared" si="1"/>
        <v>1</v>
      </c>
      <c r="C278" s="67" t="s">
        <v>197</v>
      </c>
      <c r="D278" s="78" t="s">
        <v>198</v>
      </c>
      <c r="E278" s="78" t="s">
        <v>14</v>
      </c>
      <c r="F278" s="67" t="s">
        <v>15</v>
      </c>
      <c r="G278" s="95" t="s">
        <v>818</v>
      </c>
      <c r="H278" s="87" t="s">
        <v>819</v>
      </c>
      <c r="I278" s="69" t="s">
        <v>18</v>
      </c>
      <c r="L278" s="94" t="str">
        <f t="shared" si="2"/>
        <v>No infirmation</v>
      </c>
      <c r="M278" s="94" t="str">
        <f t="shared" si="3"/>
        <v>20251121_snorkel_batch001__webvoyager_like__231</v>
      </c>
    </row>
    <row r="279" ht="15.75" customHeight="1">
      <c r="B279" s="77">
        <f t="shared" si="1"/>
        <v>1</v>
      </c>
      <c r="C279" s="67" t="s">
        <v>197</v>
      </c>
      <c r="D279" s="78" t="s">
        <v>198</v>
      </c>
      <c r="E279" s="78" t="s">
        <v>14</v>
      </c>
      <c r="F279" s="67" t="s">
        <v>15</v>
      </c>
      <c r="G279" s="95" t="s">
        <v>820</v>
      </c>
      <c r="H279" s="87" t="s">
        <v>821</v>
      </c>
      <c r="I279" s="69" t="s">
        <v>18</v>
      </c>
      <c r="L279" s="94" t="str">
        <f t="shared" si="2"/>
        <v>No infirmation</v>
      </c>
      <c r="M279" s="94" t="str">
        <f t="shared" si="3"/>
        <v>20251219_snorkel_batch004__llm_navqa_popular_websites__121</v>
      </c>
    </row>
    <row r="280" ht="15.75" customHeight="1">
      <c r="B280" s="77">
        <f t="shared" si="1"/>
        <v>1</v>
      </c>
      <c r="C280" s="67" t="s">
        <v>197</v>
      </c>
      <c r="D280" s="78" t="s">
        <v>198</v>
      </c>
      <c r="E280" s="78" t="s">
        <v>14</v>
      </c>
      <c r="F280" s="67" t="s">
        <v>15</v>
      </c>
      <c r="G280" s="95" t="s">
        <v>822</v>
      </c>
      <c r="H280" s="87" t="s">
        <v>823</v>
      </c>
      <c r="I280" s="69" t="s">
        <v>18</v>
      </c>
      <c r="L280" s="94" t="str">
        <f t="shared" si="2"/>
        <v>No infirmation</v>
      </c>
      <c r="M280" s="94" t="str">
        <f t="shared" si="3"/>
        <v>20251219_snorkel_batch009__llm_navqa_popular_websites__110</v>
      </c>
    </row>
    <row r="281" ht="15.75" customHeight="1">
      <c r="B281" s="77">
        <f t="shared" si="1"/>
        <v>1</v>
      </c>
      <c r="C281" s="67" t="s">
        <v>197</v>
      </c>
      <c r="D281" s="78" t="s">
        <v>198</v>
      </c>
      <c r="E281" s="78" t="s">
        <v>14</v>
      </c>
      <c r="F281" s="67" t="s">
        <v>15</v>
      </c>
      <c r="G281" s="86" t="s">
        <v>824</v>
      </c>
      <c r="H281" s="87" t="s">
        <v>825</v>
      </c>
      <c r="I281" s="69" t="s">
        <v>18</v>
      </c>
      <c r="L281" s="94" t="str">
        <f t="shared" si="2"/>
        <v>No infirmation</v>
      </c>
      <c r="M281" s="94" t="str">
        <f t="shared" si="3"/>
        <v>20251219_snorkel_batch010__llm_navqa_onlinemind2web_websites__21</v>
      </c>
    </row>
    <row r="282" ht="15.75" customHeight="1">
      <c r="B282" s="77">
        <f t="shared" si="1"/>
        <v>1</v>
      </c>
      <c r="C282" s="67" t="s">
        <v>197</v>
      </c>
      <c r="D282" s="78" t="s">
        <v>198</v>
      </c>
      <c r="E282" s="78" t="s">
        <v>14</v>
      </c>
      <c r="F282" s="67" t="s">
        <v>15</v>
      </c>
      <c r="G282" s="84" t="s">
        <v>826</v>
      </c>
      <c r="H282" s="96" t="s">
        <v>827</v>
      </c>
      <c r="I282" s="69" t="s">
        <v>18</v>
      </c>
      <c r="L282" s="94" t="str">
        <f t="shared" si="2"/>
        <v>No infirmation</v>
      </c>
      <c r="M282" s="94" t="str">
        <f t="shared" si="3"/>
        <v>20251121_snorkel_batch001__webvoyager_like__154</v>
      </c>
    </row>
    <row r="283" ht="15.75" customHeight="1">
      <c r="B283" s="77">
        <f t="shared" si="1"/>
        <v>1</v>
      </c>
      <c r="C283" s="67" t="s">
        <v>197</v>
      </c>
      <c r="D283" s="78" t="s">
        <v>198</v>
      </c>
      <c r="E283" s="78" t="s">
        <v>14</v>
      </c>
      <c r="F283" s="67" t="s">
        <v>15</v>
      </c>
      <c r="G283" s="95" t="s">
        <v>828</v>
      </c>
      <c r="H283" s="87" t="s">
        <v>829</v>
      </c>
      <c r="I283" s="69" t="s">
        <v>18</v>
      </c>
      <c r="L283" s="94" t="str">
        <f t="shared" si="2"/>
        <v>No infirmation</v>
      </c>
      <c r="M283" s="94" t="str">
        <f t="shared" si="3"/>
        <v>20251219_snorkel_batch009__llm_navqa_onlinemind2web_websites__40</v>
      </c>
    </row>
    <row r="284" ht="15.75" customHeight="1">
      <c r="B284" s="77">
        <f t="shared" si="1"/>
        <v>1</v>
      </c>
      <c r="C284" s="67" t="s">
        <v>197</v>
      </c>
      <c r="D284" s="78" t="s">
        <v>198</v>
      </c>
      <c r="E284" s="78" t="s">
        <v>14</v>
      </c>
      <c r="F284" s="67" t="s">
        <v>15</v>
      </c>
      <c r="G284" s="95" t="s">
        <v>830</v>
      </c>
      <c r="H284" s="87" t="s">
        <v>831</v>
      </c>
      <c r="I284" s="69" t="s">
        <v>18</v>
      </c>
      <c r="L284" s="94" t="str">
        <f t="shared" si="2"/>
        <v>No infirmation</v>
      </c>
      <c r="M284" s="94" t="str">
        <f t="shared" si="3"/>
        <v>20251219_snorkel_batch002__llm_navqa_popular_websites__147</v>
      </c>
    </row>
    <row r="285" ht="15.75" customHeight="1">
      <c r="A285" s="81"/>
      <c r="B285" s="77">
        <f t="shared" si="1"/>
        <v>1</v>
      </c>
      <c r="C285" s="67" t="s">
        <v>197</v>
      </c>
      <c r="D285" s="78" t="s">
        <v>198</v>
      </c>
      <c r="E285" s="78" t="s">
        <v>14</v>
      </c>
      <c r="F285" s="67" t="s">
        <v>15</v>
      </c>
      <c r="G285" s="84" t="s">
        <v>832</v>
      </c>
      <c r="H285" s="87" t="s">
        <v>833</v>
      </c>
      <c r="I285" s="69" t="s">
        <v>18</v>
      </c>
      <c r="L285" s="94" t="str">
        <f t="shared" si="2"/>
        <v>No infirmation</v>
      </c>
      <c r="M285" s="94" t="str">
        <f t="shared" si="3"/>
        <v>20251121_snorkel_batch001__webvoyager_like__38</v>
      </c>
    </row>
    <row r="286" ht="15.75" customHeight="1">
      <c r="B286" s="77">
        <f t="shared" si="1"/>
        <v>1</v>
      </c>
      <c r="C286" s="67" t="s">
        <v>197</v>
      </c>
      <c r="D286" s="78" t="s">
        <v>198</v>
      </c>
      <c r="E286" s="78" t="s">
        <v>14</v>
      </c>
      <c r="F286" s="67" t="s">
        <v>15</v>
      </c>
      <c r="G286" s="84" t="s">
        <v>834</v>
      </c>
      <c r="H286" s="87" t="s">
        <v>835</v>
      </c>
      <c r="I286" s="69" t="s">
        <v>18</v>
      </c>
      <c r="L286" s="94" t="str">
        <f t="shared" si="2"/>
        <v>No infirmation</v>
      </c>
      <c r="M286" s="94" t="str">
        <f t="shared" si="3"/>
        <v>20251219_snorkel_batch001__llm_navqa_onlinemind2web_websites__45</v>
      </c>
    </row>
    <row r="287" ht="15.75" customHeight="1">
      <c r="B287" s="77">
        <f t="shared" si="1"/>
        <v>1</v>
      </c>
      <c r="C287" s="67" t="s">
        <v>197</v>
      </c>
      <c r="D287" s="78" t="s">
        <v>198</v>
      </c>
      <c r="E287" s="78" t="s">
        <v>14</v>
      </c>
      <c r="F287" s="67" t="s">
        <v>15</v>
      </c>
      <c r="G287" s="84" t="s">
        <v>836</v>
      </c>
      <c r="H287" s="87" t="s">
        <v>837</v>
      </c>
      <c r="I287" s="69" t="s">
        <v>18</v>
      </c>
      <c r="L287" s="94" t="str">
        <f t="shared" si="2"/>
        <v>No infirmation</v>
      </c>
      <c r="M287" s="94" t="str">
        <f t="shared" si="3"/>
        <v>20251219_snorkel_batch007__llm_navqa_onlinemind2web_websites__44</v>
      </c>
    </row>
    <row r="288" ht="15.75" customHeight="1">
      <c r="B288" s="77">
        <f t="shared" si="1"/>
        <v>1</v>
      </c>
      <c r="C288" s="67" t="s">
        <v>197</v>
      </c>
      <c r="D288" s="78" t="s">
        <v>198</v>
      </c>
      <c r="E288" s="78" t="s">
        <v>14</v>
      </c>
      <c r="F288" s="67" t="s">
        <v>15</v>
      </c>
      <c r="G288" s="84" t="s">
        <v>838</v>
      </c>
      <c r="H288" s="87" t="s">
        <v>839</v>
      </c>
      <c r="I288" s="69" t="s">
        <v>18</v>
      </c>
      <c r="L288" s="94" t="str">
        <f t="shared" si="2"/>
        <v>No infirmation</v>
      </c>
      <c r="M288" s="94" t="str">
        <f t="shared" si="3"/>
        <v>20251219_snorkel_batch009__llm_navqa_popular_websites__48</v>
      </c>
    </row>
    <row r="289" ht="15.75" customHeight="1">
      <c r="B289" s="77">
        <f t="shared" si="1"/>
        <v>1</v>
      </c>
      <c r="C289" s="67" t="s">
        <v>191</v>
      </c>
      <c r="D289" s="78" t="s">
        <v>192</v>
      </c>
      <c r="E289" s="78" t="s">
        <v>14</v>
      </c>
      <c r="F289" s="67" t="s">
        <v>27</v>
      </c>
      <c r="G289" s="71" t="s">
        <v>840</v>
      </c>
      <c r="H289" s="72" t="s">
        <v>841</v>
      </c>
      <c r="I289" s="69" t="s">
        <v>18</v>
      </c>
      <c r="L289" s="94" t="str">
        <f t="shared" si="2"/>
        <v>No infirmation</v>
      </c>
      <c r="M289" s="94" t="str">
        <f t="shared" si="3"/>
        <v>20251219_snorkel_batch001__llm_navqa_webvoyager_websites__103</v>
      </c>
    </row>
    <row r="290" ht="15.75" customHeight="1">
      <c r="B290" s="77">
        <f t="shared" si="1"/>
        <v>1</v>
      </c>
      <c r="F290" s="67" t="s">
        <v>27</v>
      </c>
      <c r="G290" s="71" t="s">
        <v>842</v>
      </c>
      <c r="H290" s="72" t="s">
        <v>843</v>
      </c>
      <c r="I290" s="69" t="s">
        <v>18</v>
      </c>
      <c r="L290" s="94" t="str">
        <f t="shared" si="2"/>
        <v>No infirmation</v>
      </c>
      <c r="M290" s="94" t="str">
        <f t="shared" si="3"/>
        <v>20251219_snorkel_batch007__llm_navqa_webvoyager_websites__77</v>
      </c>
    </row>
    <row r="291" ht="15.75" customHeight="1">
      <c r="B291" s="77">
        <f t="shared" si="1"/>
        <v>1</v>
      </c>
      <c r="F291" s="67" t="s">
        <v>27</v>
      </c>
      <c r="G291" s="71" t="s">
        <v>844</v>
      </c>
      <c r="H291" s="72" t="s">
        <v>845</v>
      </c>
      <c r="I291" s="69" t="s">
        <v>18</v>
      </c>
      <c r="L291" s="94" t="str">
        <f t="shared" si="2"/>
        <v>No infirmation</v>
      </c>
      <c r="M291" s="94" t="str">
        <f t="shared" si="3"/>
        <v>20251219_snorkel_batch009__llm_navqa_onlinemind2web_websites__140</v>
      </c>
    </row>
    <row r="292" ht="15.75" customHeight="1">
      <c r="B292" s="77">
        <f t="shared" si="1"/>
        <v>1</v>
      </c>
      <c r="C292" s="67" t="s">
        <v>195</v>
      </c>
      <c r="D292" s="78" t="s">
        <v>196</v>
      </c>
      <c r="E292" s="78" t="s">
        <v>14</v>
      </c>
      <c r="F292" s="67" t="s">
        <v>27</v>
      </c>
      <c r="G292" s="97" t="s">
        <v>846</v>
      </c>
      <c r="H292" s="79" t="s">
        <v>847</v>
      </c>
      <c r="I292" s="67" t="s">
        <v>18</v>
      </c>
      <c r="J292" s="67" t="s">
        <v>241</v>
      </c>
      <c r="K292" s="67">
        <v>42.0</v>
      </c>
      <c r="L292" s="94" t="str">
        <f t="shared" si="2"/>
        <v>No infirmation</v>
      </c>
      <c r="M292" s="94" t="str">
        <f t="shared" si="3"/>
        <v>20251219_snorkel_batch005__llm_navqa_webvoyager_websites__91</v>
      </c>
    </row>
    <row r="293" ht="15.75" customHeight="1">
      <c r="B293" s="77">
        <f t="shared" si="1"/>
        <v>1</v>
      </c>
      <c r="C293" s="67" t="s">
        <v>195</v>
      </c>
      <c r="D293" s="78" t="s">
        <v>196</v>
      </c>
      <c r="E293" s="78" t="s">
        <v>14</v>
      </c>
      <c r="F293" s="67" t="s">
        <v>27</v>
      </c>
      <c r="G293" s="81" t="s">
        <v>848</v>
      </c>
      <c r="H293" s="79" t="s">
        <v>849</v>
      </c>
      <c r="I293" s="67" t="s">
        <v>18</v>
      </c>
      <c r="L293" s="94" t="str">
        <f t="shared" si="2"/>
        <v>No infirmation</v>
      </c>
      <c r="M293" s="94" t="str">
        <f t="shared" si="3"/>
        <v>20251219_snorkel_batch008__llm_navqa_onlinemind2web_websites__69</v>
      </c>
    </row>
    <row r="294" ht="15.75" customHeight="1">
      <c r="B294" s="77">
        <f t="shared" si="1"/>
        <v>1</v>
      </c>
      <c r="C294" s="67" t="s">
        <v>195</v>
      </c>
      <c r="D294" s="78" t="s">
        <v>196</v>
      </c>
      <c r="E294" s="78" t="s">
        <v>14</v>
      </c>
      <c r="F294" s="67" t="s">
        <v>27</v>
      </c>
      <c r="G294" s="81" t="s">
        <v>850</v>
      </c>
      <c r="H294" s="79" t="s">
        <v>851</v>
      </c>
      <c r="I294" s="67" t="s">
        <v>18</v>
      </c>
      <c r="L294" s="94" t="str">
        <f t="shared" si="2"/>
        <v>No infirmation</v>
      </c>
      <c r="M294" s="94" t="str">
        <f t="shared" si="3"/>
        <v>20251219_snorkel_batch005__llm_navqa_webvoyager_websites__107</v>
      </c>
    </row>
    <row r="295" ht="15.75" customHeight="1">
      <c r="B295" s="77">
        <f t="shared" si="1"/>
        <v>1</v>
      </c>
      <c r="C295" s="67" t="s">
        <v>195</v>
      </c>
      <c r="D295" s="78" t="s">
        <v>196</v>
      </c>
      <c r="E295" s="78" t="s">
        <v>14</v>
      </c>
      <c r="F295" s="67" t="s">
        <v>27</v>
      </c>
      <c r="G295" s="81" t="s">
        <v>852</v>
      </c>
      <c r="H295" s="79" t="s">
        <v>853</v>
      </c>
      <c r="I295" s="67" t="s">
        <v>18</v>
      </c>
      <c r="J295" s="67" t="s">
        <v>854</v>
      </c>
      <c r="L295" s="94" t="str">
        <f t="shared" si="2"/>
        <v>No infirmation</v>
      </c>
      <c r="M295" s="94" t="str">
        <f t="shared" si="3"/>
        <v>20251219_snorkel_batch003__llm_navqa_onlinemind2web_websites__111</v>
      </c>
    </row>
    <row r="296" ht="15.75" customHeight="1">
      <c r="B296" s="77">
        <f t="shared" si="1"/>
        <v>1</v>
      </c>
      <c r="C296" s="67" t="s">
        <v>195</v>
      </c>
      <c r="D296" s="78" t="s">
        <v>196</v>
      </c>
      <c r="E296" s="78" t="s">
        <v>14</v>
      </c>
      <c r="F296" s="67" t="s">
        <v>27</v>
      </c>
      <c r="G296" s="81" t="s">
        <v>855</v>
      </c>
      <c r="H296" s="79" t="s">
        <v>856</v>
      </c>
      <c r="I296" s="67" t="s">
        <v>18</v>
      </c>
      <c r="J296" s="67" t="s">
        <v>857</v>
      </c>
      <c r="K296" s="67">
        <v>37.0</v>
      </c>
      <c r="L296" s="94" t="str">
        <f t="shared" si="2"/>
        <v>No infirmation</v>
      </c>
      <c r="M296" s="94" t="str">
        <f t="shared" si="3"/>
        <v>20251219_snorkel_batch006__llm_navqa_popular_websites__88</v>
      </c>
    </row>
    <row r="297" ht="15.75" customHeight="1">
      <c r="B297" s="77">
        <f t="shared" si="1"/>
        <v>1</v>
      </c>
      <c r="C297" s="67" t="s">
        <v>195</v>
      </c>
      <c r="D297" s="78" t="s">
        <v>196</v>
      </c>
      <c r="E297" s="78" t="s">
        <v>14</v>
      </c>
      <c r="F297" s="67" t="s">
        <v>27</v>
      </c>
      <c r="G297" s="97" t="s">
        <v>858</v>
      </c>
      <c r="H297" s="79" t="s">
        <v>859</v>
      </c>
      <c r="I297" s="67" t="s">
        <v>18</v>
      </c>
      <c r="J297" s="67" t="s">
        <v>860</v>
      </c>
      <c r="K297" s="67">
        <v>42.0</v>
      </c>
      <c r="L297" s="94" t="str">
        <f t="shared" si="2"/>
        <v>No infirmation</v>
      </c>
      <c r="M297" s="94" t="str">
        <f t="shared" si="3"/>
        <v>20251219_snorkel_batch002__llm_navqa_popular_websites__45</v>
      </c>
    </row>
    <row r="298" ht="15.75" customHeight="1">
      <c r="B298" s="77">
        <f t="shared" si="1"/>
        <v>1</v>
      </c>
      <c r="C298" s="67" t="s">
        <v>195</v>
      </c>
      <c r="D298" s="78" t="s">
        <v>196</v>
      </c>
      <c r="E298" s="78" t="s">
        <v>14</v>
      </c>
      <c r="F298" s="67" t="s">
        <v>27</v>
      </c>
      <c r="G298" s="81" t="s">
        <v>861</v>
      </c>
      <c r="H298" s="79" t="s">
        <v>862</v>
      </c>
      <c r="I298" s="67" t="s">
        <v>18</v>
      </c>
      <c r="J298" s="67" t="s">
        <v>772</v>
      </c>
      <c r="K298" s="67">
        <v>40.0</v>
      </c>
      <c r="L298" s="94" t="str">
        <f t="shared" si="2"/>
        <v>No infirmation</v>
      </c>
      <c r="M298" s="94" t="str">
        <f t="shared" si="3"/>
        <v>20251219_snorkel_batch008__llm_navqa_popular_websites__15</v>
      </c>
    </row>
    <row r="299" ht="15.75" customHeight="1">
      <c r="B299" s="77">
        <f t="shared" si="1"/>
        <v>1</v>
      </c>
      <c r="C299" s="67" t="s">
        <v>195</v>
      </c>
      <c r="D299" s="78" t="s">
        <v>196</v>
      </c>
      <c r="E299" s="78" t="s">
        <v>14</v>
      </c>
      <c r="F299" s="67" t="s">
        <v>27</v>
      </c>
      <c r="G299" s="81" t="s">
        <v>863</v>
      </c>
      <c r="H299" s="79" t="s">
        <v>864</v>
      </c>
      <c r="I299" s="67" t="s">
        <v>18</v>
      </c>
      <c r="L299" s="94" t="str">
        <f t="shared" si="2"/>
        <v>No infirmation</v>
      </c>
      <c r="M299" s="94" t="str">
        <f t="shared" si="3"/>
        <v>20251219_snorkel_batch004__llm_navqa_webvoyager_websites__69</v>
      </c>
    </row>
    <row r="300" ht="15.75" customHeight="1">
      <c r="B300" s="77">
        <f t="shared" si="1"/>
        <v>1</v>
      </c>
      <c r="C300" s="67" t="s">
        <v>195</v>
      </c>
      <c r="D300" s="78" t="s">
        <v>196</v>
      </c>
      <c r="E300" s="78" t="s">
        <v>14</v>
      </c>
      <c r="F300" s="67" t="s">
        <v>27</v>
      </c>
      <c r="G300" s="81" t="s">
        <v>865</v>
      </c>
      <c r="H300" s="79" t="s">
        <v>866</v>
      </c>
      <c r="I300" s="67" t="s">
        <v>18</v>
      </c>
      <c r="J300" s="67" t="s">
        <v>867</v>
      </c>
      <c r="K300" s="67">
        <v>37.0</v>
      </c>
      <c r="L300" s="94" t="str">
        <f t="shared" si="2"/>
        <v>No infirmation</v>
      </c>
      <c r="M300" s="94" t="str">
        <f t="shared" si="3"/>
        <v>20251219_snorkel_batch005__llm_navqa_popular_websites__132</v>
      </c>
    </row>
    <row r="301" ht="15.75" customHeight="1">
      <c r="B301" s="77">
        <f t="shared" si="1"/>
        <v>1</v>
      </c>
      <c r="C301" s="67" t="s">
        <v>195</v>
      </c>
      <c r="D301" s="78" t="s">
        <v>196</v>
      </c>
      <c r="E301" s="78" t="s">
        <v>14</v>
      </c>
      <c r="F301" s="67" t="s">
        <v>27</v>
      </c>
      <c r="G301" s="81" t="s">
        <v>868</v>
      </c>
      <c r="H301" s="79" t="s">
        <v>869</v>
      </c>
      <c r="I301" s="67" t="s">
        <v>18</v>
      </c>
      <c r="J301" s="81" t="s">
        <v>241</v>
      </c>
      <c r="K301" s="67">
        <v>42.0</v>
      </c>
      <c r="L301" s="94" t="str">
        <f t="shared" si="2"/>
        <v>No infirmation</v>
      </c>
      <c r="M301" s="94" t="str">
        <f t="shared" si="3"/>
        <v>20251219_snorkel_batch006__llm_navqa_webvoyager_websites__3</v>
      </c>
    </row>
    <row r="302" ht="15.75" customHeight="1">
      <c r="B302" s="77">
        <f t="shared" si="1"/>
        <v>1</v>
      </c>
      <c r="C302" s="67" t="s">
        <v>12</v>
      </c>
      <c r="D302" s="78" t="s">
        <v>13</v>
      </c>
      <c r="E302" s="78" t="s">
        <v>14</v>
      </c>
      <c r="F302" s="67" t="s">
        <v>27</v>
      </c>
      <c r="G302" s="81" t="s">
        <v>28</v>
      </c>
      <c r="H302" s="82" t="s">
        <v>29</v>
      </c>
      <c r="I302" s="67" t="s">
        <v>18</v>
      </c>
      <c r="L302" s="94" t="str">
        <f t="shared" si="2"/>
        <v>No infirmation</v>
      </c>
      <c r="M302" s="94" t="str">
        <f t="shared" si="3"/>
        <v>20251219_snorkel_batch002__llm_navqa_webvoyager_websites__76</v>
      </c>
    </row>
    <row r="303" ht="15.75" customHeight="1">
      <c r="B303" s="77">
        <f t="shared" si="1"/>
        <v>1</v>
      </c>
      <c r="C303" s="67" t="s">
        <v>12</v>
      </c>
      <c r="D303" s="78" t="s">
        <v>13</v>
      </c>
      <c r="E303" s="78" t="s">
        <v>14</v>
      </c>
      <c r="F303" s="67" t="s">
        <v>27</v>
      </c>
      <c r="G303" s="81" t="s">
        <v>870</v>
      </c>
      <c r="H303" s="83" t="s">
        <v>871</v>
      </c>
      <c r="I303" s="67" t="s">
        <v>18</v>
      </c>
      <c r="L303" s="94" t="str">
        <f t="shared" si="2"/>
        <v>No infirmation</v>
      </c>
      <c r="M303" s="94" t="str">
        <f t="shared" si="3"/>
        <v>20251219_snorkel_batch007__llm_navqa_webvoyager_websites__87</v>
      </c>
    </row>
    <row r="304" ht="15.75" customHeight="1">
      <c r="B304" s="77">
        <f t="shared" si="1"/>
        <v>1</v>
      </c>
      <c r="C304" s="67" t="s">
        <v>12</v>
      </c>
      <c r="D304" s="78" t="s">
        <v>13</v>
      </c>
      <c r="E304" s="78" t="s">
        <v>14</v>
      </c>
      <c r="F304" s="67" t="s">
        <v>27</v>
      </c>
      <c r="G304" s="67" t="s">
        <v>31</v>
      </c>
      <c r="H304" s="83" t="s">
        <v>32</v>
      </c>
      <c r="I304" s="67" t="s">
        <v>18</v>
      </c>
      <c r="L304" s="94" t="str">
        <f t="shared" si="2"/>
        <v>No infirmation</v>
      </c>
      <c r="M304" s="94" t="str">
        <f t="shared" si="3"/>
        <v>20251219_snorkel_batch003__llm_navqa_popular_websites__29</v>
      </c>
    </row>
    <row r="305" ht="15.75" customHeight="1">
      <c r="B305" s="77">
        <f t="shared" si="1"/>
        <v>1</v>
      </c>
      <c r="C305" s="67" t="s">
        <v>199</v>
      </c>
      <c r="D305" s="78" t="s">
        <v>200</v>
      </c>
      <c r="E305" s="78" t="s">
        <v>14</v>
      </c>
      <c r="F305" s="67" t="s">
        <v>27</v>
      </c>
      <c r="G305" s="67" t="s">
        <v>872</v>
      </c>
      <c r="H305" s="83" t="s">
        <v>873</v>
      </c>
      <c r="I305" s="67" t="s">
        <v>18</v>
      </c>
      <c r="L305" s="94" t="str">
        <f t="shared" si="2"/>
        <v>No infirmation</v>
      </c>
      <c r="M305" s="94" t="str">
        <f t="shared" si="3"/>
        <v>20251121_snorkel_batch001__webvoyager_like__435</v>
      </c>
    </row>
    <row r="306" ht="15.75" customHeight="1">
      <c r="B306" s="77">
        <f t="shared" si="1"/>
        <v>1</v>
      </c>
      <c r="C306" s="67" t="s">
        <v>199</v>
      </c>
      <c r="D306" s="78" t="s">
        <v>200</v>
      </c>
      <c r="E306" s="78" t="s">
        <v>14</v>
      </c>
      <c r="F306" s="67" t="s">
        <v>27</v>
      </c>
      <c r="G306" s="67" t="s">
        <v>874</v>
      </c>
      <c r="H306" s="83" t="s">
        <v>875</v>
      </c>
      <c r="I306" s="67" t="s">
        <v>18</v>
      </c>
      <c r="L306" s="94" t="str">
        <f t="shared" si="2"/>
        <v>No infirmation</v>
      </c>
      <c r="M306" s="94" t="str">
        <f t="shared" si="3"/>
        <v>20251219_snorkel_batch004__llm_navqa_webvoyager_websites__68</v>
      </c>
    </row>
    <row r="307" ht="15.75" customHeight="1">
      <c r="B307" s="77">
        <f t="shared" si="1"/>
        <v>1</v>
      </c>
      <c r="C307" s="67" t="s">
        <v>199</v>
      </c>
      <c r="D307" s="78" t="s">
        <v>200</v>
      </c>
      <c r="E307" s="78" t="s">
        <v>14</v>
      </c>
      <c r="F307" s="67" t="s">
        <v>27</v>
      </c>
      <c r="G307" s="67" t="s">
        <v>876</v>
      </c>
      <c r="H307" s="83" t="s">
        <v>877</v>
      </c>
      <c r="I307" s="67" t="s">
        <v>18</v>
      </c>
      <c r="L307" s="94" t="str">
        <f t="shared" si="2"/>
        <v>No infirmation</v>
      </c>
      <c r="M307" s="94" t="str">
        <f t="shared" si="3"/>
        <v>20251121_snorkel_batch001__webvoyager_like__84</v>
      </c>
    </row>
    <row r="308" ht="15.75" customHeight="1">
      <c r="B308" s="77">
        <f t="shared" si="1"/>
        <v>1</v>
      </c>
      <c r="C308" s="67" t="s">
        <v>199</v>
      </c>
      <c r="D308" s="78" t="s">
        <v>200</v>
      </c>
      <c r="E308" s="78" t="s">
        <v>14</v>
      </c>
      <c r="F308" s="67" t="s">
        <v>27</v>
      </c>
      <c r="G308" s="67" t="s">
        <v>878</v>
      </c>
      <c r="H308" s="83" t="s">
        <v>879</v>
      </c>
      <c r="I308" s="67" t="s">
        <v>18</v>
      </c>
      <c r="L308" s="94" t="str">
        <f t="shared" si="2"/>
        <v>No infirmation</v>
      </c>
      <c r="M308" s="94" t="str">
        <f t="shared" si="3"/>
        <v>20251219_snorkel_batch010__llm_navqa_onlinemind2web_websites__35</v>
      </c>
    </row>
    <row r="309" ht="15.75" customHeight="1">
      <c r="B309" s="77">
        <f t="shared" si="1"/>
        <v>1</v>
      </c>
      <c r="C309" s="67" t="s">
        <v>12</v>
      </c>
      <c r="D309" s="78" t="s">
        <v>13</v>
      </c>
      <c r="E309" s="78" t="s">
        <v>14</v>
      </c>
      <c r="F309" s="67" t="s">
        <v>27</v>
      </c>
      <c r="G309" s="81" t="s">
        <v>880</v>
      </c>
      <c r="H309" s="79" t="s">
        <v>881</v>
      </c>
      <c r="I309" s="67" t="s">
        <v>18</v>
      </c>
      <c r="L309" s="94" t="str">
        <f t="shared" si="2"/>
        <v>No infirmation</v>
      </c>
      <c r="M309" s="94" t="str">
        <f t="shared" si="3"/>
        <v>20251219_snorkel_batch007__llm_navqa_webvoyager_websites__51</v>
      </c>
    </row>
    <row r="310" ht="15.75" customHeight="1">
      <c r="B310" s="77">
        <f t="shared" si="1"/>
        <v>1</v>
      </c>
      <c r="C310" s="67" t="s">
        <v>12</v>
      </c>
      <c r="D310" s="78" t="s">
        <v>13</v>
      </c>
      <c r="E310" s="78" t="s">
        <v>14</v>
      </c>
      <c r="F310" s="67" t="s">
        <v>27</v>
      </c>
      <c r="G310" s="67" t="s">
        <v>882</v>
      </c>
      <c r="H310" s="79" t="s">
        <v>883</v>
      </c>
      <c r="I310" s="67" t="s">
        <v>18</v>
      </c>
      <c r="J310" s="67" t="s">
        <v>884</v>
      </c>
      <c r="K310" s="67">
        <v>40.0</v>
      </c>
      <c r="L310" s="94" t="str">
        <f t="shared" si="2"/>
        <v>No infirmation</v>
      </c>
      <c r="M310" s="94" t="str">
        <f t="shared" si="3"/>
        <v>20251219_snorkel_batch008__llm_navqa_webvoyager_websites__164</v>
      </c>
    </row>
    <row r="311" ht="15.75" customHeight="1">
      <c r="B311" s="77">
        <f t="shared" si="1"/>
        <v>1</v>
      </c>
      <c r="C311" s="67" t="s">
        <v>12</v>
      </c>
      <c r="D311" s="78" t="s">
        <v>13</v>
      </c>
      <c r="E311" s="78" t="s">
        <v>14</v>
      </c>
      <c r="F311" s="67" t="s">
        <v>27</v>
      </c>
      <c r="G311" s="81" t="s">
        <v>885</v>
      </c>
      <c r="H311" s="79" t="s">
        <v>886</v>
      </c>
      <c r="I311" s="67" t="s">
        <v>18</v>
      </c>
      <c r="L311" s="94" t="str">
        <f t="shared" si="2"/>
        <v>No infirmation</v>
      </c>
      <c r="M311" s="94" t="str">
        <f t="shared" si="3"/>
        <v>20251219_snorkel_batch005__llm_navqa_webvoyager_websites__100</v>
      </c>
    </row>
    <row r="312" ht="15.75" customHeight="1">
      <c r="B312" s="77">
        <f t="shared" si="1"/>
        <v>1</v>
      </c>
      <c r="C312" s="67" t="s">
        <v>12</v>
      </c>
      <c r="D312" s="78" t="s">
        <v>13</v>
      </c>
      <c r="E312" s="78" t="s">
        <v>14</v>
      </c>
      <c r="F312" s="67" t="s">
        <v>27</v>
      </c>
      <c r="G312" s="81" t="s">
        <v>887</v>
      </c>
      <c r="H312" s="79" t="s">
        <v>888</v>
      </c>
      <c r="I312" s="67" t="s">
        <v>18</v>
      </c>
      <c r="L312" s="94" t="str">
        <f t="shared" si="2"/>
        <v>No infirmation</v>
      </c>
      <c r="M312" s="94" t="str">
        <f t="shared" si="3"/>
        <v>20251219_snorkel_batch006__llm_navqa_webvoyager_websites__52</v>
      </c>
    </row>
    <row r="313" ht="15.75" customHeight="1">
      <c r="B313" s="77">
        <f t="shared" si="1"/>
        <v>1</v>
      </c>
      <c r="C313" s="67" t="s">
        <v>12</v>
      </c>
      <c r="D313" s="78" t="s">
        <v>13</v>
      </c>
      <c r="E313" s="78" t="s">
        <v>14</v>
      </c>
      <c r="F313" s="67" t="s">
        <v>27</v>
      </c>
      <c r="G313" s="81" t="s">
        <v>34</v>
      </c>
      <c r="H313" s="79" t="s">
        <v>35</v>
      </c>
      <c r="I313" s="67" t="s">
        <v>18</v>
      </c>
      <c r="J313" s="67" t="s">
        <v>36</v>
      </c>
      <c r="K313" s="67">
        <v>40.0</v>
      </c>
      <c r="L313" s="94" t="str">
        <f t="shared" si="2"/>
        <v>No infirmation</v>
      </c>
      <c r="M313" s="94" t="str">
        <f t="shared" si="3"/>
        <v>20251219_snorkel_batch006__llm_navqa_onlinemind2web_websites__25</v>
      </c>
    </row>
    <row r="314" ht="15.75" customHeight="1">
      <c r="B314" s="77">
        <f t="shared" si="1"/>
        <v>1</v>
      </c>
      <c r="C314" s="67" t="s">
        <v>12</v>
      </c>
      <c r="D314" s="78" t="s">
        <v>13</v>
      </c>
      <c r="E314" s="78" t="s">
        <v>14</v>
      </c>
      <c r="F314" s="67" t="s">
        <v>27</v>
      </c>
      <c r="G314" s="81" t="s">
        <v>889</v>
      </c>
      <c r="H314" s="79" t="s">
        <v>890</v>
      </c>
      <c r="I314" s="67" t="s">
        <v>18</v>
      </c>
      <c r="L314" s="94" t="str">
        <f t="shared" si="2"/>
        <v>No infirmation</v>
      </c>
      <c r="M314" s="94" t="str">
        <f t="shared" si="3"/>
        <v>20251219_snorkel_batch004__llm_navqa_onlinemind2web_websites__91</v>
      </c>
    </row>
    <row r="315" ht="15.75" customHeight="1">
      <c r="B315" s="77">
        <f t="shared" si="1"/>
        <v>1</v>
      </c>
      <c r="C315" s="67" t="s">
        <v>12</v>
      </c>
      <c r="D315" s="78" t="s">
        <v>13</v>
      </c>
      <c r="E315" s="78" t="s">
        <v>14</v>
      </c>
      <c r="F315" s="67" t="s">
        <v>27</v>
      </c>
      <c r="G315" s="81" t="s">
        <v>891</v>
      </c>
      <c r="H315" s="79" t="s">
        <v>892</v>
      </c>
      <c r="I315" s="67" t="s">
        <v>18</v>
      </c>
      <c r="L315" s="94" t="str">
        <f t="shared" si="2"/>
        <v>No infirmation</v>
      </c>
      <c r="M315" s="94" t="str">
        <f t="shared" si="3"/>
        <v>20251219_snorkel_batch004__llm_navqa_onlinemind2web_websites__127</v>
      </c>
    </row>
    <row r="316" ht="15.75" customHeight="1">
      <c r="B316" s="77">
        <f t="shared" si="1"/>
        <v>1</v>
      </c>
      <c r="C316" s="67" t="s">
        <v>12</v>
      </c>
      <c r="D316" s="78" t="s">
        <v>13</v>
      </c>
      <c r="E316" s="78" t="s">
        <v>14</v>
      </c>
      <c r="F316" s="67" t="s">
        <v>27</v>
      </c>
      <c r="G316" s="81" t="s">
        <v>893</v>
      </c>
      <c r="H316" s="82" t="s">
        <v>894</v>
      </c>
      <c r="I316" s="67" t="s">
        <v>18</v>
      </c>
      <c r="L316" s="94" t="str">
        <f t="shared" si="2"/>
        <v>No infirmation</v>
      </c>
      <c r="M316" s="94" t="str">
        <f t="shared" si="3"/>
        <v>20251219_snorkel_batch004__llm_navqa_onlinemind2web_websites__119</v>
      </c>
    </row>
    <row r="317" ht="15.75" customHeight="1">
      <c r="B317" s="77">
        <f t="shared" si="1"/>
        <v>1</v>
      </c>
      <c r="C317" s="67" t="s">
        <v>193</v>
      </c>
      <c r="D317" s="78" t="s">
        <v>194</v>
      </c>
      <c r="E317" s="78" t="s">
        <v>14</v>
      </c>
      <c r="F317" s="67" t="s">
        <v>27</v>
      </c>
      <c r="G317" s="81" t="s">
        <v>895</v>
      </c>
      <c r="H317" s="79" t="s">
        <v>896</v>
      </c>
      <c r="I317" s="67" t="s">
        <v>429</v>
      </c>
      <c r="J317" s="67" t="s">
        <v>854</v>
      </c>
      <c r="L317" s="94" t="str">
        <f t="shared" si="2"/>
        <v>No infirmation</v>
      </c>
      <c r="M317" s="94" t="str">
        <f t="shared" si="3"/>
        <v>20251126_snorkel_batch013__llm_step_popular_websites__124</v>
      </c>
    </row>
    <row r="318" ht="15.75" customHeight="1">
      <c r="B318" s="77">
        <f t="shared" si="1"/>
        <v>1</v>
      </c>
      <c r="C318" s="67" t="s">
        <v>193</v>
      </c>
      <c r="D318" s="78" t="s">
        <v>194</v>
      </c>
      <c r="E318" s="78" t="s">
        <v>14</v>
      </c>
      <c r="F318" s="67" t="s">
        <v>27</v>
      </c>
      <c r="G318" s="81" t="s">
        <v>897</v>
      </c>
      <c r="H318" s="79" t="s">
        <v>898</v>
      </c>
      <c r="I318" s="67" t="s">
        <v>18</v>
      </c>
      <c r="L318" s="94" t="str">
        <f t="shared" si="2"/>
        <v>No infirmation</v>
      </c>
      <c r="M318" s="94" t="str">
        <f t="shared" si="3"/>
        <v>20251219_snorkel_batch001__llm_navqa_popular_websites__26</v>
      </c>
    </row>
    <row r="319" ht="15.75" customHeight="1">
      <c r="B319" s="77">
        <f t="shared" si="1"/>
        <v>1</v>
      </c>
      <c r="C319" s="67" t="s">
        <v>193</v>
      </c>
      <c r="D319" s="78" t="s">
        <v>194</v>
      </c>
      <c r="E319" s="78" t="s">
        <v>14</v>
      </c>
      <c r="F319" s="67" t="s">
        <v>27</v>
      </c>
      <c r="G319" s="81" t="s">
        <v>899</v>
      </c>
      <c r="H319" s="79" t="s">
        <v>900</v>
      </c>
      <c r="I319" s="67" t="s">
        <v>18</v>
      </c>
      <c r="J319" s="67" t="s">
        <v>36</v>
      </c>
      <c r="K319" s="67">
        <v>40.0</v>
      </c>
      <c r="L319" s="94" t="str">
        <f t="shared" si="2"/>
        <v>No infirmation</v>
      </c>
      <c r="M319" s="94" t="str">
        <f t="shared" si="3"/>
        <v>20251219_snorkel_batch009__llm_navqa_onlinemind2web_websites__50</v>
      </c>
    </row>
    <row r="320" ht="15.75" customHeight="1">
      <c r="B320" s="77">
        <f t="shared" si="1"/>
        <v>1</v>
      </c>
      <c r="C320" s="67" t="s">
        <v>193</v>
      </c>
      <c r="D320" s="78" t="s">
        <v>194</v>
      </c>
      <c r="E320" s="78" t="s">
        <v>14</v>
      </c>
      <c r="F320" s="67" t="s">
        <v>27</v>
      </c>
      <c r="G320" s="81" t="s">
        <v>901</v>
      </c>
      <c r="H320" s="79" t="s">
        <v>902</v>
      </c>
      <c r="I320" s="67" t="s">
        <v>18</v>
      </c>
      <c r="J320" s="67" t="s">
        <v>903</v>
      </c>
      <c r="L320" s="94" t="str">
        <f t="shared" si="2"/>
        <v>No infirmation</v>
      </c>
      <c r="M320" s="94" t="str">
        <f t="shared" si="3"/>
        <v>20251219_snorkel_batch010__llm_navqa_popular_websites__70</v>
      </c>
    </row>
    <row r="321" ht="15.75" customHeight="1">
      <c r="B321" s="77">
        <f t="shared" si="1"/>
        <v>1</v>
      </c>
      <c r="C321" s="67" t="s">
        <v>193</v>
      </c>
      <c r="D321" s="78" t="s">
        <v>194</v>
      </c>
      <c r="E321" s="78" t="s">
        <v>14</v>
      </c>
      <c r="F321" s="67" t="s">
        <v>27</v>
      </c>
      <c r="G321" s="81" t="s">
        <v>904</v>
      </c>
      <c r="H321" s="79" t="s">
        <v>905</v>
      </c>
      <c r="I321" s="67" t="s">
        <v>18</v>
      </c>
      <c r="J321" s="67" t="s">
        <v>906</v>
      </c>
      <c r="K321" s="67">
        <v>42.0</v>
      </c>
      <c r="L321" s="94" t="str">
        <f t="shared" si="2"/>
        <v>No infirmation</v>
      </c>
      <c r="M321" s="94" t="str">
        <f t="shared" si="3"/>
        <v>20251219_snorkel_batch003__llm_navqa_onlinemind2web_websites__157</v>
      </c>
    </row>
    <row r="322" ht="15.75" customHeight="1">
      <c r="B322" s="77">
        <f t="shared" si="1"/>
        <v>1</v>
      </c>
      <c r="C322" s="67" t="s">
        <v>193</v>
      </c>
      <c r="D322" s="78" t="s">
        <v>194</v>
      </c>
      <c r="E322" s="78" t="s">
        <v>14</v>
      </c>
      <c r="F322" s="67" t="s">
        <v>27</v>
      </c>
      <c r="G322" s="81" t="s">
        <v>907</v>
      </c>
      <c r="H322" s="79" t="s">
        <v>908</v>
      </c>
      <c r="I322" s="67" t="s">
        <v>429</v>
      </c>
      <c r="J322" s="67" t="s">
        <v>854</v>
      </c>
      <c r="L322" s="94" t="str">
        <f t="shared" si="2"/>
        <v>No infirmation</v>
      </c>
      <c r="M322" s="94" t="str">
        <f t="shared" si="3"/>
        <v>20251121_snorkel_batch001__webvoyager_like__355</v>
      </c>
    </row>
    <row r="323" ht="15.75" customHeight="1">
      <c r="B323" s="77">
        <f t="shared" si="1"/>
        <v>1</v>
      </c>
      <c r="C323" s="67" t="s">
        <v>193</v>
      </c>
      <c r="D323" s="78" t="s">
        <v>194</v>
      </c>
      <c r="E323" s="78" t="s">
        <v>14</v>
      </c>
      <c r="F323" s="67" t="s">
        <v>27</v>
      </c>
      <c r="G323" s="81" t="s">
        <v>909</v>
      </c>
      <c r="H323" s="79" t="s">
        <v>910</v>
      </c>
      <c r="I323" s="67" t="s">
        <v>18</v>
      </c>
      <c r="J323" s="67" t="s">
        <v>36</v>
      </c>
      <c r="K323" s="67">
        <v>40.0</v>
      </c>
      <c r="L323" s="94" t="str">
        <f t="shared" si="2"/>
        <v>No infirmation</v>
      </c>
      <c r="M323" s="94" t="str">
        <f t="shared" si="3"/>
        <v>20251219_snorkel_batch006__llm_navqa_webvoyager_websites__66</v>
      </c>
    </row>
    <row r="324" ht="15.75" customHeight="1">
      <c r="B324" s="77">
        <f t="shared" si="1"/>
        <v>1</v>
      </c>
      <c r="C324" s="67" t="s">
        <v>193</v>
      </c>
      <c r="D324" s="78" t="s">
        <v>194</v>
      </c>
      <c r="E324" s="78" t="s">
        <v>14</v>
      </c>
      <c r="F324" s="67" t="s">
        <v>27</v>
      </c>
      <c r="G324" s="81" t="s">
        <v>911</v>
      </c>
      <c r="H324" s="79" t="s">
        <v>912</v>
      </c>
      <c r="I324" s="67" t="s">
        <v>18</v>
      </c>
      <c r="L324" s="94" t="str">
        <f t="shared" si="2"/>
        <v>No infirmation</v>
      </c>
      <c r="M324" s="94" t="str">
        <f t="shared" si="3"/>
        <v>20251219_snorkel_batch010__llm_navqa_onlinemind2web_websites__42</v>
      </c>
    </row>
    <row r="325" ht="15.75" customHeight="1">
      <c r="B325" s="77">
        <f t="shared" si="1"/>
        <v>1</v>
      </c>
      <c r="C325" s="67" t="s">
        <v>193</v>
      </c>
      <c r="D325" s="78" t="s">
        <v>194</v>
      </c>
      <c r="E325" s="78" t="s">
        <v>14</v>
      </c>
      <c r="F325" s="67" t="s">
        <v>27</v>
      </c>
      <c r="G325" s="81" t="s">
        <v>913</v>
      </c>
      <c r="H325" s="79" t="s">
        <v>914</v>
      </c>
      <c r="I325" s="67" t="s">
        <v>18</v>
      </c>
      <c r="J325" s="67" t="s">
        <v>36</v>
      </c>
      <c r="K325" s="67">
        <v>40.0</v>
      </c>
      <c r="L325" s="94" t="str">
        <f t="shared" si="2"/>
        <v>No infirmation</v>
      </c>
      <c r="M325" s="94" t="str">
        <f t="shared" si="3"/>
        <v>20251219_snorkel_batch003__llm_navqa_onlinemind2web_websites__98</v>
      </c>
    </row>
    <row r="326" ht="15.75" customHeight="1">
      <c r="B326" s="77">
        <f t="shared" si="1"/>
        <v>1</v>
      </c>
      <c r="C326" s="67" t="s">
        <v>193</v>
      </c>
      <c r="D326" s="78" t="s">
        <v>194</v>
      </c>
      <c r="E326" s="78" t="s">
        <v>14</v>
      </c>
      <c r="F326" s="67" t="s">
        <v>27</v>
      </c>
      <c r="G326" s="81" t="s">
        <v>915</v>
      </c>
      <c r="H326" s="79" t="s">
        <v>916</v>
      </c>
      <c r="I326" s="67" t="s">
        <v>18</v>
      </c>
      <c r="L326" s="94" t="str">
        <f t="shared" si="2"/>
        <v>No infirmation</v>
      </c>
      <c r="M326" s="94" t="str">
        <f t="shared" si="3"/>
        <v>20251219_snorkel_batch004__llm_navqa_popular_websites__65</v>
      </c>
    </row>
    <row r="327" ht="15.75" customHeight="1">
      <c r="B327" s="77">
        <f t="shared" si="1"/>
        <v>1</v>
      </c>
      <c r="C327" s="67" t="s">
        <v>193</v>
      </c>
      <c r="D327" s="78" t="s">
        <v>194</v>
      </c>
      <c r="E327" s="78" t="s">
        <v>14</v>
      </c>
      <c r="F327" s="67" t="s">
        <v>27</v>
      </c>
      <c r="G327" s="81" t="s">
        <v>917</v>
      </c>
      <c r="H327" s="79" t="s">
        <v>918</v>
      </c>
      <c r="I327" s="67" t="s">
        <v>18</v>
      </c>
      <c r="L327" s="94" t="str">
        <f t="shared" si="2"/>
        <v>No infirmation</v>
      </c>
      <c r="M327" s="94" t="str">
        <f t="shared" si="3"/>
        <v>20251219_snorkel_batch009__llm_navqa_webvoyager_websites__169</v>
      </c>
    </row>
    <row r="328" ht="15.75" customHeight="1">
      <c r="B328" s="77">
        <f t="shared" si="1"/>
        <v>1</v>
      </c>
      <c r="C328" s="67" t="s">
        <v>193</v>
      </c>
      <c r="D328" s="78" t="s">
        <v>194</v>
      </c>
      <c r="E328" s="78" t="s">
        <v>14</v>
      </c>
      <c r="F328" s="67" t="s">
        <v>27</v>
      </c>
      <c r="G328" s="81" t="s">
        <v>919</v>
      </c>
      <c r="H328" s="79" t="s">
        <v>920</v>
      </c>
      <c r="I328" s="67" t="s">
        <v>429</v>
      </c>
      <c r="J328" s="67" t="s">
        <v>385</v>
      </c>
      <c r="K328" s="67">
        <v>41.0</v>
      </c>
      <c r="L328" s="94" t="str">
        <f t="shared" si="2"/>
        <v>No infirmation</v>
      </c>
      <c r="M328" s="94" t="str">
        <f t="shared" si="3"/>
        <v>20251219_snorkel_batch009__llm_navqa_popular_websites__137</v>
      </c>
    </row>
    <row r="329" ht="15.75" customHeight="1">
      <c r="B329" s="77">
        <f t="shared" si="1"/>
        <v>1</v>
      </c>
      <c r="C329" s="67" t="s">
        <v>193</v>
      </c>
      <c r="D329" s="78" t="s">
        <v>194</v>
      </c>
      <c r="E329" s="78" t="s">
        <v>14</v>
      </c>
      <c r="F329" s="67" t="s">
        <v>27</v>
      </c>
      <c r="G329" s="81" t="s">
        <v>921</v>
      </c>
      <c r="H329" s="79" t="s">
        <v>922</v>
      </c>
      <c r="I329" s="67" t="s">
        <v>18</v>
      </c>
      <c r="L329" s="94" t="str">
        <f t="shared" si="2"/>
        <v>No infirmation</v>
      </c>
      <c r="M329" s="94" t="str">
        <f t="shared" si="3"/>
        <v>20251219_snorkel_batch005__llm_navqa_webvoyager_websites__48</v>
      </c>
    </row>
    <row r="330" ht="15.75" customHeight="1">
      <c r="B330" s="77">
        <f t="shared" si="1"/>
        <v>1</v>
      </c>
      <c r="C330" s="67" t="s">
        <v>193</v>
      </c>
      <c r="D330" s="78" t="s">
        <v>194</v>
      </c>
      <c r="E330" s="78" t="s">
        <v>14</v>
      </c>
      <c r="F330" s="67" t="s">
        <v>27</v>
      </c>
      <c r="G330" s="81" t="s">
        <v>923</v>
      </c>
      <c r="H330" s="79" t="s">
        <v>924</v>
      </c>
      <c r="I330" s="67" t="s">
        <v>18</v>
      </c>
      <c r="L330" s="94" t="str">
        <f t="shared" si="2"/>
        <v>No infirmation</v>
      </c>
      <c r="M330" s="94" t="str">
        <f t="shared" si="3"/>
        <v>20251219_snorkel_batch006__llm_navqa_onlinemind2web_websites__54</v>
      </c>
    </row>
    <row r="331" ht="15.75" customHeight="1">
      <c r="B331" s="77">
        <f t="shared" si="1"/>
        <v>1</v>
      </c>
      <c r="C331" s="67" t="s">
        <v>193</v>
      </c>
      <c r="D331" s="78" t="s">
        <v>194</v>
      </c>
      <c r="E331" s="78" t="s">
        <v>14</v>
      </c>
      <c r="F331" s="67" t="s">
        <v>27</v>
      </c>
      <c r="G331" s="81" t="s">
        <v>925</v>
      </c>
      <c r="H331" s="79" t="s">
        <v>926</v>
      </c>
      <c r="I331" s="67" t="s">
        <v>429</v>
      </c>
      <c r="J331" s="67" t="s">
        <v>927</v>
      </c>
      <c r="L331" s="94" t="str">
        <f t="shared" si="2"/>
        <v>No infirmation</v>
      </c>
      <c r="M331" s="94" t="str">
        <f t="shared" si="3"/>
        <v>20251219_snorkel_batch003__llm_navqa_onlinemind2web_websites__132</v>
      </c>
    </row>
    <row r="332" ht="15.75" customHeight="1">
      <c r="B332" s="77">
        <f t="shared" si="1"/>
        <v>1</v>
      </c>
      <c r="C332" s="67" t="s">
        <v>197</v>
      </c>
      <c r="D332" s="78" t="s">
        <v>198</v>
      </c>
      <c r="E332" s="78" t="s">
        <v>14</v>
      </c>
      <c r="F332" s="67" t="s">
        <v>27</v>
      </c>
      <c r="G332" s="95" t="s">
        <v>928</v>
      </c>
      <c r="H332" s="87" t="s">
        <v>929</v>
      </c>
      <c r="I332" s="69" t="s">
        <v>18</v>
      </c>
      <c r="L332" s="94" t="str">
        <f t="shared" si="2"/>
        <v>No infirmation</v>
      </c>
      <c r="M332" s="94" t="str">
        <f t="shared" si="3"/>
        <v>20251219_snorkel_batch002__llm_navqa_onlinemind2web_websites__161</v>
      </c>
    </row>
    <row r="333" ht="15.75" customHeight="1">
      <c r="B333" s="77">
        <f t="shared" si="1"/>
        <v>1</v>
      </c>
      <c r="C333" s="67" t="s">
        <v>197</v>
      </c>
      <c r="D333" s="78" t="s">
        <v>198</v>
      </c>
      <c r="E333" s="78" t="s">
        <v>14</v>
      </c>
      <c r="F333" s="67" t="s">
        <v>27</v>
      </c>
      <c r="G333" s="95" t="s">
        <v>930</v>
      </c>
      <c r="H333" s="87" t="s">
        <v>931</v>
      </c>
      <c r="I333" s="69" t="s">
        <v>18</v>
      </c>
      <c r="L333" s="94" t="str">
        <f t="shared" si="2"/>
        <v>No infirmation</v>
      </c>
      <c r="M333" s="94" t="str">
        <f t="shared" si="3"/>
        <v>20251219_snorkel_batch007__llm_navqa_webvoyager_websites__135</v>
      </c>
    </row>
    <row r="334" ht="15.75" customHeight="1">
      <c r="B334" s="77">
        <f t="shared" si="1"/>
        <v>1</v>
      </c>
      <c r="C334" s="67" t="s">
        <v>197</v>
      </c>
      <c r="D334" s="78" t="s">
        <v>198</v>
      </c>
      <c r="E334" s="78" t="s">
        <v>14</v>
      </c>
      <c r="F334" s="67" t="s">
        <v>27</v>
      </c>
      <c r="G334" s="95" t="s">
        <v>932</v>
      </c>
      <c r="H334" s="87" t="s">
        <v>933</v>
      </c>
      <c r="I334" s="69" t="s">
        <v>18</v>
      </c>
      <c r="L334" s="94" t="str">
        <f t="shared" si="2"/>
        <v>No infirmation</v>
      </c>
      <c r="M334" s="94" t="str">
        <f t="shared" si="3"/>
        <v>20251219_snorkel_batch002__llm_navqa_onlinemind2web_websites__159</v>
      </c>
    </row>
    <row r="335" ht="15.75" customHeight="1">
      <c r="B335" s="77">
        <f t="shared" si="1"/>
        <v>1</v>
      </c>
      <c r="C335" s="67" t="s">
        <v>197</v>
      </c>
      <c r="D335" s="78" t="s">
        <v>198</v>
      </c>
      <c r="E335" s="78" t="s">
        <v>14</v>
      </c>
      <c r="F335" s="67" t="s">
        <v>27</v>
      </c>
      <c r="G335" s="95" t="s">
        <v>934</v>
      </c>
      <c r="H335" s="87" t="s">
        <v>935</v>
      </c>
      <c r="I335" s="69" t="s">
        <v>18</v>
      </c>
      <c r="L335" s="94" t="str">
        <f t="shared" si="2"/>
        <v>No infirmation</v>
      </c>
      <c r="M335" s="94" t="str">
        <f t="shared" si="3"/>
        <v>20251219_snorkel_batch005__llm_navqa_popular_websites__33</v>
      </c>
    </row>
    <row r="336" ht="15.75" customHeight="1">
      <c r="B336" s="77">
        <f t="shared" si="1"/>
        <v>1</v>
      </c>
      <c r="C336" s="67" t="s">
        <v>197</v>
      </c>
      <c r="D336" s="78" t="s">
        <v>198</v>
      </c>
      <c r="E336" s="78" t="s">
        <v>14</v>
      </c>
      <c r="F336" s="67" t="s">
        <v>27</v>
      </c>
      <c r="G336" s="97" t="s">
        <v>936</v>
      </c>
      <c r="H336" s="92" t="s">
        <v>937</v>
      </c>
      <c r="I336" s="67" t="s">
        <v>18</v>
      </c>
      <c r="L336" s="94" t="str">
        <f t="shared" si="2"/>
        <v>No infirmation</v>
      </c>
      <c r="M336" s="94" t="str">
        <f t="shared" si="3"/>
        <v>20251219_snorkel_batch006__llm_navqa_webvoyager_websites__128</v>
      </c>
    </row>
    <row r="337" ht="15.75" customHeight="1">
      <c r="B337" s="77">
        <f t="shared" si="1"/>
        <v>1</v>
      </c>
      <c r="C337" s="67" t="s">
        <v>197</v>
      </c>
      <c r="D337" s="78" t="s">
        <v>198</v>
      </c>
      <c r="E337" s="78" t="s">
        <v>14</v>
      </c>
      <c r="F337" s="67" t="s">
        <v>27</v>
      </c>
      <c r="G337" s="97" t="s">
        <v>938</v>
      </c>
      <c r="H337" s="92" t="s">
        <v>939</v>
      </c>
      <c r="I337" s="67" t="s">
        <v>18</v>
      </c>
      <c r="L337" s="94" t="str">
        <f t="shared" si="2"/>
        <v>No infirmation</v>
      </c>
      <c r="M337" s="94" t="str">
        <f t="shared" si="3"/>
        <v>20251219_snorkel_batch008__llm_navqa_onlinemind2web_websites__151</v>
      </c>
    </row>
    <row r="338" ht="15.75" customHeight="1">
      <c r="B338" s="77">
        <f t="shared" si="1"/>
        <v>1</v>
      </c>
      <c r="C338" s="67" t="s">
        <v>197</v>
      </c>
      <c r="D338" s="78" t="s">
        <v>198</v>
      </c>
      <c r="E338" s="78" t="s">
        <v>14</v>
      </c>
      <c r="F338" s="67" t="s">
        <v>27</v>
      </c>
      <c r="G338" s="97" t="s">
        <v>940</v>
      </c>
      <c r="H338" s="92" t="s">
        <v>941</v>
      </c>
      <c r="I338" s="67" t="s">
        <v>18</v>
      </c>
      <c r="L338" s="80" t="str">
        <f t="shared" si="2"/>
        <v>No infirmation</v>
      </c>
      <c r="M338" s="80" t="str">
        <f t="shared" si="3"/>
        <v>20251219_snorkel_batch001__llm_navqa_popular_websites__96</v>
      </c>
    </row>
    <row r="339" ht="15.75" customHeight="1">
      <c r="B339" s="77">
        <f t="shared" si="1"/>
        <v>1</v>
      </c>
      <c r="C339" s="67" t="s">
        <v>197</v>
      </c>
      <c r="D339" s="78" t="s">
        <v>198</v>
      </c>
      <c r="E339" s="78" t="s">
        <v>14</v>
      </c>
      <c r="F339" s="67" t="s">
        <v>27</v>
      </c>
      <c r="G339" s="97" t="s">
        <v>942</v>
      </c>
      <c r="H339" s="92" t="s">
        <v>943</v>
      </c>
      <c r="I339" s="67" t="s">
        <v>18</v>
      </c>
      <c r="L339" s="80" t="str">
        <f t="shared" si="2"/>
        <v>No infirmation</v>
      </c>
      <c r="M339" s="80" t="str">
        <f t="shared" si="3"/>
        <v>20251219_snorkel_batch004__llm_navqa_onlinemind2web_websites__95</v>
      </c>
    </row>
    <row r="340" ht="15.75" customHeight="1">
      <c r="B340" s="77">
        <f t="shared" si="1"/>
        <v>1</v>
      </c>
      <c r="C340" s="67" t="s">
        <v>197</v>
      </c>
      <c r="D340" s="78" t="s">
        <v>198</v>
      </c>
      <c r="E340" s="78" t="s">
        <v>14</v>
      </c>
      <c r="F340" s="67" t="s">
        <v>27</v>
      </c>
      <c r="G340" s="97" t="s">
        <v>944</v>
      </c>
      <c r="H340" s="92" t="s">
        <v>945</v>
      </c>
      <c r="I340" s="67" t="s">
        <v>18</v>
      </c>
      <c r="L340" s="80" t="str">
        <f t="shared" si="2"/>
        <v>No infirmation</v>
      </c>
      <c r="M340" s="80" t="str">
        <f t="shared" si="3"/>
        <v>20251219_snorkel_batch008__llm_navqa_onlinemind2web_websites__163</v>
      </c>
    </row>
    <row r="341" ht="15.75" customHeight="1">
      <c r="B341" s="77">
        <f t="shared" si="1"/>
        <v>1</v>
      </c>
      <c r="C341" s="67" t="s">
        <v>197</v>
      </c>
      <c r="D341" s="78" t="s">
        <v>198</v>
      </c>
      <c r="E341" s="78" t="s">
        <v>14</v>
      </c>
      <c r="F341" s="67" t="s">
        <v>27</v>
      </c>
      <c r="G341" s="91" t="s">
        <v>946</v>
      </c>
      <c r="H341" s="92" t="s">
        <v>947</v>
      </c>
      <c r="I341" s="67" t="s">
        <v>18</v>
      </c>
      <c r="L341" s="80" t="str">
        <f t="shared" si="2"/>
        <v>No infirmation</v>
      </c>
      <c r="M341" s="80" t="str">
        <f t="shared" si="3"/>
        <v>20251219_snorkel_batch004__llm_navqa_popular_websites__95</v>
      </c>
    </row>
    <row r="342" ht="15.75" customHeight="1">
      <c r="B342" s="77">
        <f t="shared" si="1"/>
        <v>1</v>
      </c>
      <c r="C342" s="67" t="s">
        <v>197</v>
      </c>
      <c r="D342" s="78" t="s">
        <v>198</v>
      </c>
      <c r="E342" s="78" t="s">
        <v>14</v>
      </c>
      <c r="F342" s="67" t="s">
        <v>27</v>
      </c>
      <c r="G342" s="84" t="s">
        <v>948</v>
      </c>
      <c r="H342" s="87" t="s">
        <v>949</v>
      </c>
      <c r="I342" s="69" t="s">
        <v>18</v>
      </c>
      <c r="L342" s="80" t="str">
        <f t="shared" si="2"/>
        <v>No infirmation</v>
      </c>
      <c r="M342" s="80" t="str">
        <f t="shared" si="3"/>
        <v>20251219_snorkel_batch006__llm_navqa_popular_websites__10</v>
      </c>
    </row>
    <row r="343" ht="15.75" customHeight="1">
      <c r="B343" s="77">
        <f t="shared" si="1"/>
        <v>1</v>
      </c>
      <c r="C343" s="67" t="s">
        <v>197</v>
      </c>
      <c r="D343" s="78" t="s">
        <v>198</v>
      </c>
      <c r="E343" s="78" t="s">
        <v>14</v>
      </c>
      <c r="F343" s="67" t="s">
        <v>27</v>
      </c>
      <c r="G343" s="86" t="s">
        <v>950</v>
      </c>
      <c r="H343" s="87" t="s">
        <v>951</v>
      </c>
      <c r="I343" s="69" t="s">
        <v>18</v>
      </c>
      <c r="L343" s="80" t="str">
        <f t="shared" si="2"/>
        <v>No infirmation</v>
      </c>
      <c r="M343" s="80" t="str">
        <f t="shared" si="3"/>
        <v>20251121_snorkel_batch001__webvoyager_like__330</v>
      </c>
    </row>
    <row r="344" ht="15.75" customHeight="1">
      <c r="B344" s="77">
        <f t="shared" si="1"/>
        <v>1</v>
      </c>
      <c r="C344" s="67" t="s">
        <v>197</v>
      </c>
      <c r="D344" s="78" t="s">
        <v>198</v>
      </c>
      <c r="E344" s="78" t="s">
        <v>14</v>
      </c>
      <c r="F344" s="67" t="s">
        <v>27</v>
      </c>
      <c r="G344" s="86" t="s">
        <v>952</v>
      </c>
      <c r="H344" s="87" t="s">
        <v>953</v>
      </c>
      <c r="I344" s="69" t="s">
        <v>18</v>
      </c>
      <c r="L344" s="80" t="str">
        <f t="shared" si="2"/>
        <v>No infirmation</v>
      </c>
      <c r="M344" s="80" t="str">
        <f t="shared" si="3"/>
        <v>20251121_snorkel_batch001__webvoyager_like__315</v>
      </c>
    </row>
    <row r="345" ht="15.75" customHeight="1">
      <c r="B345" s="77">
        <f t="shared" si="1"/>
        <v>1</v>
      </c>
      <c r="C345" s="67" t="s">
        <v>197</v>
      </c>
      <c r="D345" s="78" t="s">
        <v>198</v>
      </c>
      <c r="E345" s="78" t="s">
        <v>14</v>
      </c>
      <c r="F345" s="67" t="s">
        <v>27</v>
      </c>
      <c r="G345" s="86" t="s">
        <v>954</v>
      </c>
      <c r="H345" s="87" t="s">
        <v>955</v>
      </c>
      <c r="I345" s="69" t="s">
        <v>18</v>
      </c>
      <c r="L345" s="80" t="str">
        <f t="shared" si="2"/>
        <v>No infirmation</v>
      </c>
      <c r="M345" s="80" t="str">
        <f t="shared" si="3"/>
        <v>20251219_snorkel_batch007__llm_navqa_onlinemind2web_websites__54</v>
      </c>
    </row>
    <row r="346" ht="15.75" customHeight="1">
      <c r="B346" s="77">
        <f t="shared" si="1"/>
        <v>1</v>
      </c>
      <c r="C346" s="67" t="s">
        <v>197</v>
      </c>
      <c r="D346" s="78" t="s">
        <v>198</v>
      </c>
      <c r="E346" s="78" t="s">
        <v>14</v>
      </c>
      <c r="F346" s="67" t="s">
        <v>38</v>
      </c>
      <c r="G346" s="86" t="s">
        <v>956</v>
      </c>
      <c r="H346" s="90" t="s">
        <v>957</v>
      </c>
      <c r="I346" s="69" t="s">
        <v>18</v>
      </c>
      <c r="L346" s="80" t="str">
        <f t="shared" si="2"/>
        <v>No infirmation</v>
      </c>
      <c r="M346" s="80" t="str">
        <f t="shared" si="3"/>
        <v>20251219_snorkel_batch007__llm_navqa_webvoyager_websites__142</v>
      </c>
    </row>
    <row r="347" ht="15.75" customHeight="1">
      <c r="B347" s="77">
        <f t="shared" si="1"/>
        <v>1</v>
      </c>
      <c r="C347" s="67" t="s">
        <v>197</v>
      </c>
      <c r="D347" s="78" t="s">
        <v>198</v>
      </c>
      <c r="E347" s="78" t="s">
        <v>14</v>
      </c>
      <c r="F347" s="67" t="s">
        <v>38</v>
      </c>
      <c r="G347" s="86" t="s">
        <v>958</v>
      </c>
      <c r="H347" s="90" t="s">
        <v>959</v>
      </c>
      <c r="I347" s="69" t="s">
        <v>18</v>
      </c>
      <c r="L347" s="80" t="str">
        <f t="shared" si="2"/>
        <v>No infirmation</v>
      </c>
      <c r="M347" s="80" t="str">
        <f t="shared" si="3"/>
        <v>20251121_snorkel_batch001__webvoyager_like__22</v>
      </c>
    </row>
    <row r="348" ht="15.75" customHeight="1">
      <c r="B348" s="77">
        <f t="shared" si="1"/>
        <v>0</v>
      </c>
      <c r="C348" s="67" t="s">
        <v>197</v>
      </c>
      <c r="D348" s="78" t="s">
        <v>198</v>
      </c>
      <c r="E348" s="78" t="s">
        <v>14</v>
      </c>
      <c r="F348" s="67" t="s">
        <v>38</v>
      </c>
      <c r="G348" s="86"/>
      <c r="H348" s="90" t="s">
        <v>960</v>
      </c>
      <c r="I348" s="69" t="s">
        <v>18</v>
      </c>
      <c r="L348" s="80" t="str">
        <f t="shared" si="2"/>
        <v>No infirmation</v>
      </c>
      <c r="M348" s="80" t="str">
        <f t="shared" si="3"/>
        <v>20251219_snorkel_batch002__llm_navqa_webvoyager_websites__73</v>
      </c>
    </row>
    <row r="349" ht="15.75" customHeight="1">
      <c r="B349" s="77">
        <f t="shared" si="1"/>
        <v>1</v>
      </c>
      <c r="C349" s="67" t="s">
        <v>197</v>
      </c>
      <c r="D349" s="78" t="s">
        <v>198</v>
      </c>
      <c r="E349" s="78" t="s">
        <v>14</v>
      </c>
      <c r="F349" s="67" t="s">
        <v>38</v>
      </c>
      <c r="G349" s="86" t="s">
        <v>961</v>
      </c>
      <c r="H349" s="90" t="s">
        <v>962</v>
      </c>
      <c r="I349" s="69" t="s">
        <v>18</v>
      </c>
      <c r="L349" s="80" t="str">
        <f t="shared" si="2"/>
        <v>No infirmation</v>
      </c>
      <c r="M349" s="80" t="str">
        <f t="shared" si="3"/>
        <v>20251219_snorkel_batch004__llm_navqa_onlinemind2web_websites__87</v>
      </c>
    </row>
    <row r="350" ht="15.75" customHeight="1">
      <c r="B350" s="77">
        <f t="shared" si="1"/>
        <v>1</v>
      </c>
      <c r="C350" s="67" t="s">
        <v>197</v>
      </c>
      <c r="D350" s="78" t="s">
        <v>198</v>
      </c>
      <c r="E350" s="78" t="s">
        <v>14</v>
      </c>
      <c r="F350" s="67" t="s">
        <v>38</v>
      </c>
      <c r="G350" s="86" t="s">
        <v>963</v>
      </c>
      <c r="H350" s="90" t="s">
        <v>964</v>
      </c>
      <c r="I350" s="69" t="s">
        <v>18</v>
      </c>
      <c r="L350" s="94" t="str">
        <f t="shared" si="2"/>
        <v>No infirmation</v>
      </c>
      <c r="M350" s="94" t="str">
        <f t="shared" si="3"/>
        <v>20251219_snorkel_batch001__llm_navqa_onlinemind2web_websites__152</v>
      </c>
    </row>
    <row r="351" ht="15.75" customHeight="1">
      <c r="B351" s="77">
        <f t="shared" si="1"/>
        <v>1</v>
      </c>
      <c r="C351" s="67" t="s">
        <v>197</v>
      </c>
      <c r="D351" s="78" t="s">
        <v>198</v>
      </c>
      <c r="E351" s="78" t="s">
        <v>14</v>
      </c>
      <c r="F351" s="67" t="s">
        <v>38</v>
      </c>
      <c r="G351" s="86" t="s">
        <v>965</v>
      </c>
      <c r="H351" s="90" t="s">
        <v>966</v>
      </c>
      <c r="I351" s="69" t="s">
        <v>18</v>
      </c>
      <c r="L351" s="94" t="str">
        <f t="shared" si="2"/>
        <v>No infirmation</v>
      </c>
      <c r="M351" s="94" t="str">
        <f t="shared" si="3"/>
        <v>20251126_snorkel_batch016__llm_step_onlinemind2web_websites__152</v>
      </c>
    </row>
    <row r="352" ht="15.75" customHeight="1">
      <c r="B352" s="77">
        <f t="shared" si="1"/>
        <v>1</v>
      </c>
      <c r="C352" s="67" t="s">
        <v>195</v>
      </c>
      <c r="D352" s="78" t="s">
        <v>196</v>
      </c>
      <c r="E352" s="78" t="s">
        <v>14</v>
      </c>
      <c r="F352" s="67" t="s">
        <v>38</v>
      </c>
      <c r="G352" s="81" t="s">
        <v>967</v>
      </c>
      <c r="H352" s="79" t="s">
        <v>968</v>
      </c>
      <c r="I352" s="67" t="s">
        <v>18</v>
      </c>
      <c r="J352" s="67" t="s">
        <v>969</v>
      </c>
      <c r="L352" s="94" t="str">
        <f t="shared" si="2"/>
        <v>No infirmation</v>
      </c>
      <c r="M352" s="94" t="str">
        <f t="shared" si="3"/>
        <v>20251219_snorkel_batch007__llm_navqa_webvoyager_websites__123</v>
      </c>
    </row>
    <row r="353" ht="15.75" customHeight="1">
      <c r="B353" s="77">
        <f t="shared" si="1"/>
        <v>1</v>
      </c>
      <c r="C353" s="67" t="s">
        <v>195</v>
      </c>
      <c r="D353" s="78" t="s">
        <v>196</v>
      </c>
      <c r="E353" s="78" t="s">
        <v>14</v>
      </c>
      <c r="F353" s="67" t="s">
        <v>38</v>
      </c>
      <c r="G353" s="81" t="s">
        <v>970</v>
      </c>
      <c r="H353" s="79" t="s">
        <v>971</v>
      </c>
      <c r="I353" s="67" t="s">
        <v>18</v>
      </c>
      <c r="J353" s="67" t="s">
        <v>972</v>
      </c>
      <c r="L353" s="94" t="str">
        <f t="shared" si="2"/>
        <v>No infirmation</v>
      </c>
      <c r="M353" s="94" t="str">
        <f t="shared" si="3"/>
        <v>20251219_snorkel_batch009__llm_navqa_onlinemind2web_websites__25</v>
      </c>
    </row>
    <row r="354" ht="15.75" customHeight="1">
      <c r="B354" s="77">
        <f t="shared" si="1"/>
        <v>1</v>
      </c>
      <c r="C354" s="67" t="s">
        <v>195</v>
      </c>
      <c r="D354" s="78" t="s">
        <v>196</v>
      </c>
      <c r="E354" s="78" t="s">
        <v>14</v>
      </c>
      <c r="F354" s="67" t="s">
        <v>38</v>
      </c>
      <c r="G354" s="81" t="s">
        <v>973</v>
      </c>
      <c r="H354" s="79" t="s">
        <v>974</v>
      </c>
      <c r="I354" s="67" t="s">
        <v>18</v>
      </c>
      <c r="L354" s="94" t="str">
        <f t="shared" si="2"/>
        <v>No infirmation</v>
      </c>
      <c r="M354" s="94" t="str">
        <f t="shared" si="3"/>
        <v>20251219_snorkel_batch002__llm_navqa_onlinemind2web_websites__97</v>
      </c>
    </row>
    <row r="355" ht="15.75" customHeight="1">
      <c r="B355" s="77">
        <f t="shared" si="1"/>
        <v>1</v>
      </c>
      <c r="C355" s="67" t="s">
        <v>195</v>
      </c>
      <c r="D355" s="78" t="s">
        <v>196</v>
      </c>
      <c r="E355" s="78" t="s">
        <v>14</v>
      </c>
      <c r="F355" s="67" t="s">
        <v>38</v>
      </c>
      <c r="G355" s="81" t="s">
        <v>975</v>
      </c>
      <c r="H355" s="79" t="s">
        <v>976</v>
      </c>
      <c r="I355" s="67" t="s">
        <v>18</v>
      </c>
      <c r="J355" s="67" t="s">
        <v>977</v>
      </c>
      <c r="L355" s="94" t="str">
        <f t="shared" si="2"/>
        <v>No infirmation</v>
      </c>
      <c r="M355" s="94" t="str">
        <f t="shared" si="3"/>
        <v>20251219_snorkel_batch008__llm_navqa_webvoyager_websites__156</v>
      </c>
    </row>
    <row r="356" ht="15.75" customHeight="1">
      <c r="B356" s="77">
        <f t="shared" si="1"/>
        <v>1</v>
      </c>
      <c r="C356" s="67" t="s">
        <v>195</v>
      </c>
      <c r="D356" s="78" t="s">
        <v>196</v>
      </c>
      <c r="E356" s="78" t="s">
        <v>14</v>
      </c>
      <c r="F356" s="67" t="s">
        <v>38</v>
      </c>
      <c r="G356" s="81" t="s">
        <v>978</v>
      </c>
      <c r="H356" s="79" t="s">
        <v>979</v>
      </c>
      <c r="I356" s="67" t="s">
        <v>18</v>
      </c>
      <c r="L356" s="94" t="str">
        <f t="shared" si="2"/>
        <v>No infirmation</v>
      </c>
      <c r="M356" s="94" t="str">
        <f t="shared" si="3"/>
        <v>20251219_snorkel_batch009__llm_navqa_onlinemind2web_websites__110</v>
      </c>
    </row>
    <row r="357" ht="15.75" customHeight="1">
      <c r="B357" s="77">
        <f t="shared" si="1"/>
        <v>1</v>
      </c>
      <c r="C357" s="67" t="s">
        <v>195</v>
      </c>
      <c r="D357" s="78" t="s">
        <v>196</v>
      </c>
      <c r="E357" s="78" t="s">
        <v>14</v>
      </c>
      <c r="F357" s="67" t="s">
        <v>38</v>
      </c>
      <c r="G357" s="81" t="s">
        <v>980</v>
      </c>
      <c r="H357" s="79" t="s">
        <v>981</v>
      </c>
      <c r="I357" s="67" t="s">
        <v>18</v>
      </c>
      <c r="L357" s="94" t="str">
        <f t="shared" si="2"/>
        <v>No infirmation</v>
      </c>
      <c r="M357" s="94" t="str">
        <f t="shared" si="3"/>
        <v>20251219_snorkel_batch003__llm_navqa_webvoyager_websites__157</v>
      </c>
    </row>
    <row r="358" ht="15.75" customHeight="1">
      <c r="B358" s="77">
        <f t="shared" si="1"/>
        <v>1</v>
      </c>
      <c r="C358" s="67" t="s">
        <v>195</v>
      </c>
      <c r="D358" s="78" t="s">
        <v>196</v>
      </c>
      <c r="E358" s="78" t="s">
        <v>14</v>
      </c>
      <c r="F358" s="67" t="s">
        <v>38</v>
      </c>
      <c r="G358" s="81" t="s">
        <v>982</v>
      </c>
      <c r="H358" s="79" t="s">
        <v>983</v>
      </c>
      <c r="I358" s="67" t="s">
        <v>18</v>
      </c>
      <c r="J358" s="67" t="s">
        <v>984</v>
      </c>
      <c r="L358" s="94" t="str">
        <f t="shared" si="2"/>
        <v>No infirmation</v>
      </c>
      <c r="M358" s="94" t="str">
        <f t="shared" si="3"/>
        <v>20251219_snorkel_batch009__llm_navqa_webvoyager_websites__166</v>
      </c>
    </row>
    <row r="359" ht="15.75" customHeight="1">
      <c r="B359" s="77">
        <f t="shared" si="1"/>
        <v>1</v>
      </c>
      <c r="C359" s="67" t="s">
        <v>195</v>
      </c>
      <c r="D359" s="78" t="s">
        <v>196</v>
      </c>
      <c r="E359" s="78" t="s">
        <v>14</v>
      </c>
      <c r="F359" s="67" t="s">
        <v>38</v>
      </c>
      <c r="G359" s="81" t="s">
        <v>985</v>
      </c>
      <c r="H359" s="79" t="s">
        <v>986</v>
      </c>
      <c r="I359" s="67" t="s">
        <v>18</v>
      </c>
      <c r="L359" s="94" t="str">
        <f t="shared" si="2"/>
        <v>No infirmation</v>
      </c>
      <c r="M359" s="94" t="str">
        <f t="shared" si="3"/>
        <v>20251126_snorkel_batch018__llm_step_onlinemind2web_websites__146</v>
      </c>
    </row>
    <row r="360" ht="15.75" customHeight="1">
      <c r="B360" s="77">
        <f t="shared" si="1"/>
        <v>1</v>
      </c>
      <c r="C360" s="67" t="s">
        <v>195</v>
      </c>
      <c r="D360" s="78" t="s">
        <v>196</v>
      </c>
      <c r="E360" s="78" t="s">
        <v>14</v>
      </c>
      <c r="F360" s="67" t="s">
        <v>38</v>
      </c>
      <c r="G360" s="81" t="s">
        <v>987</v>
      </c>
      <c r="H360" s="79" t="s">
        <v>988</v>
      </c>
      <c r="I360" s="67" t="s">
        <v>18</v>
      </c>
      <c r="L360" s="94" t="str">
        <f t="shared" si="2"/>
        <v>No infirmation</v>
      </c>
      <c r="M360" s="94" t="str">
        <f t="shared" si="3"/>
        <v>20251219_snorkel_batch008__llm_navqa_webvoyager_websites__150</v>
      </c>
    </row>
    <row r="361" ht="15.75" customHeight="1">
      <c r="B361" s="77">
        <f t="shared" si="1"/>
        <v>1</v>
      </c>
      <c r="C361" s="67" t="s">
        <v>195</v>
      </c>
      <c r="D361" s="78" t="s">
        <v>196</v>
      </c>
      <c r="E361" s="78" t="s">
        <v>14</v>
      </c>
      <c r="F361" s="67" t="s">
        <v>38</v>
      </c>
      <c r="G361" s="81" t="s">
        <v>989</v>
      </c>
      <c r="H361" s="79" t="s">
        <v>990</v>
      </c>
      <c r="I361" s="67" t="s">
        <v>18</v>
      </c>
      <c r="J361" s="81" t="s">
        <v>991</v>
      </c>
      <c r="L361" s="94" t="str">
        <f t="shared" si="2"/>
        <v>No infirmation</v>
      </c>
      <c r="M361" s="94" t="str">
        <f t="shared" si="3"/>
        <v>20251219_snorkel_batch008__llm_navqa_onlinemind2web_websites__108</v>
      </c>
    </row>
    <row r="362" ht="15.75" customHeight="1">
      <c r="B362" s="77">
        <f t="shared" si="1"/>
        <v>1</v>
      </c>
      <c r="C362" s="67" t="s">
        <v>12</v>
      </c>
      <c r="D362" s="78" t="s">
        <v>13</v>
      </c>
      <c r="E362" s="78" t="s">
        <v>14</v>
      </c>
      <c r="F362" s="67" t="s">
        <v>38</v>
      </c>
      <c r="G362" s="81" t="s">
        <v>992</v>
      </c>
      <c r="H362" s="79" t="s">
        <v>993</v>
      </c>
      <c r="I362" s="67" t="s">
        <v>18</v>
      </c>
      <c r="L362" s="94" t="str">
        <f t="shared" si="2"/>
        <v>No infirmation</v>
      </c>
      <c r="M362" s="94" t="str">
        <f t="shared" si="3"/>
        <v>20251219_snorkel_batch010__llm_navqa_webvoyager_websites__77</v>
      </c>
    </row>
    <row r="363" ht="15.75" customHeight="1">
      <c r="B363" s="77">
        <f t="shared" si="1"/>
        <v>1</v>
      </c>
      <c r="C363" s="67" t="s">
        <v>12</v>
      </c>
      <c r="D363" s="78" t="s">
        <v>13</v>
      </c>
      <c r="E363" s="78" t="s">
        <v>14</v>
      </c>
      <c r="F363" s="67" t="s">
        <v>38</v>
      </c>
      <c r="G363" s="81" t="s">
        <v>39</v>
      </c>
      <c r="H363" s="79" t="s">
        <v>40</v>
      </c>
      <c r="I363" s="67" t="s">
        <v>18</v>
      </c>
      <c r="L363" s="94" t="str">
        <f t="shared" si="2"/>
        <v>No infirmation</v>
      </c>
      <c r="M363" s="94" t="str">
        <f t="shared" si="3"/>
        <v>20251121_snorkel_batch001__webvoyager_like__475</v>
      </c>
    </row>
    <row r="364" ht="15.75" customHeight="1">
      <c r="B364" s="77">
        <f t="shared" si="1"/>
        <v>1</v>
      </c>
      <c r="C364" s="67" t="s">
        <v>12</v>
      </c>
      <c r="D364" s="78" t="s">
        <v>13</v>
      </c>
      <c r="E364" s="78" t="s">
        <v>14</v>
      </c>
      <c r="F364" s="67" t="s">
        <v>38</v>
      </c>
      <c r="G364" s="81" t="s">
        <v>994</v>
      </c>
      <c r="H364" s="79" t="s">
        <v>995</v>
      </c>
      <c r="I364" s="67" t="s">
        <v>18</v>
      </c>
      <c r="L364" s="94" t="str">
        <f t="shared" si="2"/>
        <v>No infirmation</v>
      </c>
      <c r="M364" s="94" t="str">
        <f t="shared" si="3"/>
        <v>20251219_snorkel_batch005__llm_navqa_popular_websites__149</v>
      </c>
    </row>
    <row r="365" ht="15.75" customHeight="1">
      <c r="B365" s="77">
        <f t="shared" si="1"/>
        <v>1</v>
      </c>
      <c r="C365" s="67" t="s">
        <v>12</v>
      </c>
      <c r="D365" s="78" t="s">
        <v>13</v>
      </c>
      <c r="E365" s="78" t="s">
        <v>14</v>
      </c>
      <c r="F365" s="67" t="s">
        <v>38</v>
      </c>
      <c r="G365" s="81" t="s">
        <v>42</v>
      </c>
      <c r="H365" s="83" t="s">
        <v>43</v>
      </c>
      <c r="I365" s="67" t="s">
        <v>18</v>
      </c>
      <c r="L365" s="94" t="str">
        <f t="shared" si="2"/>
        <v>No infirmation</v>
      </c>
      <c r="M365" s="94" t="str">
        <f t="shared" si="3"/>
        <v>20251219_snorkel_batch007__llm_navqa_webvoyager_websites__149</v>
      </c>
    </row>
    <row r="366" ht="15.75" customHeight="1">
      <c r="B366" s="77">
        <f t="shared" si="1"/>
        <v>1</v>
      </c>
      <c r="C366" s="67" t="s">
        <v>12</v>
      </c>
      <c r="D366" s="78" t="s">
        <v>13</v>
      </c>
      <c r="E366" s="78" t="s">
        <v>14</v>
      </c>
      <c r="F366" s="67" t="s">
        <v>38</v>
      </c>
      <c r="G366" s="81" t="s">
        <v>996</v>
      </c>
      <c r="H366" s="79" t="s">
        <v>997</v>
      </c>
      <c r="I366" s="67" t="s">
        <v>18</v>
      </c>
      <c r="J366" s="67" t="s">
        <v>998</v>
      </c>
      <c r="L366" s="94" t="str">
        <f t="shared" si="2"/>
        <v>No infirmation</v>
      </c>
      <c r="M366" s="94" t="str">
        <f t="shared" si="3"/>
        <v>20251219_snorkel_batch005__llm_navqa_popular_websites__147</v>
      </c>
    </row>
    <row r="367" ht="15.75" customHeight="1">
      <c r="B367" s="77">
        <f t="shared" si="1"/>
        <v>1</v>
      </c>
      <c r="C367" s="67" t="s">
        <v>199</v>
      </c>
      <c r="D367" s="78" t="s">
        <v>200</v>
      </c>
      <c r="E367" s="78" t="s">
        <v>14</v>
      </c>
      <c r="F367" s="67" t="s">
        <v>38</v>
      </c>
      <c r="G367" s="67" t="s">
        <v>999</v>
      </c>
      <c r="H367" s="83" t="s">
        <v>1000</v>
      </c>
      <c r="I367" s="98" t="s">
        <v>18</v>
      </c>
      <c r="L367" s="94" t="str">
        <f t="shared" si="2"/>
        <v>No infirmation</v>
      </c>
      <c r="M367" s="94" t="str">
        <f t="shared" si="3"/>
        <v>20251126_snorkel_batch018__llm_step_webvoyager_websites__133</v>
      </c>
    </row>
    <row r="368" ht="15.75" customHeight="1">
      <c r="B368" s="77">
        <f t="shared" si="1"/>
        <v>1</v>
      </c>
      <c r="C368" s="67" t="s">
        <v>199</v>
      </c>
      <c r="D368" s="78" t="s">
        <v>200</v>
      </c>
      <c r="E368" s="78" t="s">
        <v>14</v>
      </c>
      <c r="F368" s="67" t="s">
        <v>38</v>
      </c>
      <c r="G368" s="67" t="s">
        <v>1001</v>
      </c>
      <c r="H368" s="83" t="s">
        <v>1002</v>
      </c>
      <c r="I368" s="98" t="s">
        <v>18</v>
      </c>
      <c r="L368" s="94" t="str">
        <f t="shared" si="2"/>
        <v>No infirmation</v>
      </c>
      <c r="M368" s="94" t="str">
        <f t="shared" si="3"/>
        <v>20251219_snorkel_batch006__llm_navqa_onlinemind2web_websites__168</v>
      </c>
    </row>
    <row r="369" ht="15.75" customHeight="1">
      <c r="B369" s="77">
        <f t="shared" si="1"/>
        <v>1</v>
      </c>
      <c r="C369" s="67" t="s">
        <v>193</v>
      </c>
      <c r="D369" s="78" t="s">
        <v>194</v>
      </c>
      <c r="E369" s="78" t="s">
        <v>14</v>
      </c>
      <c r="F369" s="99">
        <v>46235.0</v>
      </c>
      <c r="G369" s="81" t="s">
        <v>1003</v>
      </c>
      <c r="H369" s="79" t="s">
        <v>1004</v>
      </c>
      <c r="I369" s="98" t="s">
        <v>429</v>
      </c>
      <c r="L369" s="94" t="str">
        <f t="shared" si="2"/>
        <v>No infirmation</v>
      </c>
      <c r="M369" s="94" t="str">
        <f t="shared" si="3"/>
        <v>20251126_snorkel_batch015__llm_step_onlinemind2web_websites__101</v>
      </c>
    </row>
    <row r="370" ht="15.75" customHeight="1">
      <c r="B370" s="77">
        <f t="shared" si="1"/>
        <v>1</v>
      </c>
      <c r="C370" s="67" t="s">
        <v>12</v>
      </c>
      <c r="D370" s="78" t="s">
        <v>13</v>
      </c>
      <c r="E370" s="78" t="s">
        <v>14</v>
      </c>
      <c r="F370" s="100">
        <v>46296.0</v>
      </c>
      <c r="G370" s="81" t="s">
        <v>45</v>
      </c>
      <c r="H370" s="79" t="s">
        <v>46</v>
      </c>
      <c r="I370" s="98" t="s">
        <v>18</v>
      </c>
      <c r="L370" s="94" t="str">
        <f t="shared" si="2"/>
        <v>No infirmation</v>
      </c>
      <c r="M370" s="94" t="str">
        <f t="shared" si="3"/>
        <v>20251126_snorkel_batch011__llm_step_webvoyager_websites__0</v>
      </c>
    </row>
    <row r="371" ht="15.75" customHeight="1">
      <c r="B371" s="77">
        <f t="shared" si="1"/>
        <v>1</v>
      </c>
      <c r="C371" s="67" t="s">
        <v>12</v>
      </c>
      <c r="D371" s="78" t="s">
        <v>13</v>
      </c>
      <c r="E371" s="78" t="s">
        <v>14</v>
      </c>
      <c r="F371" s="100">
        <v>46296.0</v>
      </c>
      <c r="G371" s="81" t="s">
        <v>1005</v>
      </c>
      <c r="H371" s="79" t="s">
        <v>1006</v>
      </c>
      <c r="I371" s="98" t="s">
        <v>18</v>
      </c>
      <c r="J371" s="81" t="s">
        <v>1007</v>
      </c>
      <c r="L371" s="94" t="str">
        <f t="shared" si="2"/>
        <v>No infirmation</v>
      </c>
      <c r="M371" s="94" t="str">
        <f t="shared" si="3"/>
        <v>20251126_snorkel_batch018__llm_step_onlinemind2web_websites__129</v>
      </c>
    </row>
    <row r="372" ht="15.75" customHeight="1">
      <c r="B372" s="77">
        <f t="shared" si="1"/>
        <v>1</v>
      </c>
      <c r="C372" s="67" t="s">
        <v>12</v>
      </c>
      <c r="D372" s="78" t="s">
        <v>13</v>
      </c>
      <c r="E372" s="78" t="s">
        <v>14</v>
      </c>
      <c r="F372" s="100">
        <v>46296.0</v>
      </c>
      <c r="G372" s="81" t="s">
        <v>48</v>
      </c>
      <c r="H372" s="79" t="s">
        <v>49</v>
      </c>
      <c r="I372" s="98" t="s">
        <v>18</v>
      </c>
      <c r="L372" s="94" t="str">
        <f t="shared" si="2"/>
        <v>No infirmation</v>
      </c>
      <c r="M372" s="94" t="str">
        <f t="shared" si="3"/>
        <v>20251126_snorkel_batch014__llm_step_popular_websites__6</v>
      </c>
    </row>
    <row r="373" ht="15.75" customHeight="1">
      <c r="B373" s="77">
        <f t="shared" si="1"/>
        <v>1</v>
      </c>
      <c r="C373" s="67" t="s">
        <v>12</v>
      </c>
      <c r="D373" s="78" t="s">
        <v>13</v>
      </c>
      <c r="E373" s="78" t="s">
        <v>14</v>
      </c>
      <c r="F373" s="100">
        <v>46327.0</v>
      </c>
      <c r="G373" s="81" t="s">
        <v>51</v>
      </c>
      <c r="H373" s="79" t="s">
        <v>52</v>
      </c>
      <c r="I373" s="98" t="s">
        <v>18</v>
      </c>
      <c r="L373" s="94" t="str">
        <f t="shared" si="2"/>
        <v>No infirmation</v>
      </c>
      <c r="M373" s="94" t="str">
        <f t="shared" si="3"/>
        <v>20251126_snorkel_batch012__llm_step_onlinemind2web_websites__39</v>
      </c>
    </row>
    <row r="374" ht="15.75" customHeight="1">
      <c r="B374" s="77">
        <f t="shared" si="1"/>
        <v>1</v>
      </c>
      <c r="C374" s="67" t="s">
        <v>12</v>
      </c>
      <c r="D374" s="78" t="s">
        <v>13</v>
      </c>
      <c r="E374" s="78" t="s">
        <v>14</v>
      </c>
      <c r="F374" s="100">
        <v>46327.0</v>
      </c>
      <c r="G374" s="81" t="s">
        <v>1008</v>
      </c>
      <c r="H374" s="79" t="s">
        <v>1009</v>
      </c>
      <c r="I374" s="98" t="s">
        <v>18</v>
      </c>
      <c r="J374" s="67" t="s">
        <v>1010</v>
      </c>
      <c r="L374" s="94" t="str">
        <f t="shared" si="2"/>
        <v>No infirmation</v>
      </c>
      <c r="M374" s="94" t="str">
        <f t="shared" si="3"/>
        <v>20251126_snorkel_batch016__llm_step_popular_websites__67</v>
      </c>
    </row>
    <row r="375" ht="15.75" customHeight="1">
      <c r="B375" s="77">
        <f t="shared" si="1"/>
        <v>1</v>
      </c>
      <c r="C375" s="67" t="s">
        <v>195</v>
      </c>
      <c r="D375" s="78" t="s">
        <v>196</v>
      </c>
      <c r="E375" s="78" t="s">
        <v>14</v>
      </c>
      <c r="F375" s="100">
        <v>46327.0</v>
      </c>
      <c r="G375" s="81" t="s">
        <v>1011</v>
      </c>
      <c r="H375" s="79" t="s">
        <v>1012</v>
      </c>
      <c r="I375" s="98" t="s">
        <v>18</v>
      </c>
      <c r="L375" s="80" t="str">
        <f t="shared" si="2"/>
        <v>No infirmation</v>
      </c>
      <c r="M375" s="80" t="str">
        <f t="shared" si="3"/>
        <v>20251126_snorkel_batch016__llm_step_onlinemind2web_websites__44</v>
      </c>
    </row>
    <row r="376" ht="15.75" customHeight="1">
      <c r="B376" s="77">
        <f t="shared" si="1"/>
        <v>1</v>
      </c>
      <c r="C376" s="67" t="s">
        <v>195</v>
      </c>
      <c r="D376" s="78" t="s">
        <v>196</v>
      </c>
      <c r="E376" s="78" t="s">
        <v>14</v>
      </c>
      <c r="F376" s="100">
        <v>46327.0</v>
      </c>
      <c r="G376" s="81" t="s">
        <v>1013</v>
      </c>
      <c r="H376" s="79" t="s">
        <v>1014</v>
      </c>
      <c r="I376" s="98" t="s">
        <v>18</v>
      </c>
      <c r="J376" s="67" t="s">
        <v>772</v>
      </c>
      <c r="L376" s="80" t="str">
        <f t="shared" si="2"/>
        <v>No infirmation</v>
      </c>
      <c r="M376" s="80" t="str">
        <f t="shared" si="3"/>
        <v>20251126_snorkel_batch014__llm_step_popular_websites__26</v>
      </c>
    </row>
    <row r="377" ht="15.75" customHeight="1">
      <c r="B377" s="77">
        <f t="shared" si="1"/>
        <v>1</v>
      </c>
      <c r="C377" s="67" t="s">
        <v>195</v>
      </c>
      <c r="D377" s="78" t="s">
        <v>196</v>
      </c>
      <c r="E377" s="78" t="s">
        <v>14</v>
      </c>
      <c r="F377" s="100">
        <v>46327.0</v>
      </c>
      <c r="G377" s="81" t="s">
        <v>1015</v>
      </c>
      <c r="H377" s="79" t="s">
        <v>1016</v>
      </c>
      <c r="I377" s="98" t="s">
        <v>18</v>
      </c>
      <c r="J377" s="67" t="s">
        <v>1017</v>
      </c>
      <c r="L377" s="80" t="str">
        <f t="shared" si="2"/>
        <v>No infirmation</v>
      </c>
      <c r="M377" s="80" t="str">
        <f t="shared" si="3"/>
        <v>20251126_snorkel_batch014__llm_step_webvoyager_websites__90</v>
      </c>
    </row>
    <row r="378" ht="15.75" customHeight="1">
      <c r="B378" s="77">
        <f t="shared" si="1"/>
        <v>1</v>
      </c>
      <c r="C378" s="67" t="s">
        <v>195</v>
      </c>
      <c r="D378" s="78" t="s">
        <v>196</v>
      </c>
      <c r="E378" s="78" t="s">
        <v>14</v>
      </c>
      <c r="F378" s="100">
        <v>46327.0</v>
      </c>
      <c r="G378" s="81" t="s">
        <v>1018</v>
      </c>
      <c r="H378" s="79" t="s">
        <v>1019</v>
      </c>
      <c r="I378" s="98" t="s">
        <v>18</v>
      </c>
      <c r="J378" s="67" t="s">
        <v>1017</v>
      </c>
      <c r="L378" s="80" t="str">
        <f t="shared" si="2"/>
        <v>No infirmation</v>
      </c>
      <c r="M378" s="80" t="str">
        <f t="shared" si="3"/>
        <v>20251126_snorkel_batch020__llm_step_webvoyager_websites__95</v>
      </c>
    </row>
    <row r="379" ht="15.75" customHeight="1">
      <c r="B379" s="77">
        <f t="shared" si="1"/>
        <v>1</v>
      </c>
      <c r="C379" s="67" t="s">
        <v>195</v>
      </c>
      <c r="D379" s="78" t="s">
        <v>196</v>
      </c>
      <c r="E379" s="78" t="s">
        <v>14</v>
      </c>
      <c r="F379" s="100">
        <v>46327.0</v>
      </c>
      <c r="G379" s="81" t="s">
        <v>1020</v>
      </c>
      <c r="H379" s="79" t="s">
        <v>1021</v>
      </c>
      <c r="I379" s="98" t="s">
        <v>18</v>
      </c>
      <c r="L379" s="80" t="str">
        <f t="shared" si="2"/>
        <v>No infirmation</v>
      </c>
      <c r="M379" s="80" t="str">
        <f t="shared" si="3"/>
        <v>20251126_snorkel_batch019__llm_step_webvoyager_websites__156</v>
      </c>
    </row>
    <row r="380" ht="15.75" customHeight="1">
      <c r="B380" s="77">
        <f t="shared" si="1"/>
        <v>1</v>
      </c>
      <c r="C380" s="67" t="s">
        <v>193</v>
      </c>
      <c r="D380" s="78" t="s">
        <v>194</v>
      </c>
      <c r="E380" s="78" t="s">
        <v>14</v>
      </c>
      <c r="F380" s="100">
        <v>46296.0</v>
      </c>
      <c r="G380" s="81" t="s">
        <v>1022</v>
      </c>
      <c r="H380" s="79" t="s">
        <v>1023</v>
      </c>
      <c r="I380" s="98" t="s">
        <v>429</v>
      </c>
      <c r="J380" s="67" t="s">
        <v>1024</v>
      </c>
      <c r="L380" s="80" t="str">
        <f t="shared" si="2"/>
        <v>No infirmation</v>
      </c>
      <c r="M380" s="80" t="str">
        <f t="shared" si="3"/>
        <v>20251126_snorkel_batch015__llm_step_onlinemind2web_websites__74</v>
      </c>
    </row>
    <row r="381" ht="15.75" customHeight="1">
      <c r="B381" s="77">
        <f t="shared" si="1"/>
        <v>1</v>
      </c>
      <c r="C381" s="67" t="s">
        <v>193</v>
      </c>
      <c r="D381" s="78" t="s">
        <v>194</v>
      </c>
      <c r="E381" s="78" t="s">
        <v>14</v>
      </c>
      <c r="F381" s="100">
        <v>46296.0</v>
      </c>
      <c r="G381" s="81" t="s">
        <v>1025</v>
      </c>
      <c r="H381" s="79" t="s">
        <v>1026</v>
      </c>
      <c r="I381" s="98" t="s">
        <v>429</v>
      </c>
      <c r="J381" s="67" t="s">
        <v>857</v>
      </c>
      <c r="K381" s="67">
        <v>37.0</v>
      </c>
      <c r="L381" s="80" t="str">
        <f t="shared" si="2"/>
        <v>No infirmation</v>
      </c>
      <c r="M381" s="80" t="str">
        <f t="shared" si="3"/>
        <v>20251126_snorkel_batch013__llm_step_webvoyager_websites__115</v>
      </c>
    </row>
    <row r="382" ht="15.75" customHeight="1">
      <c r="B382" s="77">
        <f t="shared" si="1"/>
        <v>1</v>
      </c>
      <c r="C382" s="67" t="s">
        <v>193</v>
      </c>
      <c r="D382" s="78" t="s">
        <v>194</v>
      </c>
      <c r="E382" s="78" t="s">
        <v>14</v>
      </c>
      <c r="F382" s="100">
        <v>46296.0</v>
      </c>
      <c r="G382" s="81" t="s">
        <v>1027</v>
      </c>
      <c r="H382" s="79" t="s">
        <v>1028</v>
      </c>
      <c r="I382" s="98" t="s">
        <v>429</v>
      </c>
      <c r="J382" s="67" t="s">
        <v>1029</v>
      </c>
      <c r="L382" s="80" t="str">
        <f t="shared" si="2"/>
        <v>No infirmation</v>
      </c>
      <c r="M382" s="80" t="str">
        <f t="shared" si="3"/>
        <v>20251126_snorkel_batch014__llm_step_popular_websites__155</v>
      </c>
    </row>
    <row r="383" ht="15.75" customHeight="1">
      <c r="B383" s="77">
        <f t="shared" si="1"/>
        <v>1</v>
      </c>
      <c r="C383" s="67" t="s">
        <v>193</v>
      </c>
      <c r="D383" s="78" t="s">
        <v>194</v>
      </c>
      <c r="E383" s="78" t="s">
        <v>14</v>
      </c>
      <c r="F383" s="100">
        <v>46296.0</v>
      </c>
      <c r="G383" s="81" t="s">
        <v>1030</v>
      </c>
      <c r="H383" s="79" t="s">
        <v>1031</v>
      </c>
      <c r="I383" s="98" t="s">
        <v>18</v>
      </c>
      <c r="L383" s="80" t="str">
        <f t="shared" si="2"/>
        <v>No infirmation</v>
      </c>
      <c r="M383" s="80" t="str">
        <f t="shared" si="3"/>
        <v>20251126_snorkel_batch019__llm_step_onlinemind2web_websites__21</v>
      </c>
    </row>
    <row r="384" ht="15.75" customHeight="1">
      <c r="B384" s="77">
        <f t="shared" si="1"/>
        <v>1</v>
      </c>
      <c r="C384" s="67" t="s">
        <v>193</v>
      </c>
      <c r="D384" s="78" t="s">
        <v>194</v>
      </c>
      <c r="E384" s="78" t="s">
        <v>14</v>
      </c>
      <c r="F384" s="100">
        <v>46296.0</v>
      </c>
      <c r="G384" s="81" t="s">
        <v>1032</v>
      </c>
      <c r="H384" s="79" t="s">
        <v>1033</v>
      </c>
      <c r="I384" s="98" t="s">
        <v>429</v>
      </c>
      <c r="J384" s="67" t="s">
        <v>1034</v>
      </c>
      <c r="L384" s="80" t="str">
        <f t="shared" si="2"/>
        <v>No infirmation</v>
      </c>
      <c r="M384" s="80" t="str">
        <f t="shared" si="3"/>
        <v>20251126_snorkel_batch014__llm_step_webvoyager_websites__70</v>
      </c>
    </row>
    <row r="385" ht="15.75" customHeight="1">
      <c r="B385" s="77">
        <f t="shared" si="1"/>
        <v>1</v>
      </c>
      <c r="C385" s="67" t="s">
        <v>193</v>
      </c>
      <c r="D385" s="78" t="s">
        <v>194</v>
      </c>
      <c r="E385" s="78" t="s">
        <v>14</v>
      </c>
      <c r="F385" s="100">
        <v>46296.0</v>
      </c>
      <c r="G385" s="81" t="s">
        <v>1035</v>
      </c>
      <c r="H385" s="79" t="s">
        <v>1036</v>
      </c>
      <c r="I385" s="98" t="s">
        <v>18</v>
      </c>
      <c r="J385" s="67" t="s">
        <v>1037</v>
      </c>
      <c r="L385" s="80" t="str">
        <f t="shared" si="2"/>
        <v>No infirmation</v>
      </c>
      <c r="M385" s="80" t="str">
        <f t="shared" si="3"/>
        <v>20251126_snorkel_batch011__llm_step_onlinemind2web_websites__67</v>
      </c>
    </row>
    <row r="386" ht="15.75" customHeight="1">
      <c r="B386" s="77">
        <f t="shared" si="1"/>
        <v>1</v>
      </c>
      <c r="C386" s="67" t="s">
        <v>193</v>
      </c>
      <c r="D386" s="78" t="s">
        <v>194</v>
      </c>
      <c r="E386" s="78" t="s">
        <v>14</v>
      </c>
      <c r="F386" s="100">
        <v>46296.0</v>
      </c>
      <c r="G386" s="81" t="s">
        <v>1038</v>
      </c>
      <c r="H386" s="79" t="s">
        <v>1039</v>
      </c>
      <c r="I386" s="98" t="s">
        <v>18</v>
      </c>
      <c r="L386" s="80" t="str">
        <f t="shared" si="2"/>
        <v>No infirmation</v>
      </c>
      <c r="M386" s="80" t="str">
        <f t="shared" si="3"/>
        <v>20251126_snorkel_batch012__llm_step_popular_websites__80</v>
      </c>
    </row>
    <row r="387" ht="15.75" customHeight="1">
      <c r="B387" s="77">
        <f t="shared" si="1"/>
        <v>1</v>
      </c>
      <c r="C387" s="67" t="s">
        <v>193</v>
      </c>
      <c r="D387" s="78" t="s">
        <v>194</v>
      </c>
      <c r="E387" s="78" t="s">
        <v>14</v>
      </c>
      <c r="F387" s="100">
        <v>46327.0</v>
      </c>
      <c r="G387" s="81" t="s">
        <v>1040</v>
      </c>
      <c r="H387" s="79" t="s">
        <v>1041</v>
      </c>
      <c r="I387" s="98" t="s">
        <v>18</v>
      </c>
      <c r="L387" s="80" t="str">
        <f t="shared" si="2"/>
        <v>No infirmation</v>
      </c>
      <c r="M387" s="80" t="str">
        <f t="shared" si="3"/>
        <v>20251126_snorkel_batch018__llm_step_webvoyager_websites__128</v>
      </c>
    </row>
    <row r="388" ht="15.75" customHeight="1">
      <c r="B388" s="77">
        <f t="shared" si="1"/>
        <v>1</v>
      </c>
      <c r="C388" s="67" t="s">
        <v>193</v>
      </c>
      <c r="D388" s="78" t="s">
        <v>194</v>
      </c>
      <c r="E388" s="78" t="s">
        <v>14</v>
      </c>
      <c r="F388" s="100">
        <v>46327.0</v>
      </c>
      <c r="G388" s="81" t="s">
        <v>1042</v>
      </c>
      <c r="H388" s="79" t="s">
        <v>1043</v>
      </c>
      <c r="I388" s="98" t="s">
        <v>18</v>
      </c>
      <c r="L388" s="80" t="str">
        <f t="shared" si="2"/>
        <v>No infirmation</v>
      </c>
      <c r="M388" s="80" t="str">
        <f t="shared" si="3"/>
        <v>20251126_snorkel_batch020__llm_step_onlinemind2web_websites__48</v>
      </c>
    </row>
    <row r="389" ht="15.75" customHeight="1">
      <c r="B389" s="77">
        <f t="shared" si="1"/>
        <v>1</v>
      </c>
      <c r="C389" s="67" t="s">
        <v>193</v>
      </c>
      <c r="D389" s="78" t="s">
        <v>194</v>
      </c>
      <c r="E389" s="78" t="s">
        <v>14</v>
      </c>
      <c r="F389" s="100">
        <v>46327.0</v>
      </c>
      <c r="G389" s="81" t="s">
        <v>1044</v>
      </c>
      <c r="H389" s="79" t="s">
        <v>1045</v>
      </c>
      <c r="I389" s="98" t="s">
        <v>429</v>
      </c>
      <c r="J389" s="67" t="s">
        <v>1046</v>
      </c>
      <c r="L389" s="80" t="str">
        <f t="shared" si="2"/>
        <v>No infirmation</v>
      </c>
      <c r="M389" s="80" t="str">
        <f t="shared" si="3"/>
        <v>20251126_snorkel_batch018__llm_step_popular_websites__115</v>
      </c>
    </row>
    <row r="390" ht="15.75" customHeight="1">
      <c r="B390" s="77">
        <f t="shared" si="1"/>
        <v>1</v>
      </c>
      <c r="C390" s="67" t="s">
        <v>193</v>
      </c>
      <c r="D390" s="78" t="s">
        <v>194</v>
      </c>
      <c r="E390" s="78" t="s">
        <v>14</v>
      </c>
      <c r="F390" s="100">
        <v>46327.0</v>
      </c>
      <c r="G390" s="81" t="s">
        <v>1047</v>
      </c>
      <c r="H390" s="79" t="s">
        <v>1048</v>
      </c>
      <c r="I390" s="98" t="s">
        <v>18</v>
      </c>
      <c r="L390" s="80" t="str">
        <f t="shared" si="2"/>
        <v>No infirmation</v>
      </c>
      <c r="M390" s="80" t="str">
        <f t="shared" si="3"/>
        <v>20251126_snorkel_batch012__llm_step_popular_websites__131</v>
      </c>
    </row>
    <row r="391" ht="15.75" customHeight="1">
      <c r="B391" s="77">
        <f t="shared" si="1"/>
        <v>1</v>
      </c>
      <c r="C391" s="67" t="s">
        <v>193</v>
      </c>
      <c r="D391" s="78" t="s">
        <v>194</v>
      </c>
      <c r="E391" s="78" t="s">
        <v>14</v>
      </c>
      <c r="F391" s="100">
        <v>46327.0</v>
      </c>
      <c r="G391" s="81" t="s">
        <v>1049</v>
      </c>
      <c r="H391" s="79" t="s">
        <v>1050</v>
      </c>
      <c r="I391" s="98" t="s">
        <v>429</v>
      </c>
      <c r="J391" s="67" t="s">
        <v>857</v>
      </c>
      <c r="K391" s="67">
        <v>37.0</v>
      </c>
      <c r="L391" s="80" t="str">
        <f t="shared" si="2"/>
        <v>No infirmation</v>
      </c>
      <c r="M391" s="80" t="str">
        <f t="shared" si="3"/>
        <v>20251126_snorkel_batch015__llm_step_popular_websites__83</v>
      </c>
    </row>
    <row r="392" ht="15.75" customHeight="1">
      <c r="B392" s="77">
        <f t="shared" si="1"/>
        <v>1</v>
      </c>
      <c r="C392" s="67" t="s">
        <v>193</v>
      </c>
      <c r="D392" s="78" t="s">
        <v>194</v>
      </c>
      <c r="E392" s="78" t="s">
        <v>14</v>
      </c>
      <c r="F392" s="100">
        <v>46327.0</v>
      </c>
      <c r="G392" s="81" t="s">
        <v>1051</v>
      </c>
      <c r="H392" s="79" t="s">
        <v>1052</v>
      </c>
      <c r="I392" s="98" t="s">
        <v>18</v>
      </c>
      <c r="L392" s="80" t="str">
        <f t="shared" si="2"/>
        <v>No infirmation</v>
      </c>
      <c r="M392" s="80" t="str">
        <f t="shared" si="3"/>
        <v>20251126_snorkel_batch011__llm_step_onlinemind2web_websites__11</v>
      </c>
    </row>
    <row r="393" ht="15.75" customHeight="1">
      <c r="B393" s="77">
        <f t="shared" si="1"/>
        <v>1</v>
      </c>
      <c r="C393" s="67" t="s">
        <v>199</v>
      </c>
      <c r="D393" s="78" t="s">
        <v>200</v>
      </c>
      <c r="E393" s="78" t="s">
        <v>14</v>
      </c>
      <c r="F393" s="100">
        <v>46327.0</v>
      </c>
      <c r="G393" s="67" t="s">
        <v>1053</v>
      </c>
      <c r="H393" s="83" t="s">
        <v>1054</v>
      </c>
      <c r="I393" s="98" t="s">
        <v>18</v>
      </c>
      <c r="J393" s="67" t="s">
        <v>1055</v>
      </c>
      <c r="L393" s="80" t="str">
        <f t="shared" si="2"/>
        <v>No infirmation</v>
      </c>
      <c r="M393" s="80" t="str">
        <f t="shared" si="3"/>
        <v>20251126_snorkel_batch020__llm_step_webvoyager_websites__22</v>
      </c>
    </row>
    <row r="394" ht="15.75" customHeight="1">
      <c r="B394" s="77">
        <f t="shared" si="1"/>
        <v>1</v>
      </c>
      <c r="C394" s="67" t="s">
        <v>199</v>
      </c>
      <c r="D394" s="78" t="s">
        <v>200</v>
      </c>
      <c r="E394" s="78" t="s">
        <v>14</v>
      </c>
      <c r="F394" s="100">
        <v>46327.0</v>
      </c>
      <c r="G394" s="67" t="s">
        <v>1056</v>
      </c>
      <c r="H394" s="82" t="s">
        <v>1057</v>
      </c>
      <c r="I394" s="98" t="s">
        <v>18</v>
      </c>
      <c r="J394" s="67" t="s">
        <v>1058</v>
      </c>
      <c r="L394" s="80" t="str">
        <f t="shared" si="2"/>
        <v>No infirmation</v>
      </c>
      <c r="M394" s="80" t="str">
        <f t="shared" si="3"/>
        <v>20251126_snorkel_batch013__llm_step_popular_websites__19</v>
      </c>
    </row>
    <row r="395" ht="15.75" customHeight="1">
      <c r="B395" s="77">
        <f t="shared" si="1"/>
        <v>1</v>
      </c>
      <c r="C395" s="67" t="s">
        <v>199</v>
      </c>
      <c r="D395" s="78" t="s">
        <v>200</v>
      </c>
      <c r="E395" s="78" t="s">
        <v>14</v>
      </c>
      <c r="F395" s="100">
        <v>46327.0</v>
      </c>
      <c r="G395" s="67" t="s">
        <v>1059</v>
      </c>
      <c r="H395" s="83" t="s">
        <v>1060</v>
      </c>
      <c r="I395" s="98" t="s">
        <v>18</v>
      </c>
      <c r="J395" s="67" t="s">
        <v>1061</v>
      </c>
      <c r="L395" s="80" t="str">
        <f t="shared" si="2"/>
        <v>No infirmation</v>
      </c>
      <c r="M395" s="80" t="str">
        <f t="shared" si="3"/>
        <v>20251126_snorkel_batch019__llm_step_webvoyager_websites__128</v>
      </c>
    </row>
    <row r="396" ht="15.75" customHeight="1">
      <c r="B396" s="77">
        <f t="shared" si="1"/>
        <v>4</v>
      </c>
      <c r="C396" s="67" t="s">
        <v>199</v>
      </c>
      <c r="D396" s="78" t="s">
        <v>200</v>
      </c>
      <c r="E396" s="78" t="s">
        <v>14</v>
      </c>
      <c r="F396" s="100">
        <v>46327.0</v>
      </c>
      <c r="G396" s="67" t="s">
        <v>1062</v>
      </c>
      <c r="H396" s="83" t="s">
        <v>1063</v>
      </c>
      <c r="I396" s="98" t="s">
        <v>18</v>
      </c>
      <c r="J396" s="67" t="s">
        <v>1064</v>
      </c>
      <c r="L396" s="80" t="str">
        <f t="shared" si="2"/>
        <v>No infirmation</v>
      </c>
      <c r="M396" s="80" t="str">
        <f t="shared" si="3"/>
        <v>20251126_snorkel_batch014__llm_step_onlinemind2web_websites__76</v>
      </c>
    </row>
    <row r="397" ht="15.75" customHeight="1">
      <c r="B397" s="77">
        <f t="shared" si="1"/>
        <v>1</v>
      </c>
      <c r="C397" s="67" t="s">
        <v>195</v>
      </c>
      <c r="D397" s="78" t="s">
        <v>196</v>
      </c>
      <c r="E397" s="78" t="s">
        <v>14</v>
      </c>
      <c r="F397" s="100">
        <v>46327.0</v>
      </c>
      <c r="G397" s="81" t="s">
        <v>1065</v>
      </c>
      <c r="H397" s="79" t="s">
        <v>1066</v>
      </c>
      <c r="I397" s="98" t="s">
        <v>18</v>
      </c>
      <c r="J397" s="67" t="s">
        <v>1067</v>
      </c>
      <c r="L397" s="80" t="str">
        <f t="shared" si="2"/>
        <v>No infirmation</v>
      </c>
      <c r="M397" s="80" t="str">
        <f t="shared" si="3"/>
        <v>20251126_snorkel_batch015__llm_step_onlinemind2web_websites__169</v>
      </c>
    </row>
    <row r="398" ht="15.75" customHeight="1">
      <c r="B398" s="77">
        <f t="shared" si="1"/>
        <v>1</v>
      </c>
      <c r="C398" s="67" t="s">
        <v>195</v>
      </c>
      <c r="D398" s="78" t="s">
        <v>196</v>
      </c>
      <c r="E398" s="78" t="s">
        <v>14</v>
      </c>
      <c r="F398" s="100">
        <v>46327.0</v>
      </c>
      <c r="G398" s="81" t="s">
        <v>1068</v>
      </c>
      <c r="H398" s="79" t="s">
        <v>1069</v>
      </c>
      <c r="I398" s="98" t="s">
        <v>18</v>
      </c>
      <c r="J398" s="67" t="s">
        <v>1070</v>
      </c>
      <c r="L398" s="80" t="str">
        <f t="shared" si="2"/>
        <v>No infirmation</v>
      </c>
      <c r="M398" s="80" t="str">
        <f t="shared" si="3"/>
        <v>20251126_snorkel_batch020__llm_step_popular_websites__31</v>
      </c>
    </row>
    <row r="399" ht="15.75" customHeight="1">
      <c r="B399" s="77">
        <f t="shared" si="1"/>
        <v>1</v>
      </c>
      <c r="C399" s="67" t="s">
        <v>195</v>
      </c>
      <c r="D399" s="78" t="s">
        <v>196</v>
      </c>
      <c r="E399" s="78" t="s">
        <v>14</v>
      </c>
      <c r="F399" s="100">
        <v>46327.0</v>
      </c>
      <c r="G399" s="81" t="s">
        <v>1071</v>
      </c>
      <c r="H399" s="79" t="s">
        <v>1072</v>
      </c>
      <c r="I399" s="98" t="s">
        <v>18</v>
      </c>
      <c r="J399" s="67" t="s">
        <v>772</v>
      </c>
      <c r="L399" s="80" t="str">
        <f t="shared" si="2"/>
        <v>No infirmation</v>
      </c>
      <c r="M399" s="80" t="str">
        <f t="shared" si="3"/>
        <v>20251126_snorkel_batch014__llm_step_onlinemind2web_websites__153</v>
      </c>
    </row>
    <row r="400" ht="15.75" customHeight="1">
      <c r="B400" s="77">
        <f t="shared" si="1"/>
        <v>1</v>
      </c>
      <c r="C400" s="67" t="s">
        <v>195</v>
      </c>
      <c r="D400" s="78" t="s">
        <v>196</v>
      </c>
      <c r="E400" s="78" t="s">
        <v>14</v>
      </c>
      <c r="F400" s="100">
        <v>46327.0</v>
      </c>
      <c r="G400" s="81" t="s">
        <v>1073</v>
      </c>
      <c r="H400" s="79" t="s">
        <v>1074</v>
      </c>
      <c r="I400" s="98" t="s">
        <v>18</v>
      </c>
      <c r="J400" s="67" t="s">
        <v>772</v>
      </c>
      <c r="L400" s="80" t="str">
        <f t="shared" si="2"/>
        <v>No infirmation</v>
      </c>
      <c r="M400" s="80" t="str">
        <f t="shared" si="3"/>
        <v>20251126_snorkel_batch013__llm_step_webvoyager_websites__118</v>
      </c>
    </row>
    <row r="401" ht="15.75" customHeight="1">
      <c r="B401" s="77">
        <f t="shared" si="1"/>
        <v>1</v>
      </c>
      <c r="C401" s="67" t="s">
        <v>195</v>
      </c>
      <c r="D401" s="78" t="s">
        <v>196</v>
      </c>
      <c r="E401" s="78" t="s">
        <v>14</v>
      </c>
      <c r="F401" s="100">
        <v>46327.0</v>
      </c>
      <c r="G401" s="81" t="s">
        <v>1075</v>
      </c>
      <c r="H401" s="79" t="s">
        <v>1076</v>
      </c>
      <c r="I401" s="98" t="s">
        <v>18</v>
      </c>
      <c r="J401" s="67" t="s">
        <v>1077</v>
      </c>
      <c r="L401" s="80" t="str">
        <f t="shared" si="2"/>
        <v>No infirmation</v>
      </c>
      <c r="M401" s="80" t="str">
        <f t="shared" si="3"/>
        <v>20251126_snorkel_batch013__llm_step_webvoyager_websites__114</v>
      </c>
    </row>
    <row r="402" ht="15.75" customHeight="1">
      <c r="B402" s="77">
        <f t="shared" si="1"/>
        <v>1</v>
      </c>
      <c r="C402" s="67" t="s">
        <v>193</v>
      </c>
      <c r="D402" s="78" t="s">
        <v>194</v>
      </c>
      <c r="E402" s="78" t="s">
        <v>14</v>
      </c>
      <c r="F402" s="100">
        <v>46327.0</v>
      </c>
      <c r="G402" s="67" t="s">
        <v>1078</v>
      </c>
      <c r="H402" s="79" t="s">
        <v>1079</v>
      </c>
      <c r="I402" s="98" t="s">
        <v>18</v>
      </c>
      <c r="L402" s="80" t="str">
        <f t="shared" si="2"/>
        <v>No infirmation</v>
      </c>
      <c r="M402" s="80" t="str">
        <f t="shared" si="3"/>
        <v>20251126_snorkel_batch019__llm_step_popular_websites__72</v>
      </c>
    </row>
    <row r="403" ht="15.75" customHeight="1">
      <c r="B403" s="77">
        <f t="shared" si="1"/>
        <v>1</v>
      </c>
      <c r="C403" s="67" t="s">
        <v>193</v>
      </c>
      <c r="D403" s="78" t="s">
        <v>194</v>
      </c>
      <c r="E403" s="78" t="s">
        <v>14</v>
      </c>
      <c r="F403" s="100">
        <v>46327.0</v>
      </c>
      <c r="G403" s="81" t="s">
        <v>1080</v>
      </c>
      <c r="H403" s="79" t="s">
        <v>1081</v>
      </c>
      <c r="I403" s="98" t="s">
        <v>18</v>
      </c>
      <c r="L403" s="80" t="str">
        <f t="shared" si="2"/>
        <v>No infirmation</v>
      </c>
      <c r="M403" s="80" t="str">
        <f t="shared" si="3"/>
        <v>20251126_snorkel_batch017__llm_step_popular_websites__147</v>
      </c>
    </row>
    <row r="404" ht="15.75" customHeight="1">
      <c r="B404" s="77">
        <f t="shared" si="1"/>
        <v>1</v>
      </c>
      <c r="C404" s="67" t="s">
        <v>193</v>
      </c>
      <c r="D404" s="78" t="s">
        <v>194</v>
      </c>
      <c r="E404" s="78" t="s">
        <v>14</v>
      </c>
      <c r="F404" s="100">
        <v>46327.0</v>
      </c>
      <c r="G404" s="81" t="s">
        <v>1082</v>
      </c>
      <c r="H404" s="79" t="s">
        <v>1083</v>
      </c>
      <c r="I404" s="98" t="s">
        <v>18</v>
      </c>
      <c r="L404" s="80" t="str">
        <f t="shared" si="2"/>
        <v>No infirmation</v>
      </c>
      <c r="M404" s="80" t="str">
        <f t="shared" si="3"/>
        <v>20251126_snorkel_batch011__llm_step_webvoyager_websites__150</v>
      </c>
    </row>
    <row r="405" ht="15.75" customHeight="1">
      <c r="B405" s="77">
        <f t="shared" si="1"/>
        <v>1</v>
      </c>
      <c r="C405" s="67" t="s">
        <v>193</v>
      </c>
      <c r="D405" s="78" t="s">
        <v>194</v>
      </c>
      <c r="E405" s="78" t="s">
        <v>14</v>
      </c>
      <c r="F405" s="100">
        <v>46327.0</v>
      </c>
      <c r="G405" s="81" t="s">
        <v>1084</v>
      </c>
      <c r="H405" s="79" t="s">
        <v>1085</v>
      </c>
      <c r="I405" s="98" t="s">
        <v>18</v>
      </c>
      <c r="L405" s="80" t="str">
        <f t="shared" si="2"/>
        <v>No infirmation</v>
      </c>
      <c r="M405" s="80" t="str">
        <f t="shared" si="3"/>
        <v>20251121_snorkel_batch008__webvoyager_like__253</v>
      </c>
    </row>
    <row r="406" ht="15.75" customHeight="1">
      <c r="B406" s="77">
        <f t="shared" si="1"/>
        <v>1</v>
      </c>
      <c r="C406" s="67" t="s">
        <v>193</v>
      </c>
      <c r="D406" s="78" t="s">
        <v>194</v>
      </c>
      <c r="E406" s="78" t="s">
        <v>14</v>
      </c>
      <c r="F406" s="100">
        <v>46327.0</v>
      </c>
      <c r="G406" s="81" t="s">
        <v>1086</v>
      </c>
      <c r="H406" s="79" t="s">
        <v>1087</v>
      </c>
      <c r="I406" s="98" t="s">
        <v>18</v>
      </c>
      <c r="L406" s="80" t="str">
        <f t="shared" si="2"/>
        <v>No infirmation</v>
      </c>
      <c r="M406" s="80" t="str">
        <f t="shared" si="3"/>
        <v>20251126_snorkel_batch013__llm_step_onlinemind2web_websites__134</v>
      </c>
    </row>
    <row r="407" ht="15.75" customHeight="1">
      <c r="B407" s="77">
        <f t="shared" si="1"/>
        <v>1</v>
      </c>
      <c r="C407" s="67" t="s">
        <v>193</v>
      </c>
      <c r="D407" s="78" t="s">
        <v>194</v>
      </c>
      <c r="E407" s="78" t="s">
        <v>14</v>
      </c>
      <c r="F407" s="100">
        <v>46327.0</v>
      </c>
      <c r="G407" s="81" t="s">
        <v>1088</v>
      </c>
      <c r="H407" s="79" t="s">
        <v>1089</v>
      </c>
      <c r="I407" s="98" t="s">
        <v>18</v>
      </c>
      <c r="L407" s="80" t="str">
        <f t="shared" si="2"/>
        <v>No infirmation</v>
      </c>
      <c r="M407" s="80" t="str">
        <f t="shared" si="3"/>
        <v>20251126_snorkel_batch019__llm_step_onlinemind2web_websites__166</v>
      </c>
    </row>
    <row r="408" ht="15.75" customHeight="1">
      <c r="B408" s="77">
        <f t="shared" si="1"/>
        <v>1</v>
      </c>
      <c r="C408" s="67" t="s">
        <v>193</v>
      </c>
      <c r="D408" s="78" t="s">
        <v>194</v>
      </c>
      <c r="E408" s="78" t="s">
        <v>14</v>
      </c>
      <c r="F408" s="100">
        <v>46327.0</v>
      </c>
      <c r="G408" s="81" t="s">
        <v>1090</v>
      </c>
      <c r="H408" s="82" t="s">
        <v>1091</v>
      </c>
      <c r="I408" s="98" t="s">
        <v>18</v>
      </c>
      <c r="L408" s="80" t="str">
        <f t="shared" si="2"/>
        <v>No infirmation</v>
      </c>
      <c r="M408" s="80" t="str">
        <f t="shared" si="3"/>
        <v>20251126_snorkel_batch020__llm_step_webvoyager_websites__14</v>
      </c>
    </row>
    <row r="409" ht="15.75" customHeight="1">
      <c r="B409" s="77">
        <f t="shared" si="1"/>
        <v>1</v>
      </c>
      <c r="C409" s="67" t="s">
        <v>193</v>
      </c>
      <c r="D409" s="78" t="s">
        <v>194</v>
      </c>
      <c r="E409" s="78" t="s">
        <v>14</v>
      </c>
      <c r="F409" s="100">
        <v>46327.0</v>
      </c>
      <c r="G409" s="81" t="s">
        <v>1092</v>
      </c>
      <c r="H409" s="79" t="s">
        <v>1093</v>
      </c>
      <c r="I409" s="98" t="s">
        <v>18</v>
      </c>
      <c r="L409" s="80" t="str">
        <f t="shared" si="2"/>
        <v>No infirmation</v>
      </c>
      <c r="M409" s="80" t="str">
        <f t="shared" si="3"/>
        <v>20251126_snorkel_batch017__llm_step_onlinemind2web_websites__0</v>
      </c>
    </row>
    <row r="410" ht="15.75" customHeight="1">
      <c r="B410" s="77">
        <f t="shared" si="1"/>
        <v>1</v>
      </c>
      <c r="C410" s="67" t="s">
        <v>193</v>
      </c>
      <c r="D410" s="78" t="s">
        <v>194</v>
      </c>
      <c r="E410" s="78" t="s">
        <v>14</v>
      </c>
      <c r="F410" s="100">
        <v>46327.0</v>
      </c>
      <c r="G410" s="81" t="s">
        <v>1094</v>
      </c>
      <c r="H410" s="79" t="s">
        <v>1095</v>
      </c>
      <c r="I410" s="98" t="s">
        <v>18</v>
      </c>
      <c r="L410" s="80" t="str">
        <f t="shared" si="2"/>
        <v>No infirmation</v>
      </c>
      <c r="M410" s="80" t="str">
        <f t="shared" si="3"/>
        <v>20251126_snorkel_batch015__llm_step_popular_websites__107</v>
      </c>
    </row>
    <row r="411" ht="15.75" customHeight="1">
      <c r="B411" s="77">
        <f t="shared" si="1"/>
        <v>1</v>
      </c>
      <c r="C411" s="67" t="s">
        <v>193</v>
      </c>
      <c r="D411" s="78" t="s">
        <v>194</v>
      </c>
      <c r="E411" s="78" t="s">
        <v>14</v>
      </c>
      <c r="F411" s="100">
        <v>46327.0</v>
      </c>
      <c r="G411" s="81" t="s">
        <v>1096</v>
      </c>
      <c r="H411" s="79" t="s">
        <v>1097</v>
      </c>
      <c r="I411" s="98" t="s">
        <v>18</v>
      </c>
      <c r="L411" s="80" t="str">
        <f t="shared" si="2"/>
        <v>No infirmation</v>
      </c>
      <c r="M411" s="80" t="str">
        <f t="shared" si="3"/>
        <v>20251126_snorkel_batch017__llm_step_onlinemind2web_websites__20</v>
      </c>
    </row>
    <row r="412" ht="15.75" customHeight="1">
      <c r="B412" s="77">
        <f t="shared" si="1"/>
        <v>1</v>
      </c>
      <c r="C412" s="67" t="s">
        <v>193</v>
      </c>
      <c r="D412" s="78" t="s">
        <v>194</v>
      </c>
      <c r="E412" s="78" t="s">
        <v>14</v>
      </c>
      <c r="F412" s="100">
        <v>46327.0</v>
      </c>
      <c r="G412" s="81" t="s">
        <v>1098</v>
      </c>
      <c r="H412" s="79" t="s">
        <v>1099</v>
      </c>
      <c r="I412" s="98" t="s">
        <v>18</v>
      </c>
      <c r="L412" s="80" t="str">
        <f t="shared" si="2"/>
        <v>No infirmation</v>
      </c>
      <c r="M412" s="80" t="str">
        <f t="shared" si="3"/>
        <v>20251126_snorkel_batch014__llm_step_onlinemind2web_websites__46</v>
      </c>
    </row>
    <row r="413" ht="15.75" customHeight="1">
      <c r="B413" s="77">
        <f t="shared" si="1"/>
        <v>1</v>
      </c>
      <c r="C413" s="67" t="s">
        <v>193</v>
      </c>
      <c r="D413" s="78" t="s">
        <v>194</v>
      </c>
      <c r="E413" s="78" t="s">
        <v>14</v>
      </c>
      <c r="F413" s="100">
        <v>46327.0</v>
      </c>
      <c r="G413" s="81" t="s">
        <v>1100</v>
      </c>
      <c r="H413" s="79" t="s">
        <v>1101</v>
      </c>
      <c r="I413" s="98" t="s">
        <v>429</v>
      </c>
      <c r="J413" s="67" t="s">
        <v>1024</v>
      </c>
      <c r="L413" s="80" t="str">
        <f t="shared" si="2"/>
        <v>No infirmation</v>
      </c>
      <c r="M413" s="80" t="str">
        <f t="shared" si="3"/>
        <v>20251126_snorkel_batch020__llm_step_popular_websites__16</v>
      </c>
    </row>
    <row r="414" ht="15.75" customHeight="1">
      <c r="B414" s="77">
        <f t="shared" si="1"/>
        <v>1</v>
      </c>
      <c r="C414" s="67" t="s">
        <v>193</v>
      </c>
      <c r="D414" s="78" t="s">
        <v>194</v>
      </c>
      <c r="E414" s="78" t="s">
        <v>14</v>
      </c>
      <c r="F414" s="100">
        <v>46327.0</v>
      </c>
      <c r="G414" s="81" t="s">
        <v>1102</v>
      </c>
      <c r="H414" s="79" t="s">
        <v>1103</v>
      </c>
      <c r="I414" s="98" t="s">
        <v>18</v>
      </c>
      <c r="L414" s="80" t="str">
        <f t="shared" si="2"/>
        <v>No infirmation</v>
      </c>
      <c r="M414" s="80" t="str">
        <f t="shared" si="3"/>
        <v>20251126_snorkel_batch014__llm_step_onlinemind2web_websites__25</v>
      </c>
    </row>
    <row r="415" ht="15.75" customHeight="1">
      <c r="B415" s="77">
        <f t="shared" si="1"/>
        <v>1</v>
      </c>
      <c r="C415" s="67" t="s">
        <v>193</v>
      </c>
      <c r="D415" s="78" t="s">
        <v>194</v>
      </c>
      <c r="E415" s="78" t="s">
        <v>14</v>
      </c>
      <c r="F415" s="100">
        <v>46327.0</v>
      </c>
      <c r="G415" s="81" t="s">
        <v>1104</v>
      </c>
      <c r="H415" s="79" t="s">
        <v>1105</v>
      </c>
      <c r="I415" s="98" t="s">
        <v>18</v>
      </c>
      <c r="J415" s="67" t="s">
        <v>1077</v>
      </c>
      <c r="L415" s="80" t="str">
        <f t="shared" si="2"/>
        <v>No infirmation</v>
      </c>
      <c r="M415" s="80" t="str">
        <f t="shared" si="3"/>
        <v>20251126_snorkel_batch012__llm_step_webvoyager_websites__102</v>
      </c>
    </row>
    <row r="416" ht="15.75" customHeight="1">
      <c r="B416" s="77">
        <f t="shared" si="1"/>
        <v>1</v>
      </c>
      <c r="C416" s="67" t="s">
        <v>193</v>
      </c>
      <c r="D416" s="78" t="s">
        <v>194</v>
      </c>
      <c r="E416" s="78" t="s">
        <v>14</v>
      </c>
      <c r="F416" s="100">
        <v>46327.0</v>
      </c>
      <c r="G416" s="81" t="s">
        <v>1106</v>
      </c>
      <c r="I416" s="98" t="s">
        <v>18</v>
      </c>
      <c r="L416" s="80" t="str">
        <f t="shared" si="2"/>
        <v>No infirmation</v>
      </c>
      <c r="M416" s="80" t="str">
        <f t="shared" si="3"/>
        <v/>
      </c>
    </row>
    <row r="417" ht="15.75" customHeight="1">
      <c r="B417" s="77">
        <f t="shared" si="1"/>
        <v>1</v>
      </c>
      <c r="C417" s="67" t="s">
        <v>193</v>
      </c>
      <c r="D417" s="78" t="s">
        <v>194</v>
      </c>
      <c r="E417" s="78" t="s">
        <v>14</v>
      </c>
      <c r="F417" s="100">
        <v>46327.0</v>
      </c>
      <c r="G417" s="81" t="s">
        <v>1107</v>
      </c>
      <c r="H417" s="79" t="s">
        <v>1108</v>
      </c>
      <c r="I417" s="98" t="s">
        <v>429</v>
      </c>
      <c r="L417" s="80" t="str">
        <f t="shared" si="2"/>
        <v>No infirmation</v>
      </c>
      <c r="M417" s="80" t="str">
        <f t="shared" si="3"/>
        <v>20251126_snorkel_batch017__llm_step_popular_websites__105</v>
      </c>
    </row>
    <row r="418" ht="15.75" customHeight="1">
      <c r="B418" s="77">
        <f t="shared" si="1"/>
        <v>1</v>
      </c>
      <c r="C418" s="67" t="s">
        <v>193</v>
      </c>
      <c r="D418" s="78" t="s">
        <v>194</v>
      </c>
      <c r="E418" s="78" t="s">
        <v>14</v>
      </c>
      <c r="F418" s="100">
        <v>46327.0</v>
      </c>
      <c r="G418" s="81" t="s">
        <v>1109</v>
      </c>
      <c r="H418" s="79" t="s">
        <v>1110</v>
      </c>
      <c r="I418" s="98" t="s">
        <v>18</v>
      </c>
      <c r="L418" s="80" t="str">
        <f t="shared" si="2"/>
        <v>No infirmation</v>
      </c>
      <c r="M418" s="80" t="str">
        <f t="shared" si="3"/>
        <v>20251126_snorkel_batch017__llm_step_webvoyager_websites__160</v>
      </c>
    </row>
    <row r="419" ht="15.75" customHeight="1">
      <c r="B419" s="77">
        <f t="shared" si="1"/>
        <v>1</v>
      </c>
      <c r="C419" s="67" t="s">
        <v>193</v>
      </c>
      <c r="D419" s="78" t="s">
        <v>194</v>
      </c>
      <c r="E419" s="78" t="s">
        <v>14</v>
      </c>
      <c r="F419" s="100">
        <v>46327.0</v>
      </c>
      <c r="G419" s="81" t="s">
        <v>1111</v>
      </c>
      <c r="H419" s="79" t="s">
        <v>1112</v>
      </c>
      <c r="I419" s="98" t="s">
        <v>18</v>
      </c>
      <c r="L419" s="80" t="str">
        <f t="shared" si="2"/>
        <v>No infirmation</v>
      </c>
      <c r="M419" s="80" t="str">
        <f t="shared" si="3"/>
        <v>20251126_snorkel_batch013__llm_step_onlinemind2web_websites__78</v>
      </c>
    </row>
    <row r="420" ht="15.75" customHeight="1">
      <c r="B420" s="77">
        <f t="shared" si="1"/>
        <v>1</v>
      </c>
      <c r="C420" s="67" t="s">
        <v>193</v>
      </c>
      <c r="D420" s="78" t="s">
        <v>194</v>
      </c>
      <c r="E420" s="78" t="s">
        <v>14</v>
      </c>
      <c r="F420" s="100">
        <v>46327.0</v>
      </c>
      <c r="G420" s="81" t="s">
        <v>1113</v>
      </c>
      <c r="H420" s="79" t="s">
        <v>1114</v>
      </c>
      <c r="I420" s="98" t="s">
        <v>18</v>
      </c>
      <c r="L420" s="80" t="str">
        <f t="shared" si="2"/>
        <v>No infirmation</v>
      </c>
      <c r="M420" s="80" t="str">
        <f t="shared" si="3"/>
        <v>20251126_snorkel_batch011__llm_step_webvoyager_websites__161</v>
      </c>
    </row>
    <row r="421" ht="15.75" customHeight="1">
      <c r="B421" s="77">
        <f t="shared" si="1"/>
        <v>1</v>
      </c>
      <c r="C421" s="67" t="s">
        <v>193</v>
      </c>
      <c r="D421" s="78" t="s">
        <v>194</v>
      </c>
      <c r="E421" s="78" t="s">
        <v>14</v>
      </c>
      <c r="F421" s="100">
        <v>46327.0</v>
      </c>
      <c r="G421" s="81" t="s">
        <v>1115</v>
      </c>
      <c r="H421" s="79" t="s">
        <v>1116</v>
      </c>
      <c r="I421" s="98" t="s">
        <v>18</v>
      </c>
      <c r="L421" s="80" t="str">
        <f t="shared" si="2"/>
        <v>No infirmation</v>
      </c>
      <c r="M421" s="80" t="str">
        <f t="shared" si="3"/>
        <v>20251126_snorkel_batch020__llm_step_webvoyager_websites__29</v>
      </c>
    </row>
    <row r="422" ht="15.75" customHeight="1">
      <c r="B422" s="77">
        <f t="shared" si="1"/>
        <v>1</v>
      </c>
      <c r="C422" s="67" t="s">
        <v>193</v>
      </c>
      <c r="D422" s="78" t="s">
        <v>194</v>
      </c>
      <c r="E422" s="78" t="s">
        <v>14</v>
      </c>
      <c r="F422" s="100">
        <v>46327.0</v>
      </c>
      <c r="G422" s="81" t="s">
        <v>1117</v>
      </c>
      <c r="H422" s="79" t="s">
        <v>1118</v>
      </c>
      <c r="I422" s="98" t="s">
        <v>18</v>
      </c>
      <c r="L422" s="80" t="str">
        <f t="shared" si="2"/>
        <v>No infirmation</v>
      </c>
      <c r="M422" s="80" t="str">
        <f t="shared" si="3"/>
        <v>20251126_snorkel_batch018__llm_step_onlinemind2web_websites__3</v>
      </c>
    </row>
    <row r="423" ht="15.75" customHeight="1">
      <c r="B423" s="77">
        <f t="shared" si="1"/>
        <v>1</v>
      </c>
      <c r="C423" s="67" t="s">
        <v>193</v>
      </c>
      <c r="D423" s="78" t="s">
        <v>194</v>
      </c>
      <c r="E423" s="78" t="s">
        <v>14</v>
      </c>
      <c r="F423" s="100">
        <v>46327.0</v>
      </c>
      <c r="G423" s="81" t="s">
        <v>1119</v>
      </c>
      <c r="H423" s="79" t="s">
        <v>1120</v>
      </c>
      <c r="I423" s="98" t="s">
        <v>429</v>
      </c>
      <c r="J423" s="67" t="s">
        <v>1121</v>
      </c>
      <c r="L423" s="80" t="str">
        <f t="shared" si="2"/>
        <v>No infirmation</v>
      </c>
      <c r="M423" s="80" t="str">
        <f t="shared" si="3"/>
        <v>20251126_snorkel_batch018__llm_step_popular_websites__147</v>
      </c>
    </row>
    <row r="424" ht="15.75" customHeight="1">
      <c r="B424" s="77">
        <f t="shared" si="1"/>
        <v>1</v>
      </c>
      <c r="C424" s="67" t="s">
        <v>193</v>
      </c>
      <c r="D424" s="78" t="s">
        <v>194</v>
      </c>
      <c r="E424" s="78" t="s">
        <v>14</v>
      </c>
      <c r="F424" s="100">
        <v>46327.0</v>
      </c>
      <c r="G424" s="81" t="s">
        <v>1122</v>
      </c>
      <c r="H424" s="79" t="s">
        <v>1123</v>
      </c>
      <c r="I424" s="98" t="s">
        <v>18</v>
      </c>
      <c r="L424" s="80" t="str">
        <f t="shared" si="2"/>
        <v>No infirmation</v>
      </c>
      <c r="M424" s="80" t="str">
        <f t="shared" si="3"/>
        <v>20251126_snorkel_batch012__llm_step_onlinemind2web_websites__35</v>
      </c>
    </row>
    <row r="425" ht="15.75" customHeight="1">
      <c r="B425" s="77">
        <f t="shared" si="1"/>
        <v>1</v>
      </c>
      <c r="C425" s="67" t="s">
        <v>195</v>
      </c>
      <c r="D425" s="78" t="s">
        <v>196</v>
      </c>
      <c r="E425" s="78" t="s">
        <v>14</v>
      </c>
      <c r="F425" s="100">
        <v>46327.0</v>
      </c>
      <c r="G425" s="81" t="s">
        <v>1124</v>
      </c>
      <c r="H425" s="79" t="s">
        <v>1125</v>
      </c>
      <c r="I425" s="98" t="s">
        <v>18</v>
      </c>
      <c r="J425" s="67" t="s">
        <v>1126</v>
      </c>
      <c r="L425" s="80" t="str">
        <f t="shared" si="2"/>
        <v>No infirmation</v>
      </c>
      <c r="M425" s="80" t="str">
        <f t="shared" si="3"/>
        <v>20251126_snorkel_batch020__llm_step_webvoyager_websites__0</v>
      </c>
    </row>
    <row r="426" ht="15.75" customHeight="1">
      <c r="B426" s="77">
        <f t="shared" si="1"/>
        <v>1</v>
      </c>
      <c r="C426" s="67" t="s">
        <v>195</v>
      </c>
      <c r="D426" s="78" t="s">
        <v>196</v>
      </c>
      <c r="E426" s="78" t="s">
        <v>14</v>
      </c>
      <c r="F426" s="100">
        <v>46327.0</v>
      </c>
      <c r="G426" s="81" t="s">
        <v>1127</v>
      </c>
      <c r="H426" s="79" t="s">
        <v>1128</v>
      </c>
      <c r="I426" s="98" t="s">
        <v>18</v>
      </c>
      <c r="J426" s="67" t="s">
        <v>772</v>
      </c>
      <c r="L426" s="80" t="str">
        <f t="shared" si="2"/>
        <v>No infirmation</v>
      </c>
      <c r="M426" s="80" t="str">
        <f t="shared" si="3"/>
        <v>20251126_snorkel_batch015__llm_step_webvoyager_websites__8</v>
      </c>
    </row>
    <row r="427" ht="15.75" customHeight="1">
      <c r="B427" s="77">
        <f t="shared" si="1"/>
        <v>1</v>
      </c>
      <c r="C427" s="67" t="s">
        <v>195</v>
      </c>
      <c r="D427" s="78" t="s">
        <v>196</v>
      </c>
      <c r="E427" s="78" t="s">
        <v>14</v>
      </c>
      <c r="F427" s="100">
        <v>46327.0</v>
      </c>
      <c r="G427" s="81" t="s">
        <v>1129</v>
      </c>
      <c r="H427" s="79" t="s">
        <v>1130</v>
      </c>
      <c r="I427" s="98" t="s">
        <v>18</v>
      </c>
      <c r="L427" s="80" t="str">
        <f t="shared" si="2"/>
        <v>No infirmation</v>
      </c>
      <c r="M427" s="80" t="str">
        <f t="shared" si="3"/>
        <v>20251126_snorkel_batch014__llm_step_webvoyager_websites__102</v>
      </c>
    </row>
    <row r="428" ht="15.75" customHeight="1">
      <c r="B428" s="77">
        <f t="shared" si="1"/>
        <v>1</v>
      </c>
      <c r="C428" s="67" t="s">
        <v>195</v>
      </c>
      <c r="D428" s="78" t="s">
        <v>196</v>
      </c>
      <c r="E428" s="78" t="s">
        <v>14</v>
      </c>
      <c r="F428" s="100">
        <v>46327.0</v>
      </c>
      <c r="G428" s="81" t="s">
        <v>1131</v>
      </c>
      <c r="H428" s="79" t="s">
        <v>1132</v>
      </c>
      <c r="I428" s="98" t="s">
        <v>18</v>
      </c>
      <c r="J428" s="67" t="s">
        <v>1133</v>
      </c>
      <c r="L428" s="80" t="str">
        <f t="shared" si="2"/>
        <v>No infirmation</v>
      </c>
      <c r="M428" s="80" t="str">
        <f t="shared" si="3"/>
        <v>20251126_snorkel_batch018__llm_step_popular_websites__93</v>
      </c>
    </row>
    <row r="429" ht="15.75" customHeight="1">
      <c r="B429" s="77">
        <f t="shared" si="1"/>
        <v>1</v>
      </c>
      <c r="C429" s="67" t="s">
        <v>195</v>
      </c>
      <c r="D429" s="78" t="s">
        <v>196</v>
      </c>
      <c r="E429" s="78" t="s">
        <v>14</v>
      </c>
      <c r="F429" s="100">
        <v>46327.0</v>
      </c>
      <c r="G429" s="81" t="s">
        <v>1134</v>
      </c>
      <c r="H429" s="79" t="s">
        <v>1135</v>
      </c>
      <c r="I429" s="98" t="s">
        <v>18</v>
      </c>
      <c r="J429" s="67" t="s">
        <v>1077</v>
      </c>
      <c r="L429" s="80" t="str">
        <f t="shared" si="2"/>
        <v>No infirmation</v>
      </c>
      <c r="M429" s="80" t="str">
        <f t="shared" si="3"/>
        <v>20251126_snorkel_batch018__llm_step_popular_websites__9</v>
      </c>
    </row>
    <row r="430" ht="15.75" customHeight="1">
      <c r="B430" s="77">
        <f t="shared" si="1"/>
        <v>1</v>
      </c>
      <c r="C430" s="67" t="s">
        <v>195</v>
      </c>
      <c r="D430" s="78" t="s">
        <v>196</v>
      </c>
      <c r="E430" s="78" t="s">
        <v>14</v>
      </c>
      <c r="F430" s="100">
        <v>46327.0</v>
      </c>
      <c r="G430" s="81" t="s">
        <v>1136</v>
      </c>
      <c r="H430" s="79" t="s">
        <v>1137</v>
      </c>
      <c r="I430" s="98" t="s">
        <v>18</v>
      </c>
      <c r="L430" s="80" t="str">
        <f t="shared" si="2"/>
        <v>No infirmation</v>
      </c>
      <c r="M430" s="80" t="str">
        <f t="shared" si="3"/>
        <v>20251126_snorkel_batch018__llm_step_webvoyager_websites__39</v>
      </c>
    </row>
    <row r="431" ht="15.75" customHeight="1">
      <c r="B431" s="77">
        <f t="shared" si="1"/>
        <v>1</v>
      </c>
      <c r="C431" s="67" t="s">
        <v>195</v>
      </c>
      <c r="D431" s="78" t="s">
        <v>196</v>
      </c>
      <c r="E431" s="78" t="s">
        <v>14</v>
      </c>
      <c r="F431" s="100">
        <v>46327.0</v>
      </c>
      <c r="G431" s="81" t="s">
        <v>1138</v>
      </c>
      <c r="H431" s="79" t="s">
        <v>1139</v>
      </c>
      <c r="I431" s="98" t="s">
        <v>18</v>
      </c>
      <c r="J431" s="67" t="s">
        <v>772</v>
      </c>
      <c r="L431" s="80" t="str">
        <f t="shared" si="2"/>
        <v>No infirmation</v>
      </c>
      <c r="M431" s="80" t="str">
        <f t="shared" si="3"/>
        <v>20251126_snorkel_batch013__llm_step_webvoyager_websites__116</v>
      </c>
    </row>
    <row r="432" ht="15.75" customHeight="1">
      <c r="B432" s="77">
        <f t="shared" si="1"/>
        <v>1</v>
      </c>
      <c r="C432" s="67" t="s">
        <v>195</v>
      </c>
      <c r="D432" s="78" t="s">
        <v>196</v>
      </c>
      <c r="E432" s="78" t="s">
        <v>14</v>
      </c>
      <c r="F432" s="100">
        <v>46327.0</v>
      </c>
      <c r="G432" s="81" t="s">
        <v>1140</v>
      </c>
      <c r="H432" s="79" t="s">
        <v>1141</v>
      </c>
      <c r="I432" s="98" t="s">
        <v>18</v>
      </c>
      <c r="L432" s="80" t="str">
        <f t="shared" si="2"/>
        <v>No infirmation</v>
      </c>
      <c r="M432" s="80" t="str">
        <f t="shared" si="3"/>
        <v>20251126_snorkel_batch014__llm_step_popular_websites__0</v>
      </c>
    </row>
    <row r="433" ht="15.75" customHeight="1">
      <c r="B433" s="77">
        <f t="shared" si="1"/>
        <v>1</v>
      </c>
      <c r="C433" s="67" t="s">
        <v>195</v>
      </c>
      <c r="D433" s="78" t="s">
        <v>196</v>
      </c>
      <c r="E433" s="78" t="s">
        <v>14</v>
      </c>
      <c r="F433" s="100">
        <v>46327.0</v>
      </c>
      <c r="G433" s="81" t="s">
        <v>1142</v>
      </c>
      <c r="H433" s="79" t="s">
        <v>1143</v>
      </c>
      <c r="I433" s="98" t="s">
        <v>18</v>
      </c>
      <c r="L433" s="80" t="str">
        <f t="shared" si="2"/>
        <v>No infirmation</v>
      </c>
      <c r="M433" s="80" t="str">
        <f t="shared" si="3"/>
        <v>20251219_snorkel_batch008__llm_navqa_onlinemind2web_websites__57</v>
      </c>
    </row>
    <row r="434" ht="15.75" customHeight="1">
      <c r="B434" s="77">
        <f t="shared" si="1"/>
        <v>1</v>
      </c>
      <c r="C434" s="67" t="s">
        <v>195</v>
      </c>
      <c r="D434" s="78" t="s">
        <v>196</v>
      </c>
      <c r="E434" s="78" t="s">
        <v>14</v>
      </c>
      <c r="F434" s="100">
        <v>46327.0</v>
      </c>
      <c r="G434" s="81" t="s">
        <v>1144</v>
      </c>
      <c r="H434" s="79" t="s">
        <v>1145</v>
      </c>
      <c r="I434" s="98" t="s">
        <v>18</v>
      </c>
      <c r="L434" s="80" t="str">
        <f t="shared" si="2"/>
        <v>No infirmation</v>
      </c>
      <c r="M434" s="80" t="str">
        <f t="shared" si="3"/>
        <v>20251126_snorkel_batch012__llm_step_onlinemind2web_websites__47</v>
      </c>
    </row>
    <row r="435" ht="15.75" customHeight="1">
      <c r="B435" s="77">
        <f t="shared" si="1"/>
        <v>1</v>
      </c>
      <c r="C435" s="67" t="s">
        <v>195</v>
      </c>
      <c r="D435" s="78" t="s">
        <v>196</v>
      </c>
      <c r="E435" s="78" t="s">
        <v>14</v>
      </c>
      <c r="F435" s="100">
        <v>46327.0</v>
      </c>
      <c r="G435" s="81" t="s">
        <v>1146</v>
      </c>
      <c r="H435" s="79" t="s">
        <v>1147</v>
      </c>
      <c r="I435" s="98" t="s">
        <v>18</v>
      </c>
      <c r="L435" s="80" t="str">
        <f t="shared" si="2"/>
        <v>No infirmation</v>
      </c>
      <c r="M435" s="80" t="str">
        <f t="shared" si="3"/>
        <v>20251126_snorkel_batch016__llm_step_onlinemind2web_websites__50</v>
      </c>
    </row>
    <row r="436" ht="15.75" customHeight="1">
      <c r="B436" s="77">
        <f t="shared" si="1"/>
        <v>1</v>
      </c>
      <c r="C436" s="67" t="s">
        <v>195</v>
      </c>
      <c r="D436" s="78" t="s">
        <v>196</v>
      </c>
      <c r="E436" s="78" t="s">
        <v>14</v>
      </c>
      <c r="F436" s="100">
        <v>46357.0</v>
      </c>
      <c r="G436" s="81" t="s">
        <v>1148</v>
      </c>
      <c r="H436" s="79" t="s">
        <v>1149</v>
      </c>
      <c r="I436" s="98" t="s">
        <v>18</v>
      </c>
      <c r="J436" s="67" t="s">
        <v>1150</v>
      </c>
      <c r="L436" s="80" t="str">
        <f t="shared" si="2"/>
        <v>No infirmation</v>
      </c>
      <c r="M436" s="80" t="str">
        <f t="shared" si="3"/>
        <v>20251126_snorkel_batch011__llm_step_webvoyager_websites__112</v>
      </c>
    </row>
    <row r="437" ht="15.75" customHeight="1">
      <c r="B437" s="77">
        <f t="shared" si="1"/>
        <v>1</v>
      </c>
      <c r="C437" s="67" t="s">
        <v>195</v>
      </c>
      <c r="D437" s="78" t="s">
        <v>196</v>
      </c>
      <c r="E437" s="78" t="s">
        <v>14</v>
      </c>
      <c r="F437" s="100">
        <v>46357.0</v>
      </c>
      <c r="G437" s="81" t="s">
        <v>1151</v>
      </c>
      <c r="H437" s="79" t="s">
        <v>1152</v>
      </c>
      <c r="I437" s="98" t="s">
        <v>18</v>
      </c>
      <c r="J437" s="67" t="s">
        <v>772</v>
      </c>
      <c r="L437" s="80" t="str">
        <f t="shared" si="2"/>
        <v>No infirmation</v>
      </c>
      <c r="M437" s="80" t="str">
        <f t="shared" si="3"/>
        <v>20251126_snorkel_batch019__llm_step_onlinemind2web_websites__50</v>
      </c>
    </row>
    <row r="438" ht="15.75" customHeight="1">
      <c r="B438" s="77">
        <f t="shared" si="1"/>
        <v>1</v>
      </c>
      <c r="C438" s="67" t="s">
        <v>195</v>
      </c>
      <c r="D438" s="78" t="s">
        <v>196</v>
      </c>
      <c r="E438" s="78" t="s">
        <v>14</v>
      </c>
      <c r="F438" s="100">
        <v>46357.0</v>
      </c>
      <c r="G438" s="81" t="s">
        <v>1153</v>
      </c>
      <c r="H438" s="79" t="s">
        <v>1154</v>
      </c>
      <c r="I438" s="98" t="s">
        <v>18</v>
      </c>
      <c r="J438" s="67" t="s">
        <v>772</v>
      </c>
      <c r="L438" s="80" t="str">
        <f t="shared" si="2"/>
        <v>No infirmation</v>
      </c>
      <c r="M438" s="80" t="str">
        <f t="shared" si="3"/>
        <v>20251126_snorkel_batch012__llm_step_popular_websites__31</v>
      </c>
    </row>
    <row r="439" ht="15.75" customHeight="1">
      <c r="B439" s="77">
        <f t="shared" si="1"/>
        <v>1</v>
      </c>
      <c r="C439" s="67" t="s">
        <v>195</v>
      </c>
      <c r="D439" s="78" t="s">
        <v>196</v>
      </c>
      <c r="E439" s="78" t="s">
        <v>14</v>
      </c>
      <c r="F439" s="100">
        <v>46327.0</v>
      </c>
      <c r="G439" s="81" t="s">
        <v>1155</v>
      </c>
      <c r="H439" s="79" t="s">
        <v>1156</v>
      </c>
      <c r="I439" s="98" t="s">
        <v>18</v>
      </c>
      <c r="J439" s="67" t="s">
        <v>772</v>
      </c>
      <c r="L439" s="80" t="str">
        <f t="shared" si="2"/>
        <v>No infirmation</v>
      </c>
      <c r="M439" s="80" t="str">
        <f t="shared" si="3"/>
        <v>20251126_snorkel_batch013__llm_step_popular_websites__16</v>
      </c>
    </row>
    <row r="440" ht="15.75" customHeight="1">
      <c r="B440" s="77">
        <f t="shared" si="1"/>
        <v>1</v>
      </c>
      <c r="C440" s="67" t="s">
        <v>195</v>
      </c>
      <c r="D440" s="78" t="s">
        <v>196</v>
      </c>
      <c r="E440" s="78" t="s">
        <v>14</v>
      </c>
      <c r="F440" s="100">
        <v>46327.0</v>
      </c>
      <c r="G440" s="81" t="s">
        <v>1157</v>
      </c>
      <c r="H440" s="79" t="s">
        <v>1158</v>
      </c>
      <c r="I440" s="98" t="s">
        <v>429</v>
      </c>
      <c r="J440" s="81" t="s">
        <v>1159</v>
      </c>
      <c r="L440" s="80" t="str">
        <f t="shared" si="2"/>
        <v>No infirmation</v>
      </c>
      <c r="M440" s="80" t="str">
        <f t="shared" si="3"/>
        <v>20251126_snorkel_batch017__llm_step_popular_websites__104</v>
      </c>
    </row>
    <row r="441" ht="15.75" customHeight="1">
      <c r="B441" s="77">
        <f t="shared" si="1"/>
        <v>1</v>
      </c>
      <c r="C441" s="67" t="s">
        <v>195</v>
      </c>
      <c r="D441" s="78" t="s">
        <v>196</v>
      </c>
      <c r="E441" s="78" t="s">
        <v>14</v>
      </c>
      <c r="F441" s="100">
        <v>46327.0</v>
      </c>
      <c r="G441" s="81" t="s">
        <v>1160</v>
      </c>
      <c r="H441" s="79" t="s">
        <v>1161</v>
      </c>
      <c r="I441" s="98" t="s">
        <v>18</v>
      </c>
      <c r="L441" s="80" t="str">
        <f t="shared" si="2"/>
        <v>No infirmation</v>
      </c>
      <c r="M441" s="80" t="str">
        <f t="shared" si="3"/>
        <v>20251126_snorkel_batch019__llm_step_webvoyager_websites__58</v>
      </c>
    </row>
    <row r="442" ht="15.75" customHeight="1">
      <c r="B442" s="77">
        <f t="shared" si="1"/>
        <v>1</v>
      </c>
      <c r="C442" s="67" t="s">
        <v>195</v>
      </c>
      <c r="D442" s="78" t="s">
        <v>196</v>
      </c>
      <c r="E442" s="78" t="s">
        <v>14</v>
      </c>
      <c r="F442" s="100">
        <v>46327.0</v>
      </c>
      <c r="G442" s="81" t="s">
        <v>1162</v>
      </c>
      <c r="H442" s="79" t="s">
        <v>1163</v>
      </c>
      <c r="I442" s="98" t="s">
        <v>18</v>
      </c>
      <c r="L442" s="80" t="str">
        <f t="shared" si="2"/>
        <v>No infirmation</v>
      </c>
      <c r="M442" s="80" t="str">
        <f t="shared" si="3"/>
        <v>20251126_snorkel_batch016__llm_step_onlinemind2web_websites__62</v>
      </c>
    </row>
    <row r="443" ht="15.75" customHeight="1">
      <c r="B443" s="77">
        <f t="shared" si="1"/>
        <v>1</v>
      </c>
      <c r="C443" s="67" t="s">
        <v>195</v>
      </c>
      <c r="D443" s="78" t="s">
        <v>196</v>
      </c>
      <c r="E443" s="78" t="s">
        <v>14</v>
      </c>
      <c r="F443" s="100">
        <v>46327.0</v>
      </c>
      <c r="G443" s="81" t="s">
        <v>1164</v>
      </c>
      <c r="H443" s="79" t="s">
        <v>1165</v>
      </c>
      <c r="I443" s="98" t="s">
        <v>18</v>
      </c>
      <c r="L443" s="80" t="str">
        <f t="shared" si="2"/>
        <v>No infirmation</v>
      </c>
      <c r="M443" s="80" t="str">
        <f t="shared" si="3"/>
        <v>20251126_snorkel_batch013__llm_step_webvoyager_websites__149</v>
      </c>
    </row>
    <row r="444" ht="15.75" customHeight="1">
      <c r="B444" s="77">
        <f t="shared" si="1"/>
        <v>1</v>
      </c>
      <c r="C444" s="67" t="s">
        <v>195</v>
      </c>
      <c r="D444" s="78" t="s">
        <v>196</v>
      </c>
      <c r="E444" s="78" t="s">
        <v>14</v>
      </c>
      <c r="F444" s="100">
        <v>46327.0</v>
      </c>
      <c r="G444" s="81" t="s">
        <v>1166</v>
      </c>
      <c r="H444" s="79" t="s">
        <v>1167</v>
      </c>
      <c r="I444" s="98" t="s">
        <v>18</v>
      </c>
      <c r="L444" s="80" t="str">
        <f t="shared" si="2"/>
        <v>No infirmation</v>
      </c>
      <c r="M444" s="80" t="str">
        <f t="shared" si="3"/>
        <v>20251126_snorkel_batch013__llm_step_webvoyager_websites__0</v>
      </c>
    </row>
    <row r="445" ht="15.75" customHeight="1">
      <c r="B445" s="77">
        <f t="shared" si="1"/>
        <v>1</v>
      </c>
      <c r="C445" s="67" t="s">
        <v>193</v>
      </c>
      <c r="D445" s="78" t="s">
        <v>194</v>
      </c>
      <c r="E445" s="78" t="s">
        <v>14</v>
      </c>
      <c r="F445" s="100">
        <v>46327.0</v>
      </c>
      <c r="G445" s="81" t="s">
        <v>1168</v>
      </c>
      <c r="H445" s="79" t="s">
        <v>1169</v>
      </c>
      <c r="I445" s="98" t="s">
        <v>18</v>
      </c>
      <c r="L445" s="80" t="str">
        <f t="shared" si="2"/>
        <v>No infirmation</v>
      </c>
      <c r="M445" s="80" t="str">
        <f t="shared" si="3"/>
        <v>20251126_snorkel_batch017__llm_step_webvoyager_websites__48</v>
      </c>
    </row>
    <row r="446" ht="15.75" customHeight="1">
      <c r="B446" s="77">
        <f t="shared" si="1"/>
        <v>1</v>
      </c>
      <c r="C446" s="67" t="s">
        <v>193</v>
      </c>
      <c r="D446" s="78" t="s">
        <v>194</v>
      </c>
      <c r="E446" s="78" t="s">
        <v>14</v>
      </c>
      <c r="F446" s="100">
        <v>46327.0</v>
      </c>
      <c r="G446" s="81" t="s">
        <v>1170</v>
      </c>
      <c r="H446" s="79" t="s">
        <v>1171</v>
      </c>
      <c r="I446" s="98" t="s">
        <v>18</v>
      </c>
      <c r="L446" s="80" t="str">
        <f t="shared" si="2"/>
        <v>No infirmation</v>
      </c>
      <c r="M446" s="80" t="str">
        <f t="shared" si="3"/>
        <v>20251126_snorkel_batch015__llm_step_onlinemind2web_websites__155</v>
      </c>
    </row>
    <row r="447" ht="15.75" customHeight="1">
      <c r="B447" s="77">
        <f t="shared" si="1"/>
        <v>1</v>
      </c>
      <c r="C447" s="67" t="s">
        <v>191</v>
      </c>
      <c r="D447" s="78" t="s">
        <v>192</v>
      </c>
      <c r="E447" s="78" t="s">
        <v>14</v>
      </c>
      <c r="F447" s="100">
        <v>46327.0</v>
      </c>
      <c r="G447" s="81" t="s">
        <v>1172</v>
      </c>
      <c r="H447" s="79" t="s">
        <v>1173</v>
      </c>
      <c r="I447" s="98" t="s">
        <v>18</v>
      </c>
      <c r="L447" s="80" t="str">
        <f t="shared" si="2"/>
        <v>No infirmation</v>
      </c>
      <c r="M447" s="80" t="str">
        <f t="shared" si="3"/>
        <v>20251126_snorkel_batch020__llm_step_onlinemind2web_websites__167</v>
      </c>
    </row>
    <row r="448" ht="15.75" customHeight="1">
      <c r="B448" s="77">
        <f t="shared" si="1"/>
        <v>1</v>
      </c>
      <c r="C448" s="67" t="s">
        <v>197</v>
      </c>
      <c r="D448" s="78" t="s">
        <v>198</v>
      </c>
      <c r="E448" s="78" t="s">
        <v>14</v>
      </c>
      <c r="F448" s="100">
        <v>46327.0</v>
      </c>
      <c r="G448" s="91" t="s">
        <v>1174</v>
      </c>
      <c r="H448" s="92" t="s">
        <v>1175</v>
      </c>
      <c r="I448" s="93" t="s">
        <v>18</v>
      </c>
      <c r="L448" s="80" t="str">
        <f t="shared" si="2"/>
        <v>No infirmation</v>
      </c>
      <c r="M448" s="80" t="str">
        <f t="shared" si="3"/>
        <v>20251126_snorkel_batch017__llm_step_onlinemind2web_websites__121</v>
      </c>
    </row>
    <row r="449" ht="15.75" customHeight="1">
      <c r="B449" s="77">
        <f t="shared" si="1"/>
        <v>1</v>
      </c>
      <c r="C449" s="67" t="s">
        <v>197</v>
      </c>
      <c r="D449" s="78" t="s">
        <v>198</v>
      </c>
      <c r="E449" s="78" t="s">
        <v>14</v>
      </c>
      <c r="F449" s="100">
        <v>46327.0</v>
      </c>
      <c r="G449" s="91" t="s">
        <v>1176</v>
      </c>
      <c r="H449" s="92" t="s">
        <v>1177</v>
      </c>
      <c r="I449" s="93" t="s">
        <v>18</v>
      </c>
      <c r="L449" s="80" t="str">
        <f t="shared" si="2"/>
        <v>No infirmation</v>
      </c>
      <c r="M449" s="80" t="str">
        <f t="shared" si="3"/>
        <v>20251126_snorkel_batch019__llm_step_webvoyager_websites__54</v>
      </c>
    </row>
    <row r="450" ht="15.75" customHeight="1">
      <c r="B450" s="77">
        <f t="shared" si="1"/>
        <v>1</v>
      </c>
      <c r="C450" s="67" t="s">
        <v>197</v>
      </c>
      <c r="D450" s="78" t="s">
        <v>198</v>
      </c>
      <c r="E450" s="78" t="s">
        <v>14</v>
      </c>
      <c r="F450" s="100">
        <v>46327.0</v>
      </c>
      <c r="G450" s="91" t="s">
        <v>1178</v>
      </c>
      <c r="H450" s="92" t="s">
        <v>1179</v>
      </c>
      <c r="I450" s="93" t="s">
        <v>18</v>
      </c>
      <c r="L450" s="80" t="str">
        <f t="shared" si="2"/>
        <v>No infirmation</v>
      </c>
      <c r="M450" s="80" t="str">
        <f t="shared" si="3"/>
        <v>20251126_snorkel_batch018__llm_step_webvoyager_websites__146</v>
      </c>
    </row>
    <row r="451" ht="15.75" customHeight="1">
      <c r="B451" s="77">
        <f t="shared" si="1"/>
        <v>1</v>
      </c>
      <c r="C451" s="67" t="s">
        <v>197</v>
      </c>
      <c r="D451" s="78" t="s">
        <v>198</v>
      </c>
      <c r="E451" s="78" t="s">
        <v>14</v>
      </c>
      <c r="F451" s="100">
        <v>46327.0</v>
      </c>
      <c r="G451" s="91" t="s">
        <v>1180</v>
      </c>
      <c r="H451" s="92" t="s">
        <v>1181</v>
      </c>
      <c r="I451" s="93" t="s">
        <v>18</v>
      </c>
      <c r="L451" s="80" t="str">
        <f t="shared" si="2"/>
        <v>No infirmation</v>
      </c>
      <c r="M451" s="80" t="str">
        <f t="shared" si="3"/>
        <v>20251126_snorkel_batch011__llm_step_webvoyager_websites__69</v>
      </c>
    </row>
    <row r="452" ht="15.75" customHeight="1">
      <c r="B452" s="77">
        <f t="shared" si="1"/>
        <v>1</v>
      </c>
      <c r="C452" s="67" t="s">
        <v>197</v>
      </c>
      <c r="D452" s="78" t="s">
        <v>198</v>
      </c>
      <c r="E452" s="78" t="s">
        <v>14</v>
      </c>
      <c r="F452" s="100">
        <v>46327.0</v>
      </c>
      <c r="G452" s="91" t="s">
        <v>1182</v>
      </c>
      <c r="H452" s="92" t="s">
        <v>1183</v>
      </c>
      <c r="I452" s="93" t="s">
        <v>18</v>
      </c>
      <c r="L452" s="80" t="str">
        <f t="shared" si="2"/>
        <v>No infirmation</v>
      </c>
      <c r="M452" s="80" t="str">
        <f t="shared" si="3"/>
        <v>20251126_snorkel_batch012__llm_step_popular_websites__151</v>
      </c>
    </row>
    <row r="453" ht="15.75" customHeight="1">
      <c r="B453" s="77">
        <f t="shared" si="1"/>
        <v>1</v>
      </c>
      <c r="C453" s="67" t="s">
        <v>197</v>
      </c>
      <c r="D453" s="78" t="s">
        <v>198</v>
      </c>
      <c r="E453" s="78" t="s">
        <v>14</v>
      </c>
      <c r="F453" s="100">
        <v>46327.0</v>
      </c>
      <c r="G453" s="91" t="s">
        <v>1184</v>
      </c>
      <c r="H453" s="92" t="s">
        <v>1185</v>
      </c>
      <c r="I453" s="93" t="s">
        <v>18</v>
      </c>
      <c r="L453" s="80" t="str">
        <f t="shared" si="2"/>
        <v>No infirmation</v>
      </c>
      <c r="M453" s="80" t="str">
        <f t="shared" si="3"/>
        <v>20251126_snorkel_batch020__llm_step_webvoyager_websites__99</v>
      </c>
    </row>
    <row r="454" ht="15.75" customHeight="1">
      <c r="B454" s="77">
        <f t="shared" si="1"/>
        <v>1</v>
      </c>
      <c r="C454" s="67" t="s">
        <v>197</v>
      </c>
      <c r="D454" s="78" t="s">
        <v>198</v>
      </c>
      <c r="E454" s="78" t="s">
        <v>14</v>
      </c>
      <c r="F454" s="100">
        <v>46327.0</v>
      </c>
      <c r="G454" s="91" t="s">
        <v>1186</v>
      </c>
      <c r="H454" s="92" t="s">
        <v>1187</v>
      </c>
      <c r="I454" s="93" t="s">
        <v>18</v>
      </c>
      <c r="L454" s="80" t="str">
        <f t="shared" si="2"/>
        <v>No infirmation</v>
      </c>
      <c r="M454" s="80" t="str">
        <f t="shared" si="3"/>
        <v>20251126_snorkel_batch011__llm_step_webvoyager_websites__81</v>
      </c>
    </row>
    <row r="455" ht="15.75" customHeight="1">
      <c r="B455" s="77">
        <f t="shared" si="1"/>
        <v>1</v>
      </c>
      <c r="C455" s="67" t="s">
        <v>197</v>
      </c>
      <c r="D455" s="78" t="s">
        <v>198</v>
      </c>
      <c r="E455" s="78" t="s">
        <v>14</v>
      </c>
      <c r="F455" s="100">
        <v>46327.0</v>
      </c>
      <c r="G455" s="91" t="s">
        <v>1188</v>
      </c>
      <c r="H455" s="92" t="s">
        <v>1189</v>
      </c>
      <c r="I455" s="93" t="s">
        <v>18</v>
      </c>
      <c r="L455" s="80" t="str">
        <f t="shared" si="2"/>
        <v>No infirmation</v>
      </c>
      <c r="M455" s="80" t="str">
        <f t="shared" si="3"/>
        <v>20251126_snorkel_batch013__llm_step_webvoyager_websites__146</v>
      </c>
    </row>
    <row r="456" ht="15.75" customHeight="1">
      <c r="B456" s="77">
        <f t="shared" si="1"/>
        <v>1</v>
      </c>
      <c r="C456" s="67" t="s">
        <v>197</v>
      </c>
      <c r="D456" s="78" t="s">
        <v>198</v>
      </c>
      <c r="E456" s="78" t="s">
        <v>14</v>
      </c>
      <c r="F456" s="100">
        <v>46327.0</v>
      </c>
      <c r="G456" s="91" t="s">
        <v>1190</v>
      </c>
      <c r="H456" s="92" t="s">
        <v>1191</v>
      </c>
      <c r="I456" s="93" t="s">
        <v>18</v>
      </c>
      <c r="L456" s="80" t="str">
        <f t="shared" si="2"/>
        <v>No infirmation</v>
      </c>
      <c r="M456" s="80" t="str">
        <f t="shared" si="3"/>
        <v>20251126_snorkel_batch020__llm_step_webvoyager_websites__63</v>
      </c>
    </row>
    <row r="457" ht="15.75" customHeight="1">
      <c r="B457" s="77">
        <f t="shared" si="1"/>
        <v>1</v>
      </c>
      <c r="C457" s="67" t="s">
        <v>197</v>
      </c>
      <c r="D457" s="78" t="s">
        <v>198</v>
      </c>
      <c r="E457" s="78" t="s">
        <v>14</v>
      </c>
      <c r="F457" s="100">
        <v>46327.0</v>
      </c>
      <c r="G457" s="91" t="s">
        <v>1192</v>
      </c>
      <c r="H457" s="92" t="s">
        <v>1193</v>
      </c>
      <c r="I457" s="93" t="s">
        <v>18</v>
      </c>
      <c r="L457" s="80" t="str">
        <f t="shared" si="2"/>
        <v>No infirmation</v>
      </c>
      <c r="M457" s="80" t="str">
        <f t="shared" si="3"/>
        <v>20251126_snorkel_batch012__llm_step_onlinemind2web_websites__56</v>
      </c>
    </row>
    <row r="458" ht="15.75" customHeight="1">
      <c r="B458" s="77">
        <f t="shared" si="1"/>
        <v>1</v>
      </c>
      <c r="C458" s="67" t="s">
        <v>197</v>
      </c>
      <c r="D458" s="78" t="s">
        <v>198</v>
      </c>
      <c r="E458" s="78" t="s">
        <v>14</v>
      </c>
      <c r="F458" s="100">
        <v>46327.0</v>
      </c>
      <c r="G458" s="91" t="s">
        <v>1194</v>
      </c>
      <c r="H458" s="92" t="s">
        <v>1195</v>
      </c>
      <c r="I458" s="93" t="s">
        <v>18</v>
      </c>
      <c r="L458" s="80" t="str">
        <f t="shared" si="2"/>
        <v>No infirmation</v>
      </c>
      <c r="M458" s="80" t="str">
        <f t="shared" si="3"/>
        <v>20251126_snorkel_batch018__llm_step_onlinemind2web_websites__7</v>
      </c>
    </row>
    <row r="459" ht="15.75" customHeight="1">
      <c r="B459" s="77">
        <f t="shared" si="1"/>
        <v>1</v>
      </c>
      <c r="C459" s="67" t="s">
        <v>197</v>
      </c>
      <c r="D459" s="78" t="s">
        <v>198</v>
      </c>
      <c r="E459" s="78" t="s">
        <v>14</v>
      </c>
      <c r="F459" s="100">
        <v>46327.0</v>
      </c>
      <c r="G459" s="91" t="s">
        <v>1196</v>
      </c>
      <c r="H459" s="92" t="s">
        <v>1197</v>
      </c>
      <c r="I459" s="93" t="s">
        <v>18</v>
      </c>
      <c r="L459" s="80" t="str">
        <f t="shared" si="2"/>
        <v>No infirmation</v>
      </c>
      <c r="M459" s="80" t="str">
        <f t="shared" si="3"/>
        <v>20251126_snorkel_batch020__llm_step_onlinemind2web_websites__114</v>
      </c>
    </row>
    <row r="460" ht="15.75" customHeight="1">
      <c r="B460" s="77">
        <f t="shared" si="1"/>
        <v>1</v>
      </c>
      <c r="C460" s="67" t="s">
        <v>197</v>
      </c>
      <c r="D460" s="78" t="s">
        <v>198</v>
      </c>
      <c r="E460" s="78" t="s">
        <v>14</v>
      </c>
      <c r="F460" s="100">
        <v>46327.0</v>
      </c>
      <c r="G460" s="91" t="s">
        <v>1198</v>
      </c>
      <c r="H460" s="92" t="s">
        <v>1199</v>
      </c>
      <c r="I460" s="93" t="s">
        <v>18</v>
      </c>
      <c r="L460" s="80" t="str">
        <f t="shared" si="2"/>
        <v>No infirmation</v>
      </c>
      <c r="M460" s="80" t="str">
        <f t="shared" si="3"/>
        <v>20251126_snorkel_batch011__llm_step_popular_websites__155</v>
      </c>
    </row>
    <row r="461" ht="15.75" customHeight="1">
      <c r="B461" s="77">
        <f t="shared" si="1"/>
        <v>1</v>
      </c>
      <c r="C461" s="67" t="s">
        <v>197</v>
      </c>
      <c r="D461" s="78" t="s">
        <v>198</v>
      </c>
      <c r="E461" s="78" t="s">
        <v>14</v>
      </c>
      <c r="F461" s="100">
        <v>46327.0</v>
      </c>
      <c r="G461" s="91" t="s">
        <v>1200</v>
      </c>
      <c r="H461" s="92" t="s">
        <v>1201</v>
      </c>
      <c r="I461" s="93" t="s">
        <v>18</v>
      </c>
      <c r="L461" s="80" t="str">
        <f t="shared" si="2"/>
        <v>No infirmation</v>
      </c>
      <c r="M461" s="80" t="str">
        <f t="shared" si="3"/>
        <v>20251126_snorkel_batch016__llm_step_popular_websites__14</v>
      </c>
    </row>
    <row r="462" ht="15.75" customHeight="1">
      <c r="B462" s="77">
        <f t="shared" si="1"/>
        <v>1</v>
      </c>
      <c r="C462" s="67" t="s">
        <v>197</v>
      </c>
      <c r="D462" s="78" t="s">
        <v>198</v>
      </c>
      <c r="E462" s="78" t="s">
        <v>14</v>
      </c>
      <c r="F462" s="100">
        <v>46327.0</v>
      </c>
      <c r="G462" s="91" t="s">
        <v>1202</v>
      </c>
      <c r="H462" s="92" t="s">
        <v>1203</v>
      </c>
      <c r="I462" s="93" t="s">
        <v>18</v>
      </c>
      <c r="L462" s="80" t="str">
        <f t="shared" si="2"/>
        <v>No infirmation</v>
      </c>
      <c r="M462" s="80" t="str">
        <f t="shared" si="3"/>
        <v>20251126_snorkel_batch020__llm_step_onlinemind2web_websites__81</v>
      </c>
    </row>
    <row r="463" ht="15.75" customHeight="1">
      <c r="B463" s="77">
        <f t="shared" si="1"/>
        <v>1</v>
      </c>
      <c r="C463" s="67" t="s">
        <v>197</v>
      </c>
      <c r="D463" s="78" t="s">
        <v>198</v>
      </c>
      <c r="E463" s="78" t="s">
        <v>14</v>
      </c>
      <c r="F463" s="100">
        <v>46327.0</v>
      </c>
      <c r="G463" s="91" t="s">
        <v>1204</v>
      </c>
      <c r="H463" s="92" t="s">
        <v>1205</v>
      </c>
      <c r="I463" s="93" t="s">
        <v>18</v>
      </c>
      <c r="L463" s="80" t="str">
        <f t="shared" si="2"/>
        <v>No infirmation</v>
      </c>
      <c r="M463" s="80" t="str">
        <f t="shared" si="3"/>
        <v>20251126_snorkel_batch017__llm_step_webvoyager_websites__43</v>
      </c>
    </row>
    <row r="464" ht="15.75" customHeight="1">
      <c r="B464" s="77">
        <f t="shared" si="1"/>
        <v>1</v>
      </c>
      <c r="C464" s="67" t="s">
        <v>197</v>
      </c>
      <c r="D464" s="78" t="s">
        <v>198</v>
      </c>
      <c r="E464" s="78" t="s">
        <v>14</v>
      </c>
      <c r="F464" s="100">
        <v>46327.0</v>
      </c>
      <c r="G464" s="91" t="s">
        <v>1206</v>
      </c>
      <c r="H464" s="92" t="s">
        <v>1207</v>
      </c>
      <c r="I464" s="93" t="s">
        <v>18</v>
      </c>
      <c r="L464" s="80" t="str">
        <f t="shared" si="2"/>
        <v>No infirmation</v>
      </c>
      <c r="M464" s="80" t="str">
        <f t="shared" si="3"/>
        <v>20251126_snorkel_batch017__llm_step_webvoyager_websites__110</v>
      </c>
    </row>
    <row r="465" ht="15.75" customHeight="1">
      <c r="B465" s="77">
        <f t="shared" si="1"/>
        <v>1</v>
      </c>
      <c r="C465" s="67" t="s">
        <v>197</v>
      </c>
      <c r="D465" s="78" t="s">
        <v>198</v>
      </c>
      <c r="E465" s="78" t="s">
        <v>14</v>
      </c>
      <c r="F465" s="100">
        <v>46327.0</v>
      </c>
      <c r="G465" s="91" t="s">
        <v>1208</v>
      </c>
      <c r="H465" s="92" t="s">
        <v>1209</v>
      </c>
      <c r="I465" s="93" t="s">
        <v>18</v>
      </c>
      <c r="L465" s="80" t="str">
        <f t="shared" si="2"/>
        <v>No infirmation</v>
      </c>
      <c r="M465" s="80" t="str">
        <f t="shared" si="3"/>
        <v>20251126_snorkel_batch020__llm_step_onlinemind2web_websites__94</v>
      </c>
    </row>
    <row r="466" ht="15.75" customHeight="1">
      <c r="B466" s="77">
        <f t="shared" si="1"/>
        <v>1</v>
      </c>
      <c r="C466" s="67" t="s">
        <v>197</v>
      </c>
      <c r="D466" s="78" t="s">
        <v>198</v>
      </c>
      <c r="E466" s="78" t="s">
        <v>14</v>
      </c>
      <c r="F466" s="100">
        <v>46327.0</v>
      </c>
      <c r="G466" s="91" t="s">
        <v>1210</v>
      </c>
      <c r="H466" s="92" t="s">
        <v>1211</v>
      </c>
      <c r="I466" s="93" t="s">
        <v>18</v>
      </c>
      <c r="L466" s="80" t="str">
        <f t="shared" si="2"/>
        <v>No infirmation</v>
      </c>
      <c r="M466" s="80" t="str">
        <f t="shared" si="3"/>
        <v>20251126_snorkel_batch018__llm_step_popular_websites__88</v>
      </c>
    </row>
    <row r="467" ht="15.75" customHeight="1">
      <c r="B467" s="77">
        <f t="shared" si="1"/>
        <v>1</v>
      </c>
      <c r="C467" s="67" t="s">
        <v>197</v>
      </c>
      <c r="D467" s="78" t="s">
        <v>198</v>
      </c>
      <c r="E467" s="78" t="s">
        <v>14</v>
      </c>
      <c r="F467" s="100">
        <v>46327.0</v>
      </c>
      <c r="G467" s="91" t="s">
        <v>1212</v>
      </c>
      <c r="H467" s="92" t="s">
        <v>1213</v>
      </c>
      <c r="I467" s="93" t="s">
        <v>18</v>
      </c>
      <c r="L467" s="80" t="str">
        <f t="shared" si="2"/>
        <v>No infirmation</v>
      </c>
      <c r="M467" s="80" t="str">
        <f t="shared" si="3"/>
        <v>20251126_snorkel_batch018__llm_step_webvoyager_websites__129</v>
      </c>
    </row>
    <row r="468" ht="15.75" customHeight="1">
      <c r="B468" s="77">
        <f t="shared" si="1"/>
        <v>1</v>
      </c>
      <c r="C468" s="93" t="s">
        <v>12</v>
      </c>
      <c r="D468" s="101" t="s">
        <v>13</v>
      </c>
      <c r="E468" s="101" t="s">
        <v>14</v>
      </c>
      <c r="F468" s="100">
        <v>46357.0</v>
      </c>
      <c r="G468" s="81" t="s">
        <v>54</v>
      </c>
      <c r="H468" s="79" t="s">
        <v>55</v>
      </c>
      <c r="I468" s="98" t="s">
        <v>18</v>
      </c>
      <c r="J468" s="67" t="s">
        <v>56</v>
      </c>
      <c r="L468" s="80" t="str">
        <f t="shared" si="2"/>
        <v>No infirmation</v>
      </c>
      <c r="M468" s="80" t="str">
        <f t="shared" si="3"/>
        <v>20251126_snorkel_batch011__llm_step_popular_websites__32</v>
      </c>
    </row>
    <row r="469" ht="15.75" customHeight="1">
      <c r="B469" s="77">
        <f t="shared" si="1"/>
        <v>1</v>
      </c>
      <c r="C469" s="93" t="s">
        <v>12</v>
      </c>
      <c r="D469" s="101" t="s">
        <v>13</v>
      </c>
      <c r="E469" s="101" t="s">
        <v>14</v>
      </c>
      <c r="F469" s="100">
        <v>46357.0</v>
      </c>
      <c r="G469" s="81" t="s">
        <v>58</v>
      </c>
      <c r="H469" s="82" t="s">
        <v>59</v>
      </c>
      <c r="I469" s="98" t="s">
        <v>18</v>
      </c>
      <c r="J469" s="67" t="s">
        <v>60</v>
      </c>
      <c r="L469" s="80" t="str">
        <f t="shared" si="2"/>
        <v>No infirmation</v>
      </c>
      <c r="M469" s="80" t="str">
        <f t="shared" si="3"/>
        <v>20251126_snorkel_batch020__llm_step_popular_websites__100</v>
      </c>
    </row>
    <row r="470" ht="15.75" customHeight="1">
      <c r="B470" s="77">
        <f t="shared" si="1"/>
        <v>1</v>
      </c>
      <c r="C470" s="93" t="s">
        <v>12</v>
      </c>
      <c r="D470" s="101" t="s">
        <v>13</v>
      </c>
      <c r="E470" s="101" t="s">
        <v>14</v>
      </c>
      <c r="F470" s="100">
        <v>46357.0</v>
      </c>
      <c r="G470" s="81" t="s">
        <v>62</v>
      </c>
      <c r="H470" s="79" t="s">
        <v>63</v>
      </c>
      <c r="I470" s="98" t="s">
        <v>18</v>
      </c>
      <c r="L470" s="80" t="str">
        <f t="shared" si="2"/>
        <v>No infirmation</v>
      </c>
      <c r="M470" s="80" t="str">
        <f t="shared" si="3"/>
        <v>20251126_snorkel_batch012__llm_step_webvoyager_websites__9</v>
      </c>
    </row>
    <row r="471" ht="15.75" customHeight="1">
      <c r="B471" s="77">
        <f t="shared" si="1"/>
        <v>1</v>
      </c>
      <c r="C471" s="93" t="s">
        <v>12</v>
      </c>
      <c r="D471" s="101" t="s">
        <v>13</v>
      </c>
      <c r="E471" s="101" t="s">
        <v>14</v>
      </c>
      <c r="F471" s="100">
        <v>46357.0</v>
      </c>
      <c r="G471" s="81" t="s">
        <v>1214</v>
      </c>
      <c r="H471" s="79" t="s">
        <v>1215</v>
      </c>
      <c r="I471" s="98" t="s">
        <v>18</v>
      </c>
      <c r="J471" s="67" t="s">
        <v>1216</v>
      </c>
      <c r="L471" s="80" t="str">
        <f t="shared" si="2"/>
        <v>No infirmation</v>
      </c>
      <c r="M471" s="80" t="str">
        <f t="shared" si="3"/>
        <v>20251126_snorkel_batch020__llm_step_popular_websites__138</v>
      </c>
    </row>
    <row r="472" ht="15.75" customHeight="1">
      <c r="B472" s="77">
        <f t="shared" si="1"/>
        <v>1</v>
      </c>
      <c r="C472" s="93" t="s">
        <v>12</v>
      </c>
      <c r="D472" s="101" t="s">
        <v>13</v>
      </c>
      <c r="E472" s="101" t="s">
        <v>14</v>
      </c>
      <c r="F472" s="100">
        <v>46357.0</v>
      </c>
      <c r="G472" s="81" t="s">
        <v>65</v>
      </c>
      <c r="H472" s="79" t="s">
        <v>66</v>
      </c>
      <c r="I472" s="98" t="s">
        <v>18</v>
      </c>
      <c r="L472" s="80" t="str">
        <f t="shared" si="2"/>
        <v>No infirmation</v>
      </c>
      <c r="M472" s="80" t="str">
        <f t="shared" si="3"/>
        <v>20251126_snorkel_batch014__llm_step_webvoyager_websites__75</v>
      </c>
    </row>
    <row r="473" ht="15.75" customHeight="1">
      <c r="B473" s="77">
        <f t="shared" si="1"/>
        <v>1</v>
      </c>
      <c r="C473" s="93" t="s">
        <v>12</v>
      </c>
      <c r="D473" s="101" t="s">
        <v>13</v>
      </c>
      <c r="E473" s="101" t="s">
        <v>14</v>
      </c>
      <c r="F473" s="100">
        <v>46357.0</v>
      </c>
      <c r="G473" s="81" t="s">
        <v>68</v>
      </c>
      <c r="H473" s="79" t="s">
        <v>69</v>
      </c>
      <c r="I473" s="98" t="s">
        <v>18</v>
      </c>
      <c r="J473" s="67" t="s">
        <v>70</v>
      </c>
      <c r="L473" s="80" t="str">
        <f t="shared" si="2"/>
        <v>No infirmation</v>
      </c>
      <c r="M473" s="80" t="str">
        <f t="shared" si="3"/>
        <v>20260107_snorkel_batch003_step_tasks__career_job_search__18</v>
      </c>
    </row>
    <row r="474" ht="15.75" customHeight="1">
      <c r="B474" s="77">
        <f t="shared" si="1"/>
        <v>1</v>
      </c>
      <c r="C474" s="93" t="s">
        <v>12</v>
      </c>
      <c r="D474" s="101" t="s">
        <v>13</v>
      </c>
      <c r="E474" s="101" t="s">
        <v>14</v>
      </c>
      <c r="F474" s="100">
        <v>46357.0</v>
      </c>
      <c r="G474" s="81" t="s">
        <v>72</v>
      </c>
      <c r="H474" s="79" t="s">
        <v>73</v>
      </c>
      <c r="I474" s="98" t="s">
        <v>18</v>
      </c>
      <c r="L474" s="80" t="str">
        <f t="shared" si="2"/>
        <v>No infirmation</v>
      </c>
      <c r="M474" s="80" t="str">
        <f t="shared" si="3"/>
        <v>20251219_snorkel_batch008__llm_navqa_webvoyager_websites__24</v>
      </c>
    </row>
    <row r="475" ht="15.75" customHeight="1">
      <c r="B475" s="77">
        <f t="shared" si="1"/>
        <v>1</v>
      </c>
      <c r="C475" s="93" t="s">
        <v>12</v>
      </c>
      <c r="D475" s="101" t="s">
        <v>13</v>
      </c>
      <c r="E475" s="101" t="s">
        <v>14</v>
      </c>
      <c r="F475" s="100">
        <v>46357.0</v>
      </c>
      <c r="G475" s="81" t="s">
        <v>75</v>
      </c>
      <c r="H475" s="82" t="s">
        <v>76</v>
      </c>
      <c r="I475" s="98" t="s">
        <v>18</v>
      </c>
      <c r="L475" s="80" t="str">
        <f t="shared" si="2"/>
        <v>No infirmation</v>
      </c>
      <c r="M475" s="80" t="str">
        <f t="shared" si="3"/>
        <v>20260107_snorkel_batch001_step_tasks__general_news_nav__14</v>
      </c>
    </row>
    <row r="476" ht="15.75" customHeight="1">
      <c r="B476" s="77">
        <f t="shared" si="1"/>
        <v>1</v>
      </c>
      <c r="C476" s="93" t="s">
        <v>12</v>
      </c>
      <c r="D476" s="101" t="s">
        <v>13</v>
      </c>
      <c r="E476" s="101" t="s">
        <v>14</v>
      </c>
      <c r="F476" s="100">
        <v>46357.0</v>
      </c>
      <c r="G476" s="81" t="s">
        <v>78</v>
      </c>
      <c r="H476" s="79" t="s">
        <v>79</v>
      </c>
      <c r="I476" s="98" t="s">
        <v>18</v>
      </c>
      <c r="L476" s="80" t="str">
        <f t="shared" si="2"/>
        <v>No infirmation</v>
      </c>
      <c r="M476" s="80" t="str">
        <f t="shared" si="3"/>
        <v>20260107_snorkel_batch003_step_tasks__food_recipes__13</v>
      </c>
    </row>
    <row r="477" ht="15.75" customHeight="1">
      <c r="B477" s="77">
        <f t="shared" si="1"/>
        <v>1</v>
      </c>
      <c r="C477" s="93" t="s">
        <v>12</v>
      </c>
      <c r="D477" s="101" t="s">
        <v>13</v>
      </c>
      <c r="E477" s="101" t="s">
        <v>14</v>
      </c>
      <c r="F477" s="100">
        <v>46357.0</v>
      </c>
      <c r="G477" s="81" t="s">
        <v>1217</v>
      </c>
      <c r="H477" s="79" t="s">
        <v>1218</v>
      </c>
      <c r="I477" s="98" t="s">
        <v>18</v>
      </c>
      <c r="J477" s="67" t="s">
        <v>1219</v>
      </c>
      <c r="L477" s="80" t="str">
        <f t="shared" si="2"/>
        <v>No infirmation</v>
      </c>
      <c r="M477" s="80" t="str">
        <f t="shared" si="3"/>
        <v>20251126_snorkel_batch013__llm_step_popular_websites__117</v>
      </c>
    </row>
    <row r="478" ht="15.75" customHeight="1">
      <c r="B478" s="77">
        <f t="shared" si="1"/>
        <v>1</v>
      </c>
      <c r="C478" s="67" t="s">
        <v>195</v>
      </c>
      <c r="D478" s="78" t="s">
        <v>196</v>
      </c>
      <c r="E478" s="78" t="s">
        <v>14</v>
      </c>
      <c r="F478" s="100">
        <v>46357.0</v>
      </c>
      <c r="G478" s="81" t="s">
        <v>1220</v>
      </c>
      <c r="H478" s="79" t="s">
        <v>1221</v>
      </c>
      <c r="I478" s="98" t="s">
        <v>18</v>
      </c>
      <c r="L478" s="80" t="str">
        <f t="shared" si="2"/>
        <v>No infirmation</v>
      </c>
      <c r="M478" s="80" t="str">
        <f t="shared" si="3"/>
        <v>20260107_snorkel_batch002_step_tasks__maps_distance__42</v>
      </c>
    </row>
    <row r="479" ht="15.75" customHeight="1">
      <c r="B479" s="77">
        <f t="shared" si="1"/>
        <v>1</v>
      </c>
      <c r="C479" s="67" t="s">
        <v>195</v>
      </c>
      <c r="D479" s="78" t="s">
        <v>196</v>
      </c>
      <c r="E479" s="78" t="s">
        <v>14</v>
      </c>
      <c r="F479" s="100">
        <v>46357.0</v>
      </c>
      <c r="G479" s="81" t="s">
        <v>1222</v>
      </c>
      <c r="H479" s="79" t="s">
        <v>1223</v>
      </c>
      <c r="I479" s="98" t="s">
        <v>18</v>
      </c>
      <c r="J479" s="67" t="s">
        <v>1224</v>
      </c>
      <c r="L479" s="80" t="str">
        <f t="shared" si="2"/>
        <v>No infirmation</v>
      </c>
      <c r="M479" s="80" t="str">
        <f t="shared" si="3"/>
        <v>20251126_snorkel_batch019__llm_step_onlinemind2web_websites__68</v>
      </c>
    </row>
    <row r="480" ht="15.75" customHeight="1">
      <c r="B480" s="77">
        <f t="shared" si="1"/>
        <v>1</v>
      </c>
      <c r="C480" s="67" t="s">
        <v>195</v>
      </c>
      <c r="D480" s="78" t="s">
        <v>196</v>
      </c>
      <c r="E480" s="78" t="s">
        <v>14</v>
      </c>
      <c r="F480" s="100">
        <v>46357.0</v>
      </c>
      <c r="G480" s="81" t="s">
        <v>1225</v>
      </c>
      <c r="H480" s="79" t="s">
        <v>1226</v>
      </c>
      <c r="I480" s="98" t="s">
        <v>18</v>
      </c>
      <c r="L480" s="80" t="str">
        <f t="shared" si="2"/>
        <v>No infirmation</v>
      </c>
      <c r="M480" s="80" t="str">
        <f t="shared" si="3"/>
        <v>20251126_snorkel_batch016__llm_step_webvoyager_websites__150</v>
      </c>
    </row>
    <row r="481" ht="15.75" customHeight="1">
      <c r="B481" s="77">
        <f t="shared" si="1"/>
        <v>1</v>
      </c>
      <c r="C481" s="67" t="s">
        <v>195</v>
      </c>
      <c r="D481" s="78" t="s">
        <v>196</v>
      </c>
      <c r="E481" s="78" t="s">
        <v>14</v>
      </c>
      <c r="F481" s="100">
        <v>46357.0</v>
      </c>
      <c r="G481" s="81" t="s">
        <v>1227</v>
      </c>
      <c r="H481" s="79" t="s">
        <v>1228</v>
      </c>
      <c r="I481" s="98" t="s">
        <v>18</v>
      </c>
      <c r="L481" s="80" t="str">
        <f t="shared" si="2"/>
        <v>No infirmation</v>
      </c>
      <c r="M481" s="80" t="str">
        <f t="shared" si="3"/>
        <v>20251126_snorkel_batch013__llm_step_webvoyager_websites__66</v>
      </c>
    </row>
    <row r="482" ht="15.75" customHeight="1">
      <c r="B482" s="77">
        <f t="shared" si="1"/>
        <v>1</v>
      </c>
      <c r="C482" s="67" t="s">
        <v>195</v>
      </c>
      <c r="D482" s="78" t="s">
        <v>196</v>
      </c>
      <c r="E482" s="78" t="s">
        <v>14</v>
      </c>
      <c r="F482" s="100">
        <v>46357.0</v>
      </c>
      <c r="G482" s="81" t="s">
        <v>1229</v>
      </c>
      <c r="H482" s="79" t="s">
        <v>1230</v>
      </c>
      <c r="I482" s="98" t="s">
        <v>18</v>
      </c>
      <c r="J482" s="67" t="s">
        <v>1231</v>
      </c>
      <c r="L482" s="80" t="str">
        <f t="shared" si="2"/>
        <v>No infirmation</v>
      </c>
      <c r="M482" s="80" t="str">
        <f t="shared" si="3"/>
        <v>20251126_snorkel_batch011__llm_step_onlinemind2web_websites__81</v>
      </c>
    </row>
    <row r="483" ht="15.75" customHeight="1">
      <c r="B483" s="77">
        <f t="shared" si="1"/>
        <v>1</v>
      </c>
      <c r="C483" s="67" t="s">
        <v>195</v>
      </c>
      <c r="D483" s="78" t="s">
        <v>196</v>
      </c>
      <c r="E483" s="78" t="s">
        <v>14</v>
      </c>
      <c r="F483" s="100">
        <v>46357.0</v>
      </c>
      <c r="G483" s="81" t="s">
        <v>1232</v>
      </c>
      <c r="H483" s="79" t="s">
        <v>1233</v>
      </c>
      <c r="I483" s="98" t="s">
        <v>18</v>
      </c>
      <c r="J483" s="81" t="s">
        <v>772</v>
      </c>
      <c r="L483" s="80" t="str">
        <f t="shared" si="2"/>
        <v>No infirmation</v>
      </c>
      <c r="M483" s="80" t="str">
        <f t="shared" si="3"/>
        <v>20260107_snorkel_batch001_step_tasks__finance_news_nav_and_open_first__16</v>
      </c>
    </row>
    <row r="484" ht="15.75" customHeight="1">
      <c r="B484" s="77">
        <f t="shared" si="1"/>
        <v>1</v>
      </c>
      <c r="C484" s="67" t="s">
        <v>195</v>
      </c>
      <c r="D484" s="78" t="s">
        <v>196</v>
      </c>
      <c r="E484" s="78" t="s">
        <v>14</v>
      </c>
      <c r="F484" s="100">
        <v>46357.0</v>
      </c>
      <c r="G484" s="81" t="s">
        <v>1234</v>
      </c>
      <c r="H484" s="79" t="s">
        <v>1235</v>
      </c>
      <c r="I484" s="98" t="s">
        <v>18</v>
      </c>
      <c r="L484" s="80" t="str">
        <f t="shared" si="2"/>
        <v>No infirmation</v>
      </c>
      <c r="M484" s="80" t="str">
        <f t="shared" si="3"/>
        <v>20260107_snorkel_batch002_step_tasks__maps_travel_time__66</v>
      </c>
    </row>
    <row r="485" ht="15.75" customHeight="1">
      <c r="B485" s="77">
        <f t="shared" si="1"/>
        <v>1</v>
      </c>
      <c r="C485" s="67" t="s">
        <v>195</v>
      </c>
      <c r="D485" s="78" t="s">
        <v>196</v>
      </c>
      <c r="E485" s="78" t="s">
        <v>14</v>
      </c>
      <c r="F485" s="100">
        <v>46357.0</v>
      </c>
      <c r="G485" s="81" t="s">
        <v>1236</v>
      </c>
      <c r="H485" s="79" t="s">
        <v>1237</v>
      </c>
      <c r="I485" s="98" t="s">
        <v>18</v>
      </c>
      <c r="J485" s="67" t="s">
        <v>1231</v>
      </c>
      <c r="L485" s="80" t="str">
        <f t="shared" si="2"/>
        <v>No infirmation</v>
      </c>
      <c r="M485" s="80" t="str">
        <f t="shared" si="3"/>
        <v>20260107_snorkel_batch003_step_tasks__food_restaurant_booking__10</v>
      </c>
    </row>
    <row r="486" ht="15.75" customHeight="1">
      <c r="B486" s="77">
        <f t="shared" si="1"/>
        <v>1</v>
      </c>
      <c r="C486" s="67" t="s">
        <v>195</v>
      </c>
      <c r="D486" s="78" t="s">
        <v>196</v>
      </c>
      <c r="E486" s="78" t="s">
        <v>14</v>
      </c>
      <c r="F486" s="100">
        <v>46357.0</v>
      </c>
      <c r="G486" s="81" t="s">
        <v>1238</v>
      </c>
      <c r="H486" s="79" t="s">
        <v>1239</v>
      </c>
      <c r="I486" s="98" t="s">
        <v>18</v>
      </c>
      <c r="L486" s="80" t="str">
        <f t="shared" si="2"/>
        <v>No infirmation</v>
      </c>
      <c r="M486" s="80" t="str">
        <f t="shared" si="3"/>
        <v>20251126_snorkel_batch012__llm_step_popular_websites__101</v>
      </c>
    </row>
    <row r="487" ht="15.75" customHeight="1">
      <c r="B487" s="77">
        <f t="shared" si="1"/>
        <v>1</v>
      </c>
      <c r="C487" s="67" t="s">
        <v>195</v>
      </c>
      <c r="D487" s="78" t="s">
        <v>196</v>
      </c>
      <c r="E487" s="78" t="s">
        <v>14</v>
      </c>
      <c r="F487" s="100">
        <v>46357.0</v>
      </c>
      <c r="G487" s="81" t="s">
        <v>1240</v>
      </c>
      <c r="H487" s="79" t="s">
        <v>1241</v>
      </c>
      <c r="I487" s="98" t="s">
        <v>18</v>
      </c>
      <c r="J487" s="67" t="s">
        <v>1242</v>
      </c>
      <c r="L487" s="80" t="str">
        <f t="shared" si="2"/>
        <v>No infirmation</v>
      </c>
      <c r="M487" s="80" t="str">
        <f t="shared" si="3"/>
        <v>20251126_snorkel_batch015__llm_step_popular_websites__94</v>
      </c>
    </row>
    <row r="488" ht="15.75" customHeight="1">
      <c r="B488" s="77">
        <f t="shared" si="1"/>
        <v>1</v>
      </c>
      <c r="C488" s="67" t="s">
        <v>195</v>
      </c>
      <c r="D488" s="78" t="s">
        <v>196</v>
      </c>
      <c r="E488" s="78" t="s">
        <v>14</v>
      </c>
      <c r="F488" s="100">
        <v>46357.0</v>
      </c>
      <c r="G488" s="81" t="s">
        <v>1243</v>
      </c>
      <c r="H488" s="79" t="s">
        <v>1244</v>
      </c>
      <c r="I488" s="98" t="s">
        <v>18</v>
      </c>
      <c r="L488" s="80" t="str">
        <f t="shared" si="2"/>
        <v>No infirmation</v>
      </c>
      <c r="M488" s="80" t="str">
        <f t="shared" si="3"/>
        <v>20251126_snorkel_batch020__llm_step_onlinemind2web_websites__105</v>
      </c>
    </row>
    <row r="489" ht="15.75" customHeight="1">
      <c r="B489" s="77">
        <f t="shared" si="1"/>
        <v>1</v>
      </c>
      <c r="C489" s="67" t="s">
        <v>195</v>
      </c>
      <c r="D489" s="78" t="s">
        <v>196</v>
      </c>
      <c r="E489" s="78" t="s">
        <v>14</v>
      </c>
      <c r="F489" s="100">
        <v>46357.0</v>
      </c>
      <c r="G489" s="81" t="s">
        <v>1245</v>
      </c>
      <c r="H489" s="79" t="s">
        <v>1246</v>
      </c>
      <c r="I489" s="98" t="s">
        <v>18</v>
      </c>
      <c r="J489" s="81" t="s">
        <v>772</v>
      </c>
      <c r="L489" s="80" t="str">
        <f t="shared" si="2"/>
        <v>No infirmation</v>
      </c>
      <c r="M489" s="80" t="str">
        <f t="shared" si="3"/>
        <v>20251126_snorkel_batch017__llm_step_webvoyager_websites__58</v>
      </c>
    </row>
    <row r="490" ht="15.75" customHeight="1">
      <c r="B490" s="77">
        <f t="shared" si="1"/>
        <v>1</v>
      </c>
      <c r="C490" s="67" t="s">
        <v>195</v>
      </c>
      <c r="D490" s="78" t="s">
        <v>196</v>
      </c>
      <c r="E490" s="78" t="s">
        <v>14</v>
      </c>
      <c r="F490" s="100">
        <v>46357.0</v>
      </c>
      <c r="G490" s="81" t="s">
        <v>1247</v>
      </c>
      <c r="H490" s="79" t="s">
        <v>1248</v>
      </c>
      <c r="I490" s="98" t="s">
        <v>18</v>
      </c>
      <c r="J490" s="81" t="s">
        <v>772</v>
      </c>
      <c r="L490" s="80" t="str">
        <f t="shared" si="2"/>
        <v>No infirmation</v>
      </c>
      <c r="M490" s="80" t="str">
        <f t="shared" si="3"/>
        <v>20260107_snorkel_batch001_step_tasks__general_news_nav__43</v>
      </c>
    </row>
    <row r="491" ht="15.75" customHeight="1">
      <c r="B491" s="77">
        <f t="shared" si="1"/>
        <v>1</v>
      </c>
      <c r="C491" s="67" t="s">
        <v>195</v>
      </c>
      <c r="D491" s="78" t="s">
        <v>196</v>
      </c>
      <c r="E491" s="78" t="s">
        <v>14</v>
      </c>
      <c r="F491" s="100">
        <v>46357.0</v>
      </c>
      <c r="G491" s="81" t="s">
        <v>1249</v>
      </c>
      <c r="H491" s="79" t="s">
        <v>1250</v>
      </c>
      <c r="I491" s="98" t="s">
        <v>18</v>
      </c>
      <c r="J491" s="81" t="s">
        <v>772</v>
      </c>
      <c r="L491" s="80" t="str">
        <f t="shared" si="2"/>
        <v>No infirmation</v>
      </c>
      <c r="M491" s="80" t="str">
        <f t="shared" si="3"/>
        <v>20251126_snorkel_batch015__llm_step_popular_websites__105</v>
      </c>
    </row>
    <row r="492" ht="15.75" customHeight="1">
      <c r="B492" s="77">
        <f t="shared" si="1"/>
        <v>1</v>
      </c>
      <c r="C492" s="67" t="s">
        <v>195</v>
      </c>
      <c r="D492" s="78" t="s">
        <v>196</v>
      </c>
      <c r="E492" s="78" t="s">
        <v>14</v>
      </c>
      <c r="F492" s="100">
        <v>46357.0</v>
      </c>
      <c r="G492" s="81" t="s">
        <v>1251</v>
      </c>
      <c r="H492" s="79" t="s">
        <v>1252</v>
      </c>
      <c r="I492" s="98" t="s">
        <v>18</v>
      </c>
      <c r="L492" s="80" t="str">
        <f t="shared" si="2"/>
        <v>No infirmation</v>
      </c>
      <c r="M492" s="80" t="str">
        <f t="shared" si="3"/>
        <v>20251121_snorkel_batch003__webvoyager_like__404</v>
      </c>
    </row>
    <row r="493" ht="15.75" customHeight="1">
      <c r="B493" s="77">
        <f t="shared" si="1"/>
        <v>1</v>
      </c>
      <c r="C493" s="67" t="s">
        <v>199</v>
      </c>
      <c r="D493" s="78" t="s">
        <v>200</v>
      </c>
      <c r="E493" s="78" t="s">
        <v>14</v>
      </c>
      <c r="F493" s="100">
        <v>46357.0</v>
      </c>
      <c r="G493" s="67" t="s">
        <v>1253</v>
      </c>
      <c r="H493" s="83" t="s">
        <v>1254</v>
      </c>
      <c r="I493" s="98" t="s">
        <v>18</v>
      </c>
      <c r="J493" s="67" t="s">
        <v>1255</v>
      </c>
      <c r="L493" s="80" t="str">
        <f t="shared" si="2"/>
        <v>No infirmation</v>
      </c>
      <c r="M493" s="80" t="str">
        <f t="shared" si="3"/>
        <v>20251126_snorkel_batch014__llm_step_webvoyager_websites__113</v>
      </c>
    </row>
    <row r="494" ht="15.75" customHeight="1">
      <c r="B494" s="77">
        <f t="shared" si="1"/>
        <v>1</v>
      </c>
      <c r="C494" s="67" t="s">
        <v>199</v>
      </c>
      <c r="D494" s="78" t="s">
        <v>200</v>
      </c>
      <c r="E494" s="78" t="s">
        <v>14</v>
      </c>
      <c r="F494" s="100">
        <v>46357.0</v>
      </c>
      <c r="G494" s="67" t="s">
        <v>1256</v>
      </c>
      <c r="H494" s="83" t="s">
        <v>1257</v>
      </c>
      <c r="I494" s="98" t="s">
        <v>18</v>
      </c>
      <c r="J494" s="67" t="s">
        <v>1258</v>
      </c>
      <c r="L494" s="80" t="str">
        <f t="shared" si="2"/>
        <v>No infirmation</v>
      </c>
      <c r="M494" s="80" t="str">
        <f t="shared" si="3"/>
        <v>20260107_snorkel_batch003_step_tasks__car_rental_search__14</v>
      </c>
    </row>
    <row r="495" ht="15.75" customHeight="1">
      <c r="B495" s="77">
        <f t="shared" si="1"/>
        <v>4</v>
      </c>
      <c r="C495" s="67" t="s">
        <v>199</v>
      </c>
      <c r="D495" s="78" t="s">
        <v>200</v>
      </c>
      <c r="E495" s="78" t="s">
        <v>14</v>
      </c>
      <c r="F495" s="100">
        <v>46357.0</v>
      </c>
      <c r="G495" s="67" t="s">
        <v>1062</v>
      </c>
      <c r="H495" s="82" t="s">
        <v>1259</v>
      </c>
      <c r="I495" s="98" t="s">
        <v>18</v>
      </c>
      <c r="L495" s="80" t="str">
        <f t="shared" si="2"/>
        <v>No infirmation</v>
      </c>
      <c r="M495" s="80" t="str">
        <f t="shared" si="3"/>
        <v>20260107_snorkel_batch002_step_tasks__real_estate_search_and_filter__15</v>
      </c>
    </row>
    <row r="496" ht="15.75" customHeight="1">
      <c r="B496" s="77">
        <f t="shared" si="1"/>
        <v>4</v>
      </c>
      <c r="C496" s="67" t="s">
        <v>199</v>
      </c>
      <c r="D496" s="78" t="s">
        <v>200</v>
      </c>
      <c r="E496" s="78" t="s">
        <v>14</v>
      </c>
      <c r="F496" s="100">
        <v>46357.0</v>
      </c>
      <c r="G496" s="67" t="s">
        <v>1062</v>
      </c>
      <c r="H496" s="82" t="s">
        <v>1260</v>
      </c>
      <c r="I496" s="98" t="s">
        <v>18</v>
      </c>
      <c r="J496" s="67" t="s">
        <v>1261</v>
      </c>
      <c r="L496" s="80" t="str">
        <f t="shared" si="2"/>
        <v>No infirmation</v>
      </c>
      <c r="M496" s="80" t="str">
        <f t="shared" si="3"/>
        <v>20260107_snorkel_batch002_step_tasks__maps_travel_time__62</v>
      </c>
    </row>
    <row r="497" ht="15.75" customHeight="1">
      <c r="B497" s="77">
        <f t="shared" si="1"/>
        <v>1</v>
      </c>
      <c r="C497" s="67" t="s">
        <v>199</v>
      </c>
      <c r="D497" s="78" t="s">
        <v>200</v>
      </c>
      <c r="E497" s="78" t="s">
        <v>14</v>
      </c>
      <c r="F497" s="100">
        <v>46357.0</v>
      </c>
      <c r="G497" s="67" t="s">
        <v>1262</v>
      </c>
      <c r="H497" s="82" t="s">
        <v>1263</v>
      </c>
      <c r="I497" s="98" t="s">
        <v>18</v>
      </c>
      <c r="L497" s="80" t="str">
        <f t="shared" si="2"/>
        <v>No infirmation</v>
      </c>
      <c r="M497" s="80" t="str">
        <f t="shared" si="3"/>
        <v>20260107_snorkel_batch002_step_tasks__maps_satellite_view__42</v>
      </c>
    </row>
    <row r="498" ht="15.75" customHeight="1">
      <c r="B498" s="77">
        <f t="shared" si="1"/>
        <v>1</v>
      </c>
      <c r="C498" s="67" t="s">
        <v>199</v>
      </c>
      <c r="D498" s="78" t="s">
        <v>200</v>
      </c>
      <c r="E498" s="78" t="s">
        <v>14</v>
      </c>
      <c r="F498" s="100">
        <v>46357.0</v>
      </c>
      <c r="G498" s="67" t="s">
        <v>1264</v>
      </c>
      <c r="H498" s="82" t="s">
        <v>1265</v>
      </c>
      <c r="I498" s="98" t="s">
        <v>18</v>
      </c>
      <c r="L498" s="80" t="str">
        <f t="shared" si="2"/>
        <v>No infirmation</v>
      </c>
      <c r="M498" s="80" t="str">
        <f t="shared" si="3"/>
        <v>20260107_snorkel_batch001_step_tasks__news_search__20</v>
      </c>
    </row>
    <row r="499" ht="15.75" customHeight="1">
      <c r="B499" s="77">
        <f t="shared" si="1"/>
        <v>4</v>
      </c>
      <c r="C499" s="67" t="s">
        <v>199</v>
      </c>
      <c r="D499" s="78" t="s">
        <v>200</v>
      </c>
      <c r="E499" s="78" t="s">
        <v>14</v>
      </c>
      <c r="F499" s="100">
        <v>46357.0</v>
      </c>
      <c r="G499" s="67" t="s">
        <v>1062</v>
      </c>
      <c r="H499" s="82" t="s">
        <v>1265</v>
      </c>
      <c r="I499" s="98" t="s">
        <v>18</v>
      </c>
      <c r="L499" s="80" t="str">
        <f t="shared" si="2"/>
        <v>No infirmation</v>
      </c>
      <c r="M499" s="80" t="str">
        <f t="shared" si="3"/>
        <v>20260107_snorkel_batch001_step_tasks__news_search__20</v>
      </c>
    </row>
    <row r="500" ht="15.75" customHeight="1">
      <c r="B500" s="77">
        <f t="shared" si="1"/>
        <v>1</v>
      </c>
      <c r="C500" s="67" t="s">
        <v>199</v>
      </c>
      <c r="D500" s="78" t="s">
        <v>200</v>
      </c>
      <c r="E500" s="78" t="s">
        <v>14</v>
      </c>
      <c r="F500" s="100">
        <v>46357.0</v>
      </c>
      <c r="G500" s="67" t="s">
        <v>1266</v>
      </c>
      <c r="H500" s="83" t="s">
        <v>1267</v>
      </c>
      <c r="I500" s="98" t="s">
        <v>18</v>
      </c>
      <c r="L500" s="80" t="str">
        <f t="shared" si="2"/>
        <v>No infirmation</v>
      </c>
      <c r="M500" s="80" t="str">
        <f t="shared" si="3"/>
        <v>20251126_snorkel_batch020__llm_step_popular_websites__139</v>
      </c>
    </row>
    <row r="501" ht="15.75" customHeight="1">
      <c r="B501" s="77">
        <f t="shared" si="1"/>
        <v>1</v>
      </c>
      <c r="C501" s="67" t="s">
        <v>199</v>
      </c>
      <c r="D501" s="78" t="s">
        <v>200</v>
      </c>
      <c r="E501" s="78" t="s">
        <v>14</v>
      </c>
      <c r="F501" s="100">
        <v>46357.0</v>
      </c>
      <c r="G501" s="67" t="s">
        <v>1268</v>
      </c>
      <c r="H501" s="83" t="s">
        <v>1269</v>
      </c>
      <c r="I501" s="98" t="s">
        <v>18</v>
      </c>
      <c r="L501" s="80" t="str">
        <f t="shared" si="2"/>
        <v>No infirmation</v>
      </c>
      <c r="M501" s="80" t="str">
        <f t="shared" si="3"/>
        <v>20251126_snorkel_batch014__llm_step_webvoyager_websites__39</v>
      </c>
    </row>
    <row r="502" ht="15.75" customHeight="1">
      <c r="B502" s="77">
        <f t="shared" si="1"/>
        <v>1</v>
      </c>
      <c r="C502" s="67" t="s">
        <v>199</v>
      </c>
      <c r="D502" s="78" t="s">
        <v>200</v>
      </c>
      <c r="E502" s="78" t="s">
        <v>14</v>
      </c>
      <c r="F502" s="100">
        <v>46357.0</v>
      </c>
      <c r="G502" s="67" t="s">
        <v>1270</v>
      </c>
      <c r="H502" s="83" t="s">
        <v>1271</v>
      </c>
      <c r="I502" s="98" t="s">
        <v>18</v>
      </c>
      <c r="L502" s="80" t="str">
        <f t="shared" si="2"/>
        <v>No infirmation</v>
      </c>
      <c r="M502" s="80" t="str">
        <f t="shared" si="3"/>
        <v>20251126_snorkel_batch016__llm_step_popular_websites__33</v>
      </c>
    </row>
    <row r="503" ht="15.75" customHeight="1">
      <c r="B503" s="77">
        <f t="shared" si="1"/>
        <v>1</v>
      </c>
      <c r="C503" s="67" t="s">
        <v>195</v>
      </c>
      <c r="D503" s="78" t="s">
        <v>196</v>
      </c>
      <c r="E503" s="78" t="s">
        <v>14</v>
      </c>
      <c r="F503" s="100">
        <v>46357.0</v>
      </c>
      <c r="G503" s="81" t="s">
        <v>1272</v>
      </c>
      <c r="H503" s="79" t="s">
        <v>1273</v>
      </c>
      <c r="I503" s="98" t="s">
        <v>18</v>
      </c>
      <c r="L503" s="80" t="str">
        <f t="shared" si="2"/>
        <v>No infirmation</v>
      </c>
      <c r="M503" s="80" t="str">
        <f t="shared" si="3"/>
        <v>20251126_snorkel_batch012__llm_step_webvoyager_websites__104</v>
      </c>
    </row>
    <row r="504" ht="15.75" customHeight="1">
      <c r="B504" s="77">
        <f t="shared" si="1"/>
        <v>1</v>
      </c>
      <c r="C504" s="67" t="s">
        <v>195</v>
      </c>
      <c r="D504" s="78" t="s">
        <v>196</v>
      </c>
      <c r="E504" s="78" t="s">
        <v>14</v>
      </c>
      <c r="F504" s="100">
        <v>46357.0</v>
      </c>
      <c r="G504" s="81" t="s">
        <v>1274</v>
      </c>
      <c r="H504" s="79" t="s">
        <v>1275</v>
      </c>
      <c r="I504" s="98" t="s">
        <v>18</v>
      </c>
      <c r="L504" s="80" t="str">
        <f t="shared" si="2"/>
        <v>No infirmation</v>
      </c>
      <c r="M504" s="80" t="str">
        <f t="shared" si="3"/>
        <v>20260107_snorkel_batch002_step_tasks__maps_travel_time__24</v>
      </c>
    </row>
    <row r="505" ht="15.75" customHeight="1">
      <c r="B505" s="77">
        <f t="shared" si="1"/>
        <v>1</v>
      </c>
      <c r="C505" s="67" t="s">
        <v>195</v>
      </c>
      <c r="D505" s="78" t="s">
        <v>196</v>
      </c>
      <c r="E505" s="78" t="s">
        <v>14</v>
      </c>
      <c r="F505" s="100">
        <v>46357.0</v>
      </c>
      <c r="G505" s="81" t="s">
        <v>1276</v>
      </c>
      <c r="H505" s="79" t="s">
        <v>1277</v>
      </c>
      <c r="I505" s="98" t="s">
        <v>18</v>
      </c>
      <c r="J505" s="67" t="s">
        <v>1133</v>
      </c>
      <c r="L505" s="80" t="str">
        <f t="shared" si="2"/>
        <v>No infirmation</v>
      </c>
      <c r="M505" s="80" t="str">
        <f t="shared" si="3"/>
        <v>20251126_snorkel_batch011__llm_step_onlinemind2web_websites__30</v>
      </c>
    </row>
    <row r="506" ht="15.75" customHeight="1">
      <c r="B506" s="77">
        <f t="shared" si="1"/>
        <v>1</v>
      </c>
      <c r="C506" s="67" t="s">
        <v>195</v>
      </c>
      <c r="D506" s="78" t="s">
        <v>196</v>
      </c>
      <c r="E506" s="78" t="s">
        <v>14</v>
      </c>
      <c r="F506" s="100">
        <v>46357.0</v>
      </c>
      <c r="G506" s="81" t="s">
        <v>1278</v>
      </c>
      <c r="H506" s="79" t="s">
        <v>1279</v>
      </c>
      <c r="I506" s="98" t="s">
        <v>18</v>
      </c>
      <c r="J506" s="67" t="s">
        <v>1280</v>
      </c>
      <c r="L506" s="80" t="str">
        <f t="shared" si="2"/>
        <v>No infirmation</v>
      </c>
      <c r="M506" s="80" t="str">
        <f t="shared" si="3"/>
        <v>20251126_snorkel_batch018__llm_step_onlinemind2web_websites__137</v>
      </c>
    </row>
    <row r="507" ht="15.75" customHeight="1">
      <c r="B507" s="77">
        <f t="shared" si="1"/>
        <v>1</v>
      </c>
      <c r="C507" s="67" t="s">
        <v>195</v>
      </c>
      <c r="D507" s="78" t="s">
        <v>196</v>
      </c>
      <c r="E507" s="78" t="s">
        <v>14</v>
      </c>
      <c r="F507" s="100">
        <v>46357.0</v>
      </c>
      <c r="G507" s="81" t="s">
        <v>1281</v>
      </c>
      <c r="H507" s="79" t="s">
        <v>1282</v>
      </c>
      <c r="I507" s="98" t="s">
        <v>18</v>
      </c>
      <c r="J507" s="67" t="s">
        <v>1283</v>
      </c>
      <c r="L507" s="80" t="str">
        <f t="shared" si="2"/>
        <v>No infirmation</v>
      </c>
      <c r="M507" s="80" t="str">
        <f t="shared" si="3"/>
        <v>20260107_snorkel_batch001_step_tasks__general_news_nav_and_open_first__39</v>
      </c>
    </row>
    <row r="508" ht="15.75" customHeight="1">
      <c r="B508" s="77">
        <f t="shared" si="1"/>
        <v>1</v>
      </c>
      <c r="C508" s="93" t="s">
        <v>12</v>
      </c>
      <c r="D508" s="101" t="s">
        <v>13</v>
      </c>
      <c r="E508" s="101" t="s">
        <v>14</v>
      </c>
      <c r="F508" s="100">
        <v>46357.0</v>
      </c>
      <c r="G508" s="81" t="s">
        <v>81</v>
      </c>
      <c r="H508" s="79" t="s">
        <v>82</v>
      </c>
      <c r="I508" s="98" t="s">
        <v>18</v>
      </c>
      <c r="L508" s="80" t="str">
        <f t="shared" si="2"/>
        <v>No infirmation</v>
      </c>
      <c r="M508" s="80" t="str">
        <f t="shared" si="3"/>
        <v>20260107_snorkel_batch003_step_tasks__shopping_search_and_add_to_cart__23</v>
      </c>
    </row>
    <row r="509" ht="15.75" customHeight="1">
      <c r="B509" s="77">
        <f t="shared" si="1"/>
        <v>1</v>
      </c>
      <c r="C509" s="93" t="s">
        <v>12</v>
      </c>
      <c r="D509" s="101" t="s">
        <v>13</v>
      </c>
      <c r="E509" s="101" t="s">
        <v>14</v>
      </c>
      <c r="F509" s="100">
        <v>46357.0</v>
      </c>
      <c r="G509" s="81" t="s">
        <v>84</v>
      </c>
      <c r="H509" s="79" t="s">
        <v>85</v>
      </c>
      <c r="I509" s="98" t="s">
        <v>18</v>
      </c>
      <c r="J509" s="67" t="s">
        <v>86</v>
      </c>
      <c r="L509" s="80" t="str">
        <f t="shared" si="2"/>
        <v>No infirmation</v>
      </c>
      <c r="M509" s="80" t="str">
        <f t="shared" si="3"/>
        <v>20260107_snorkel_batch003_step_tasks__career_company_research__39</v>
      </c>
    </row>
    <row r="510" ht="15.75" customHeight="1">
      <c r="B510" s="77">
        <f t="shared" si="1"/>
        <v>1</v>
      </c>
      <c r="C510" s="93" t="s">
        <v>12</v>
      </c>
      <c r="D510" s="101" t="s">
        <v>13</v>
      </c>
      <c r="E510" s="101" t="s">
        <v>14</v>
      </c>
      <c r="F510" s="100">
        <v>46357.0</v>
      </c>
      <c r="G510" s="81" t="s">
        <v>88</v>
      </c>
      <c r="H510" s="79" t="s">
        <v>89</v>
      </c>
      <c r="I510" s="98" t="s">
        <v>18</v>
      </c>
      <c r="L510" s="80" t="str">
        <f t="shared" si="2"/>
        <v>No infirmation</v>
      </c>
      <c r="M510" s="80" t="str">
        <f t="shared" si="3"/>
        <v>20251126_snorkel_batch013__llm_step_onlinemind2web_websites__26</v>
      </c>
    </row>
    <row r="511" ht="15.75" customHeight="1">
      <c r="B511" s="77">
        <f t="shared" si="1"/>
        <v>1</v>
      </c>
      <c r="C511" s="93" t="s">
        <v>12</v>
      </c>
      <c r="D511" s="101" t="s">
        <v>13</v>
      </c>
      <c r="E511" s="101" t="s">
        <v>14</v>
      </c>
      <c r="F511" s="100">
        <v>46357.0</v>
      </c>
      <c r="G511" s="81" t="s">
        <v>91</v>
      </c>
      <c r="H511" s="79" t="s">
        <v>92</v>
      </c>
      <c r="I511" s="98" t="s">
        <v>18</v>
      </c>
      <c r="L511" s="80" t="str">
        <f t="shared" si="2"/>
        <v>No infirmation</v>
      </c>
      <c r="M511" s="80" t="str">
        <f t="shared" si="3"/>
        <v>20260107_snorkel_batch002_step_tasks__maps_route_planning__21</v>
      </c>
    </row>
    <row r="512" ht="15.75" customHeight="1">
      <c r="B512" s="77">
        <f t="shared" si="1"/>
        <v>1</v>
      </c>
      <c r="C512" s="93" t="s">
        <v>12</v>
      </c>
      <c r="D512" s="101" t="s">
        <v>13</v>
      </c>
      <c r="E512" s="101" t="s">
        <v>14</v>
      </c>
      <c r="F512" s="100">
        <v>46357.0</v>
      </c>
      <c r="G512" s="81" t="s">
        <v>1284</v>
      </c>
      <c r="H512" s="79" t="s">
        <v>1285</v>
      </c>
      <c r="I512" s="98" t="s">
        <v>18</v>
      </c>
      <c r="L512" s="80" t="str">
        <f t="shared" si="2"/>
        <v>No infirmation</v>
      </c>
      <c r="M512" s="80" t="str">
        <f t="shared" si="3"/>
        <v>20260107_snorkel_batch002_step_tasks__maps_travel_time__69</v>
      </c>
    </row>
    <row r="513" ht="15.75" customHeight="1">
      <c r="B513" s="77">
        <f t="shared" si="1"/>
        <v>1</v>
      </c>
      <c r="C513" s="93" t="s">
        <v>12</v>
      </c>
      <c r="D513" s="101" t="s">
        <v>13</v>
      </c>
      <c r="E513" s="101" t="s">
        <v>14</v>
      </c>
      <c r="F513" s="100">
        <v>46357.0</v>
      </c>
      <c r="G513" s="81" t="s">
        <v>94</v>
      </c>
      <c r="H513" s="79" t="s">
        <v>95</v>
      </c>
      <c r="I513" s="98" t="s">
        <v>18</v>
      </c>
      <c r="L513" s="80" t="str">
        <f t="shared" si="2"/>
        <v>No infirmation</v>
      </c>
      <c r="M513" s="80" t="str">
        <f t="shared" si="3"/>
        <v>20260107_snorkel_batch002_step_tasks__maps_nearby__18</v>
      </c>
    </row>
    <row r="514" ht="15.75" customHeight="1">
      <c r="B514" s="77">
        <f t="shared" si="1"/>
        <v>1</v>
      </c>
      <c r="C514" s="93" t="s">
        <v>12</v>
      </c>
      <c r="D514" s="101" t="s">
        <v>13</v>
      </c>
      <c r="E514" s="101" t="s">
        <v>14</v>
      </c>
      <c r="F514" s="100">
        <v>46357.0</v>
      </c>
      <c r="G514" s="81" t="s">
        <v>97</v>
      </c>
      <c r="H514" s="82" t="s">
        <v>98</v>
      </c>
      <c r="I514" s="98" t="s">
        <v>18</v>
      </c>
      <c r="L514" s="80" t="str">
        <f t="shared" si="2"/>
        <v>No infirmation</v>
      </c>
      <c r="M514" s="80" t="str">
        <f t="shared" si="3"/>
        <v>20260107_snorkel_batch001_step_tasks__general_news_nav__3</v>
      </c>
    </row>
    <row r="515" ht="15.75" customHeight="1">
      <c r="B515" s="77">
        <f t="shared" si="1"/>
        <v>1</v>
      </c>
      <c r="C515" s="93" t="s">
        <v>12</v>
      </c>
      <c r="D515" s="101" t="s">
        <v>13</v>
      </c>
      <c r="E515" s="101" t="s">
        <v>14</v>
      </c>
      <c r="F515" s="100">
        <v>46357.0</v>
      </c>
      <c r="G515" s="81" t="s">
        <v>1286</v>
      </c>
      <c r="H515" s="79" t="s">
        <v>1287</v>
      </c>
      <c r="I515" s="98" t="s">
        <v>18</v>
      </c>
      <c r="J515" s="67" t="s">
        <v>1288</v>
      </c>
      <c r="L515" s="80" t="str">
        <f t="shared" si="2"/>
        <v>No infirmation</v>
      </c>
      <c r="M515" s="80" t="str">
        <f t="shared" si="3"/>
        <v>20251126_snorkel_batch016__llm_step_popular_websites__72</v>
      </c>
    </row>
    <row r="516" ht="15.75" customHeight="1">
      <c r="B516" s="77">
        <f t="shared" si="1"/>
        <v>1</v>
      </c>
      <c r="C516" s="93" t="s">
        <v>12</v>
      </c>
      <c r="D516" s="101" t="s">
        <v>13</v>
      </c>
      <c r="E516" s="101" t="s">
        <v>14</v>
      </c>
      <c r="F516" s="100">
        <v>46357.0</v>
      </c>
      <c r="G516" s="81" t="s">
        <v>100</v>
      </c>
      <c r="H516" s="79" t="s">
        <v>101</v>
      </c>
      <c r="I516" s="98" t="s">
        <v>18</v>
      </c>
      <c r="L516" s="80" t="str">
        <f t="shared" si="2"/>
        <v>No infirmation</v>
      </c>
      <c r="M516" s="80" t="str">
        <f t="shared" si="3"/>
        <v>20260107_snorkel_batch001_step_tasks__general_news_nav__29</v>
      </c>
    </row>
    <row r="517" ht="15.75" customHeight="1">
      <c r="B517" s="77">
        <f t="shared" si="1"/>
        <v>1</v>
      </c>
      <c r="C517" s="93" t="s">
        <v>12</v>
      </c>
      <c r="D517" s="101" t="s">
        <v>13</v>
      </c>
      <c r="E517" s="101" t="s">
        <v>14</v>
      </c>
      <c r="F517" s="100">
        <v>46357.0</v>
      </c>
      <c r="G517" s="81" t="s">
        <v>1289</v>
      </c>
      <c r="H517" s="79" t="s">
        <v>1290</v>
      </c>
      <c r="I517" s="98" t="s">
        <v>18</v>
      </c>
      <c r="L517" s="80" t="str">
        <f t="shared" si="2"/>
        <v>No infirmation</v>
      </c>
      <c r="M517" s="80" t="str">
        <f t="shared" si="3"/>
        <v>20251126_snorkel_batch013__llm_step_webvoyager_websites__41</v>
      </c>
    </row>
    <row r="518" ht="15.75" customHeight="1">
      <c r="B518" s="77">
        <f t="shared" si="1"/>
        <v>1</v>
      </c>
      <c r="C518" s="67" t="s">
        <v>199</v>
      </c>
      <c r="D518" s="78" t="s">
        <v>200</v>
      </c>
      <c r="E518" s="78" t="s">
        <v>14</v>
      </c>
      <c r="F518" s="100">
        <v>46357.0</v>
      </c>
      <c r="G518" s="67" t="s">
        <v>1291</v>
      </c>
      <c r="H518" s="83" t="s">
        <v>1292</v>
      </c>
      <c r="I518" s="98" t="s">
        <v>18</v>
      </c>
      <c r="L518" s="80" t="str">
        <f t="shared" si="2"/>
        <v>No infirmation</v>
      </c>
      <c r="M518" s="80" t="str">
        <f t="shared" si="3"/>
        <v>20251219_snorkel_batch001__llm_navqa_popular_websites__19</v>
      </c>
    </row>
    <row r="519" ht="15.75" customHeight="1">
      <c r="B519" s="77">
        <f t="shared" si="1"/>
        <v>1</v>
      </c>
      <c r="C519" s="67" t="s">
        <v>199</v>
      </c>
      <c r="D519" s="78" t="s">
        <v>200</v>
      </c>
      <c r="E519" s="78" t="s">
        <v>14</v>
      </c>
      <c r="F519" s="100">
        <v>46357.0</v>
      </c>
      <c r="G519" s="67" t="s">
        <v>1293</v>
      </c>
      <c r="H519" s="83" t="s">
        <v>1294</v>
      </c>
      <c r="I519" s="98" t="s">
        <v>18</v>
      </c>
      <c r="L519" s="80" t="str">
        <f t="shared" si="2"/>
        <v>No infirmation</v>
      </c>
      <c r="M519" s="80" t="str">
        <f t="shared" si="3"/>
        <v>20251126_snorkel_batch011__llm_step_webvoyager_websites__4</v>
      </c>
    </row>
    <row r="520" ht="15.75" customHeight="1">
      <c r="B520" s="77">
        <f t="shared" si="1"/>
        <v>1</v>
      </c>
      <c r="C520" s="67" t="s">
        <v>199</v>
      </c>
      <c r="D520" s="78" t="s">
        <v>200</v>
      </c>
      <c r="E520" s="78" t="s">
        <v>14</v>
      </c>
      <c r="F520" s="100">
        <v>46357.0</v>
      </c>
      <c r="G520" s="67" t="s">
        <v>1295</v>
      </c>
      <c r="H520" s="82" t="s">
        <v>1296</v>
      </c>
      <c r="I520" s="98" t="s">
        <v>18</v>
      </c>
      <c r="J520" s="67" t="s">
        <v>772</v>
      </c>
      <c r="L520" s="80" t="str">
        <f t="shared" si="2"/>
        <v>No infirmation</v>
      </c>
      <c r="M520" s="80" t="str">
        <f t="shared" si="3"/>
        <v>20251126_snorkel_batch018__llm_step_onlinemind2web_websites__105</v>
      </c>
    </row>
    <row r="521" ht="15.75" customHeight="1">
      <c r="B521" s="77">
        <f t="shared" si="1"/>
        <v>1</v>
      </c>
      <c r="C521" s="67" t="s">
        <v>199</v>
      </c>
      <c r="D521" s="78" t="s">
        <v>200</v>
      </c>
      <c r="E521" s="78" t="s">
        <v>14</v>
      </c>
      <c r="F521" s="100">
        <v>46357.0</v>
      </c>
      <c r="G521" s="67" t="s">
        <v>1297</v>
      </c>
      <c r="H521" s="83" t="s">
        <v>1298</v>
      </c>
      <c r="I521" s="98" t="s">
        <v>18</v>
      </c>
      <c r="L521" s="80" t="str">
        <f t="shared" si="2"/>
        <v>No infirmation</v>
      </c>
      <c r="M521" s="80" t="str">
        <f t="shared" si="3"/>
        <v>20251126_snorkel_batch011__llm_step_webvoyager_websites__65</v>
      </c>
    </row>
    <row r="522" ht="15.75" customHeight="1">
      <c r="B522" s="77">
        <f t="shared" si="1"/>
        <v>1</v>
      </c>
      <c r="C522" s="67" t="s">
        <v>199</v>
      </c>
      <c r="D522" s="78" t="s">
        <v>200</v>
      </c>
      <c r="E522" s="78" t="s">
        <v>14</v>
      </c>
      <c r="F522" s="100">
        <v>46357.0</v>
      </c>
      <c r="G522" s="67" t="s">
        <v>1299</v>
      </c>
      <c r="H522" s="83" t="s">
        <v>1300</v>
      </c>
      <c r="I522" s="98" t="s">
        <v>18</v>
      </c>
      <c r="L522" s="80" t="str">
        <f t="shared" si="2"/>
        <v>No infirmation</v>
      </c>
      <c r="M522" s="80" t="str">
        <f t="shared" si="3"/>
        <v>20260107_snorkel_batch002_step_tasks__maps_route_planning__15</v>
      </c>
    </row>
    <row r="523" ht="15.75" customHeight="1">
      <c r="B523" s="77">
        <f t="shared" si="1"/>
        <v>1</v>
      </c>
      <c r="C523" s="67" t="s">
        <v>199</v>
      </c>
      <c r="D523" s="78" t="s">
        <v>200</v>
      </c>
      <c r="E523" s="78" t="s">
        <v>14</v>
      </c>
      <c r="F523" s="100">
        <v>46357.0</v>
      </c>
      <c r="G523" s="67" t="s">
        <v>1301</v>
      </c>
      <c r="H523" s="83" t="s">
        <v>1302</v>
      </c>
      <c r="I523" s="98" t="s">
        <v>18</v>
      </c>
      <c r="J523" s="67" t="s">
        <v>1303</v>
      </c>
      <c r="L523" s="80" t="str">
        <f t="shared" si="2"/>
        <v>No infirmation</v>
      </c>
      <c r="M523" s="80" t="str">
        <f t="shared" si="3"/>
        <v>20251121_snorkel_batch005__webvoyager_like__415</v>
      </c>
    </row>
    <row r="524" ht="15.75" customHeight="1">
      <c r="B524" s="77">
        <f t="shared" si="1"/>
        <v>1</v>
      </c>
      <c r="C524" s="67" t="s">
        <v>193</v>
      </c>
      <c r="D524" s="78" t="s">
        <v>194</v>
      </c>
      <c r="E524" s="78" t="s">
        <v>14</v>
      </c>
      <c r="F524" s="100">
        <v>46357.0</v>
      </c>
      <c r="G524" s="81" t="s">
        <v>1304</v>
      </c>
      <c r="H524" s="79" t="s">
        <v>1305</v>
      </c>
      <c r="I524" s="98" t="s">
        <v>429</v>
      </c>
      <c r="J524" s="81" t="s">
        <v>1219</v>
      </c>
      <c r="L524" s="80" t="str">
        <f t="shared" si="2"/>
        <v>No infirmation</v>
      </c>
      <c r="M524" s="80" t="str">
        <f t="shared" si="3"/>
        <v>20260107_snorkel_batch002_step_tasks__real_estate_search_and_filter__14</v>
      </c>
    </row>
    <row r="525" ht="15.75" customHeight="1">
      <c r="B525" s="77">
        <f t="shared" si="1"/>
        <v>1</v>
      </c>
      <c r="C525" s="67" t="s">
        <v>193</v>
      </c>
      <c r="D525" s="78" t="s">
        <v>194</v>
      </c>
      <c r="E525" s="78" t="s">
        <v>14</v>
      </c>
      <c r="F525" s="100">
        <v>46357.0</v>
      </c>
      <c r="G525" s="81" t="s">
        <v>1306</v>
      </c>
      <c r="H525" s="79" t="s">
        <v>1307</v>
      </c>
      <c r="I525" s="98" t="s">
        <v>18</v>
      </c>
      <c r="L525" s="80" t="str">
        <f t="shared" si="2"/>
        <v>No infirmation</v>
      </c>
      <c r="M525" s="80" t="str">
        <f t="shared" si="3"/>
        <v>20251121_snorkel_batch004__webvoyager_like__226</v>
      </c>
    </row>
    <row r="526" ht="15.75" customHeight="1">
      <c r="B526" s="77">
        <f t="shared" si="1"/>
        <v>1</v>
      </c>
      <c r="C526" s="67" t="s">
        <v>193</v>
      </c>
      <c r="D526" s="78" t="s">
        <v>194</v>
      </c>
      <c r="E526" s="78" t="s">
        <v>14</v>
      </c>
      <c r="F526" s="100">
        <v>46357.0</v>
      </c>
      <c r="G526" s="81" t="s">
        <v>1308</v>
      </c>
      <c r="H526" s="79" t="s">
        <v>1309</v>
      </c>
      <c r="I526" s="98" t="s">
        <v>18</v>
      </c>
      <c r="L526" s="80" t="str">
        <f t="shared" si="2"/>
        <v>No infirmation</v>
      </c>
      <c r="M526" s="80" t="str">
        <f t="shared" si="3"/>
        <v>20251126_snorkel_batch017__llm_step_onlinemind2web_websites__107</v>
      </c>
    </row>
    <row r="527" ht="15.75" customHeight="1">
      <c r="B527" s="77">
        <f t="shared" si="1"/>
        <v>1</v>
      </c>
      <c r="C527" s="67" t="s">
        <v>193</v>
      </c>
      <c r="D527" s="78" t="s">
        <v>194</v>
      </c>
      <c r="E527" s="78" t="s">
        <v>14</v>
      </c>
      <c r="F527" s="100">
        <v>46357.0</v>
      </c>
      <c r="G527" s="81" t="s">
        <v>1310</v>
      </c>
      <c r="H527" s="79" t="s">
        <v>1311</v>
      </c>
      <c r="I527" s="98" t="s">
        <v>18</v>
      </c>
      <c r="L527" s="80" t="str">
        <f t="shared" si="2"/>
        <v>No infirmation</v>
      </c>
      <c r="M527" s="80" t="str">
        <f t="shared" si="3"/>
        <v>20251126_snorkel_batch015__llm_step_webvoyager_websites__22</v>
      </c>
    </row>
    <row r="528" ht="15.75" customHeight="1">
      <c r="B528" s="77">
        <f t="shared" si="1"/>
        <v>1</v>
      </c>
      <c r="C528" s="67" t="s">
        <v>193</v>
      </c>
      <c r="D528" s="78" t="s">
        <v>194</v>
      </c>
      <c r="E528" s="78" t="s">
        <v>14</v>
      </c>
      <c r="F528" s="100">
        <v>46357.0</v>
      </c>
      <c r="G528" s="81" t="s">
        <v>1312</v>
      </c>
      <c r="H528" s="79" t="s">
        <v>1313</v>
      </c>
      <c r="I528" s="98" t="s">
        <v>18</v>
      </c>
      <c r="L528" s="80" t="str">
        <f t="shared" si="2"/>
        <v>No infirmation</v>
      </c>
      <c r="M528" s="80" t="str">
        <f t="shared" si="3"/>
        <v>20251126_snorkel_batch016__llm_step_webvoyager_websites__40</v>
      </c>
    </row>
    <row r="529" ht="15.75" customHeight="1">
      <c r="B529" s="77">
        <f t="shared" si="1"/>
        <v>1</v>
      </c>
      <c r="C529" s="67" t="s">
        <v>193</v>
      </c>
      <c r="D529" s="78" t="s">
        <v>194</v>
      </c>
      <c r="E529" s="78" t="s">
        <v>14</v>
      </c>
      <c r="F529" s="100">
        <v>46357.0</v>
      </c>
      <c r="G529" s="81" t="s">
        <v>1314</v>
      </c>
      <c r="H529" s="79" t="s">
        <v>1315</v>
      </c>
      <c r="I529" s="98" t="s">
        <v>18</v>
      </c>
      <c r="L529" s="80" t="str">
        <f t="shared" si="2"/>
        <v>No infirmation</v>
      </c>
      <c r="M529" s="80" t="str">
        <f t="shared" si="3"/>
        <v>20260107_snorkel_batch002_step_tasks__maps_travel_time__50</v>
      </c>
    </row>
    <row r="530" ht="15.75" customHeight="1">
      <c r="B530" s="77">
        <f t="shared" si="1"/>
        <v>1</v>
      </c>
      <c r="C530" s="67" t="s">
        <v>193</v>
      </c>
      <c r="D530" s="78" t="s">
        <v>194</v>
      </c>
      <c r="E530" s="78" t="s">
        <v>14</v>
      </c>
      <c r="F530" s="100">
        <v>46357.0</v>
      </c>
      <c r="G530" s="81" t="s">
        <v>1316</v>
      </c>
      <c r="H530" s="79" t="s">
        <v>1317</v>
      </c>
      <c r="I530" s="98" t="s">
        <v>18</v>
      </c>
      <c r="L530" s="80" t="str">
        <f t="shared" si="2"/>
        <v>No infirmation</v>
      </c>
      <c r="M530" s="80" t="str">
        <f t="shared" si="3"/>
        <v>20260107_snorkel_batch001_step_tasks__maps_directions_with_mode__36</v>
      </c>
    </row>
    <row r="531" ht="15.75" customHeight="1">
      <c r="B531" s="77">
        <f t="shared" si="1"/>
        <v>1</v>
      </c>
      <c r="C531" s="67" t="s">
        <v>193</v>
      </c>
      <c r="D531" s="78" t="s">
        <v>194</v>
      </c>
      <c r="E531" s="78" t="s">
        <v>14</v>
      </c>
      <c r="F531" s="100">
        <v>46357.0</v>
      </c>
      <c r="G531" s="81" t="s">
        <v>1318</v>
      </c>
      <c r="H531" s="79" t="s">
        <v>1319</v>
      </c>
      <c r="I531" s="98" t="s">
        <v>18</v>
      </c>
      <c r="L531" s="80" t="str">
        <f t="shared" si="2"/>
        <v>No infirmation</v>
      </c>
      <c r="M531" s="80" t="str">
        <f t="shared" si="3"/>
        <v>20251126_snorkel_batch020__llm_step_webvoyager_websites__37</v>
      </c>
    </row>
    <row r="532" ht="15.75" customHeight="1">
      <c r="B532" s="77">
        <f t="shared" si="1"/>
        <v>1</v>
      </c>
      <c r="C532" s="67" t="s">
        <v>193</v>
      </c>
      <c r="D532" s="78" t="s">
        <v>194</v>
      </c>
      <c r="E532" s="78" t="s">
        <v>14</v>
      </c>
      <c r="F532" s="100">
        <v>46357.0</v>
      </c>
      <c r="G532" s="81" t="s">
        <v>1320</v>
      </c>
      <c r="H532" s="79" t="s">
        <v>1321</v>
      </c>
      <c r="I532" s="98" t="s">
        <v>18</v>
      </c>
      <c r="L532" s="80" t="str">
        <f t="shared" si="2"/>
        <v>No infirmation</v>
      </c>
      <c r="M532" s="80" t="str">
        <f t="shared" si="3"/>
        <v>20251126_snorkel_batch015__llm_step_webvoyager_websites__4</v>
      </c>
    </row>
    <row r="533" ht="15.75" customHeight="1">
      <c r="B533" s="77">
        <f t="shared" si="1"/>
        <v>1</v>
      </c>
      <c r="C533" s="67" t="s">
        <v>193</v>
      </c>
      <c r="D533" s="78" t="s">
        <v>194</v>
      </c>
      <c r="E533" s="78" t="s">
        <v>14</v>
      </c>
      <c r="F533" s="100">
        <v>46357.0</v>
      </c>
      <c r="G533" s="81" t="s">
        <v>1322</v>
      </c>
      <c r="H533" s="79" t="s">
        <v>1323</v>
      </c>
      <c r="I533" s="98" t="s">
        <v>18</v>
      </c>
      <c r="L533" s="80" t="str">
        <f t="shared" si="2"/>
        <v>No infirmation</v>
      </c>
      <c r="M533" s="80" t="str">
        <f t="shared" si="3"/>
        <v>20251126_snorkel_batch016__llm_step_onlinemind2web_websites__17</v>
      </c>
    </row>
    <row r="534" ht="15.75" customHeight="1">
      <c r="B534" s="77">
        <f t="shared" si="1"/>
        <v>1</v>
      </c>
      <c r="C534" s="67" t="s">
        <v>193</v>
      </c>
      <c r="D534" s="78" t="s">
        <v>194</v>
      </c>
      <c r="E534" s="78" t="s">
        <v>14</v>
      </c>
      <c r="F534" s="100">
        <v>46357.0</v>
      </c>
      <c r="G534" s="81" t="s">
        <v>1324</v>
      </c>
      <c r="H534" s="79" t="s">
        <v>1325</v>
      </c>
      <c r="I534" s="98" t="s">
        <v>429</v>
      </c>
      <c r="J534" s="81" t="s">
        <v>1219</v>
      </c>
      <c r="L534" s="80" t="str">
        <f t="shared" si="2"/>
        <v>No infirmation</v>
      </c>
      <c r="M534" s="80" t="str">
        <f t="shared" si="3"/>
        <v>20251126_snorkel_batch014__llm_step_webvoyager_websites__166</v>
      </c>
    </row>
    <row r="535" ht="15.75" customHeight="1">
      <c r="B535" s="77">
        <f t="shared" si="1"/>
        <v>1</v>
      </c>
      <c r="C535" s="67" t="s">
        <v>197</v>
      </c>
      <c r="D535" s="78" t="s">
        <v>198</v>
      </c>
      <c r="E535" s="78" t="s">
        <v>14</v>
      </c>
      <c r="F535" s="100">
        <v>46357.0</v>
      </c>
      <c r="G535" s="95" t="s">
        <v>1326</v>
      </c>
      <c r="H535" s="102" t="s">
        <v>1327</v>
      </c>
      <c r="I535" s="84" t="s">
        <v>18</v>
      </c>
      <c r="J535" s="95"/>
      <c r="L535" s="80" t="str">
        <f t="shared" si="2"/>
        <v>No infirmation</v>
      </c>
      <c r="M535" s="80" t="str">
        <f t="shared" si="3"/>
        <v>20251126_snorkel_batch015__llm_step_webvoyager_websites__3</v>
      </c>
    </row>
    <row r="536" ht="15.75" customHeight="1">
      <c r="B536" s="77">
        <f t="shared" si="1"/>
        <v>1</v>
      </c>
      <c r="C536" s="67" t="s">
        <v>197</v>
      </c>
      <c r="D536" s="78" t="s">
        <v>198</v>
      </c>
      <c r="E536" s="78" t="s">
        <v>14</v>
      </c>
      <c r="F536" s="100">
        <v>46357.0</v>
      </c>
      <c r="G536" s="95" t="s">
        <v>1328</v>
      </c>
      <c r="H536" s="102" t="s">
        <v>1329</v>
      </c>
      <c r="I536" s="84" t="s">
        <v>18</v>
      </c>
      <c r="J536" s="95"/>
      <c r="L536" s="80" t="str">
        <f t="shared" si="2"/>
        <v>No infirmation</v>
      </c>
      <c r="M536" s="80" t="str">
        <f t="shared" si="3"/>
        <v>20251126_snorkel_batch016__llm_step_webvoyager_websites__33</v>
      </c>
    </row>
    <row r="537" ht="15.75" customHeight="1">
      <c r="B537" s="77">
        <f t="shared" si="1"/>
        <v>1</v>
      </c>
      <c r="C537" s="67" t="s">
        <v>197</v>
      </c>
      <c r="D537" s="78" t="s">
        <v>198</v>
      </c>
      <c r="E537" s="78" t="s">
        <v>14</v>
      </c>
      <c r="F537" s="100">
        <v>46357.0</v>
      </c>
      <c r="G537" s="95" t="s">
        <v>1330</v>
      </c>
      <c r="H537" s="102" t="s">
        <v>1331</v>
      </c>
      <c r="I537" s="84" t="s">
        <v>18</v>
      </c>
      <c r="J537" s="95"/>
      <c r="L537" s="80" t="str">
        <f t="shared" si="2"/>
        <v>No infirmation</v>
      </c>
      <c r="M537" s="80" t="str">
        <f t="shared" si="3"/>
        <v>20260107_snorkel_batch002_step_tasks__maps_visual_count__19</v>
      </c>
    </row>
    <row r="538" ht="15.75" customHeight="1">
      <c r="B538" s="77">
        <f t="shared" si="1"/>
        <v>1</v>
      </c>
      <c r="C538" s="67" t="s">
        <v>197</v>
      </c>
      <c r="D538" s="78" t="s">
        <v>198</v>
      </c>
      <c r="E538" s="78" t="s">
        <v>14</v>
      </c>
      <c r="F538" s="100">
        <v>46357.0</v>
      </c>
      <c r="G538" s="103" t="s">
        <v>1332</v>
      </c>
      <c r="H538" s="102" t="s">
        <v>1333</v>
      </c>
      <c r="I538" s="84" t="s">
        <v>18</v>
      </c>
      <c r="J538" s="95"/>
      <c r="L538" s="80" t="str">
        <f t="shared" si="2"/>
        <v>No infirmation</v>
      </c>
      <c r="M538" s="80" t="str">
        <f t="shared" si="3"/>
        <v>20251126_snorkel_batch019__llm_step_popular_websites__37</v>
      </c>
    </row>
    <row r="539" ht="15.75" customHeight="1">
      <c r="B539" s="77">
        <f t="shared" si="1"/>
        <v>1</v>
      </c>
      <c r="C539" s="67" t="s">
        <v>197</v>
      </c>
      <c r="D539" s="78" t="s">
        <v>198</v>
      </c>
      <c r="E539" s="78" t="s">
        <v>14</v>
      </c>
      <c r="F539" s="100">
        <v>46357.0</v>
      </c>
      <c r="G539" s="95" t="s">
        <v>1334</v>
      </c>
      <c r="H539" s="102" t="s">
        <v>1335</v>
      </c>
      <c r="I539" s="84" t="s">
        <v>18</v>
      </c>
      <c r="J539" s="103" t="s">
        <v>1336</v>
      </c>
      <c r="L539" s="80" t="str">
        <f t="shared" si="2"/>
        <v>No infirmation</v>
      </c>
      <c r="M539" s="80" t="str">
        <f t="shared" si="3"/>
        <v>20251126_snorkel_batch012__llm_step_onlinemind2web_websites__44</v>
      </c>
    </row>
    <row r="540" ht="15.75" customHeight="1">
      <c r="B540" s="77">
        <f t="shared" si="1"/>
        <v>1</v>
      </c>
      <c r="C540" s="67" t="s">
        <v>197</v>
      </c>
      <c r="D540" s="78" t="s">
        <v>198</v>
      </c>
      <c r="E540" s="78" t="s">
        <v>14</v>
      </c>
      <c r="F540" s="100">
        <v>46357.0</v>
      </c>
      <c r="G540" s="95" t="s">
        <v>1337</v>
      </c>
      <c r="H540" s="102" t="s">
        <v>1338</v>
      </c>
      <c r="I540" s="84" t="s">
        <v>18</v>
      </c>
      <c r="J540" s="95"/>
      <c r="L540" s="80" t="str">
        <f t="shared" si="2"/>
        <v>No infirmation</v>
      </c>
      <c r="M540" s="80" t="str">
        <f t="shared" si="3"/>
        <v>20260107_snorkel_batch001_step_tasks__general_news_nav_and_open_first__41</v>
      </c>
    </row>
    <row r="541" ht="15.75" customHeight="1">
      <c r="B541" s="77">
        <f t="shared" si="1"/>
        <v>1</v>
      </c>
      <c r="C541" s="67" t="s">
        <v>197</v>
      </c>
      <c r="D541" s="78" t="s">
        <v>198</v>
      </c>
      <c r="E541" s="78" t="s">
        <v>14</v>
      </c>
      <c r="F541" s="100">
        <v>46357.0</v>
      </c>
      <c r="G541" s="95" t="s">
        <v>1339</v>
      </c>
      <c r="H541" s="102" t="s">
        <v>1340</v>
      </c>
      <c r="I541" s="84" t="s">
        <v>18</v>
      </c>
      <c r="J541" s="103" t="s">
        <v>1341</v>
      </c>
      <c r="L541" s="80" t="str">
        <f t="shared" si="2"/>
        <v>No infirmation</v>
      </c>
      <c r="M541" s="80" t="str">
        <f t="shared" si="3"/>
        <v>20251126_snorkel_batch012__llm_step_onlinemind2web_websites__148</v>
      </c>
    </row>
    <row r="542" ht="15.75" customHeight="1">
      <c r="B542" s="77">
        <f t="shared" si="1"/>
        <v>1</v>
      </c>
      <c r="C542" s="67" t="s">
        <v>197</v>
      </c>
      <c r="D542" s="78" t="s">
        <v>198</v>
      </c>
      <c r="E542" s="78" t="s">
        <v>14</v>
      </c>
      <c r="F542" s="100">
        <v>46357.0</v>
      </c>
      <c r="G542" s="95" t="s">
        <v>1342</v>
      </c>
      <c r="H542" s="102" t="s">
        <v>1343</v>
      </c>
      <c r="I542" s="84" t="s">
        <v>18</v>
      </c>
      <c r="J542" s="95" t="s">
        <v>1344</v>
      </c>
      <c r="L542" s="80" t="str">
        <f t="shared" si="2"/>
        <v>No infirmation</v>
      </c>
      <c r="M542" s="80" t="str">
        <f t="shared" si="3"/>
        <v>20251126_snorkel_batch017__llm_step_onlinemind2web_websites__50</v>
      </c>
    </row>
    <row r="543" ht="15.75" customHeight="1">
      <c r="B543" s="77">
        <f t="shared" si="1"/>
        <v>1</v>
      </c>
      <c r="C543" s="67" t="s">
        <v>197</v>
      </c>
      <c r="D543" s="78" t="s">
        <v>198</v>
      </c>
      <c r="E543" s="78" t="s">
        <v>14</v>
      </c>
      <c r="F543" s="100">
        <v>46357.0</v>
      </c>
      <c r="G543" s="95" t="s">
        <v>1345</v>
      </c>
      <c r="H543" s="102" t="s">
        <v>1346</v>
      </c>
      <c r="I543" s="84" t="s">
        <v>18</v>
      </c>
      <c r="J543" s="95"/>
      <c r="L543" s="80" t="str">
        <f t="shared" si="2"/>
        <v>No infirmation</v>
      </c>
      <c r="M543" s="80" t="str">
        <f t="shared" si="3"/>
        <v>20251126_snorkel_batch019__llm_step_webvoyager_websites__23</v>
      </c>
    </row>
    <row r="544" ht="15.75" customHeight="1">
      <c r="B544" s="77">
        <f t="shared" si="1"/>
        <v>1</v>
      </c>
      <c r="C544" s="67" t="s">
        <v>197</v>
      </c>
      <c r="D544" s="78" t="s">
        <v>198</v>
      </c>
      <c r="E544" s="78" t="s">
        <v>14</v>
      </c>
      <c r="F544" s="100">
        <v>46357.0</v>
      </c>
      <c r="G544" s="95" t="s">
        <v>1347</v>
      </c>
      <c r="H544" s="102" t="s">
        <v>1348</v>
      </c>
      <c r="I544" s="84" t="s">
        <v>18</v>
      </c>
      <c r="J544" s="95" t="s">
        <v>1349</v>
      </c>
      <c r="L544" s="80" t="str">
        <f t="shared" si="2"/>
        <v>No infirmation</v>
      </c>
      <c r="M544" s="80" t="str">
        <f t="shared" si="3"/>
        <v>20251126_snorkel_batch020__llm_step_webvoyager_websites__143</v>
      </c>
    </row>
    <row r="545" ht="15.75" customHeight="1">
      <c r="B545" s="77">
        <f t="shared" si="1"/>
        <v>4</v>
      </c>
      <c r="C545" s="67" t="s">
        <v>201</v>
      </c>
      <c r="D545" s="78" t="s">
        <v>202</v>
      </c>
      <c r="E545" s="78" t="s">
        <v>14</v>
      </c>
      <c r="F545" s="100">
        <v>46357.0</v>
      </c>
      <c r="G545" s="103" t="s">
        <v>1350</v>
      </c>
      <c r="H545" s="70" t="s">
        <v>1351</v>
      </c>
      <c r="I545" s="84" t="s">
        <v>18</v>
      </c>
      <c r="J545" s="103" t="s">
        <v>1352</v>
      </c>
      <c r="L545" s="80" t="str">
        <f t="shared" si="2"/>
        <v>No infirmation</v>
      </c>
      <c r="M545" s="80" t="str">
        <f t="shared" si="3"/>
        <v>20251126_snorkel_batch012__llm_step_popular_websites__57</v>
      </c>
    </row>
    <row r="546" ht="15.75" customHeight="1">
      <c r="B546" s="77">
        <f t="shared" si="1"/>
        <v>4</v>
      </c>
      <c r="C546" s="67" t="s">
        <v>201</v>
      </c>
      <c r="D546" s="78" t="s">
        <v>202</v>
      </c>
      <c r="E546" s="78" t="s">
        <v>14</v>
      </c>
      <c r="F546" s="100">
        <v>46357.0</v>
      </c>
      <c r="G546" s="103" t="s">
        <v>1350</v>
      </c>
      <c r="H546" s="70" t="s">
        <v>1353</v>
      </c>
      <c r="I546" s="84" t="s">
        <v>18</v>
      </c>
      <c r="J546" s="95"/>
      <c r="L546" s="80" t="str">
        <f t="shared" si="2"/>
        <v>No infirmation</v>
      </c>
      <c r="M546" s="80" t="str">
        <f t="shared" si="3"/>
        <v>20251126_snorkel_batch017__llm_step_onlinemind2web_websites__82</v>
      </c>
    </row>
    <row r="547" ht="15.75" customHeight="1">
      <c r="B547" s="77">
        <f t="shared" si="1"/>
        <v>4</v>
      </c>
      <c r="C547" s="67" t="s">
        <v>201</v>
      </c>
      <c r="D547" s="78" t="s">
        <v>202</v>
      </c>
      <c r="E547" s="78" t="s">
        <v>14</v>
      </c>
      <c r="F547" s="100">
        <v>46357.0</v>
      </c>
      <c r="G547" s="103" t="s">
        <v>1350</v>
      </c>
      <c r="H547" s="70" t="s">
        <v>1354</v>
      </c>
      <c r="I547" s="84" t="s">
        <v>18</v>
      </c>
      <c r="J547" s="95"/>
      <c r="L547" s="80" t="str">
        <f t="shared" si="2"/>
        <v>No infirmation</v>
      </c>
      <c r="M547" s="80" t="str">
        <f t="shared" si="3"/>
        <v>20260107_snorkel_batch003_step_tasks__food_delivery__9</v>
      </c>
    </row>
    <row r="548" ht="15.75" customHeight="1">
      <c r="B548" s="77">
        <f t="shared" si="1"/>
        <v>4</v>
      </c>
      <c r="C548" s="67" t="s">
        <v>201</v>
      </c>
      <c r="D548" s="78" t="s">
        <v>202</v>
      </c>
      <c r="E548" s="78" t="s">
        <v>14</v>
      </c>
      <c r="F548" s="100">
        <v>46357.0</v>
      </c>
      <c r="G548" s="103" t="s">
        <v>1350</v>
      </c>
      <c r="H548" s="70" t="s">
        <v>1355</v>
      </c>
      <c r="I548" s="84" t="s">
        <v>18</v>
      </c>
      <c r="J548" s="95"/>
      <c r="L548" s="80" t="str">
        <f t="shared" si="2"/>
        <v>No infirmation</v>
      </c>
      <c r="M548" s="80" t="str">
        <f t="shared" si="3"/>
        <v>20251126_snorkel_batch017__llm_step_popular_websites__146</v>
      </c>
    </row>
    <row r="549" ht="15.75" customHeight="1">
      <c r="B549" s="77">
        <f t="shared" si="1"/>
        <v>1</v>
      </c>
      <c r="C549" s="67" t="s">
        <v>201</v>
      </c>
      <c r="D549" s="78" t="s">
        <v>202</v>
      </c>
      <c r="E549" s="78" t="s">
        <v>14</v>
      </c>
      <c r="F549" s="100">
        <v>46357.0</v>
      </c>
      <c r="G549" s="103" t="s">
        <v>1356</v>
      </c>
      <c r="H549" s="70" t="s">
        <v>1357</v>
      </c>
      <c r="I549" s="84" t="s">
        <v>18</v>
      </c>
      <c r="J549" s="103" t="s">
        <v>1358</v>
      </c>
      <c r="L549" s="80" t="str">
        <f t="shared" si="2"/>
        <v>No infirmation</v>
      </c>
      <c r="M549" s="80" t="str">
        <f t="shared" si="3"/>
        <v>20251126_snorkel_batch015__llm_step_popular_websites__104</v>
      </c>
    </row>
    <row r="550" ht="15.75" customHeight="1">
      <c r="B550" s="77">
        <f t="shared" si="1"/>
        <v>1</v>
      </c>
      <c r="C550" s="67" t="s">
        <v>201</v>
      </c>
      <c r="D550" s="78" t="s">
        <v>202</v>
      </c>
      <c r="E550" s="78" t="s">
        <v>14</v>
      </c>
      <c r="F550" s="100">
        <v>46357.0</v>
      </c>
      <c r="G550" s="103" t="s">
        <v>1359</v>
      </c>
      <c r="H550" s="70" t="s">
        <v>1360</v>
      </c>
      <c r="I550" s="84" t="s">
        <v>18</v>
      </c>
      <c r="J550" s="103" t="s">
        <v>1361</v>
      </c>
      <c r="L550" s="80" t="str">
        <f t="shared" si="2"/>
        <v>No infirmation</v>
      </c>
      <c r="M550" s="80" t="str">
        <f t="shared" si="3"/>
        <v>20251126_snorkel_batch015__llm_step_popular_websites__26</v>
      </c>
    </row>
    <row r="551" ht="15.75" customHeight="1">
      <c r="B551" s="77">
        <f t="shared" si="1"/>
        <v>1</v>
      </c>
      <c r="C551" s="67" t="s">
        <v>201</v>
      </c>
      <c r="D551" s="78" t="s">
        <v>202</v>
      </c>
      <c r="E551" s="78" t="s">
        <v>14</v>
      </c>
      <c r="F551" s="100">
        <v>46357.0</v>
      </c>
      <c r="G551" s="103" t="s">
        <v>1362</v>
      </c>
      <c r="H551" s="70" t="s">
        <v>1363</v>
      </c>
      <c r="I551" s="84" t="s">
        <v>18</v>
      </c>
      <c r="J551" s="103" t="s">
        <v>1364</v>
      </c>
      <c r="L551" s="80" t="str">
        <f t="shared" si="2"/>
        <v>No infirmation</v>
      </c>
      <c r="M551" s="80" t="str">
        <f t="shared" si="3"/>
        <v>20251126_snorkel_batch017__llm_step_onlinemind2web_websites__122</v>
      </c>
    </row>
    <row r="552" ht="15.75" customHeight="1">
      <c r="B552" s="77">
        <f t="shared" si="1"/>
        <v>1</v>
      </c>
      <c r="C552" s="67" t="s">
        <v>201</v>
      </c>
      <c r="D552" s="78" t="s">
        <v>202</v>
      </c>
      <c r="E552" s="78" t="s">
        <v>14</v>
      </c>
      <c r="F552" s="100">
        <v>46357.0</v>
      </c>
      <c r="G552" s="103" t="s">
        <v>1365</v>
      </c>
      <c r="H552" s="70" t="s">
        <v>1366</v>
      </c>
      <c r="I552" s="84" t="s">
        <v>18</v>
      </c>
      <c r="J552" s="103" t="s">
        <v>1367</v>
      </c>
      <c r="L552" s="80" t="str">
        <f t="shared" si="2"/>
        <v>No infirmation</v>
      </c>
      <c r="M552" s="80" t="str">
        <f t="shared" si="3"/>
        <v>20260107_snorkel_batch003_step_tasks__car_rental_search__6</v>
      </c>
    </row>
    <row r="553" ht="15.75" customHeight="1">
      <c r="B553" s="77">
        <f t="shared" si="1"/>
        <v>1</v>
      </c>
      <c r="C553" s="67" t="s">
        <v>201</v>
      </c>
      <c r="D553" s="78" t="s">
        <v>202</v>
      </c>
      <c r="E553" s="78" t="s">
        <v>14</v>
      </c>
      <c r="F553" s="100">
        <v>46357.0</v>
      </c>
      <c r="G553" s="103" t="s">
        <v>1368</v>
      </c>
      <c r="H553" s="70" t="s">
        <v>1369</v>
      </c>
      <c r="I553" s="84" t="s">
        <v>18</v>
      </c>
      <c r="J553" s="103" t="s">
        <v>1370</v>
      </c>
      <c r="L553" s="80" t="str">
        <f t="shared" si="2"/>
        <v>No infirmation</v>
      </c>
      <c r="M553" s="80" t="str">
        <f t="shared" si="3"/>
        <v>20251126_snorkel_batch015__llm_step_popular_websites__38</v>
      </c>
    </row>
    <row r="554" ht="15.75" customHeight="1">
      <c r="B554" s="77">
        <f t="shared" si="1"/>
        <v>2</v>
      </c>
      <c r="C554" s="67" t="s">
        <v>201</v>
      </c>
      <c r="D554" s="78" t="s">
        <v>202</v>
      </c>
      <c r="E554" s="78" t="s">
        <v>14</v>
      </c>
      <c r="F554" s="100">
        <v>46357.0</v>
      </c>
      <c r="G554" s="103" t="s">
        <v>1371</v>
      </c>
      <c r="H554" s="70" t="s">
        <v>1372</v>
      </c>
      <c r="I554" s="84" t="s">
        <v>18</v>
      </c>
      <c r="J554" s="103" t="s">
        <v>1373</v>
      </c>
      <c r="L554" s="80" t="str">
        <f t="shared" si="2"/>
        <v>No infirmation</v>
      </c>
      <c r="M554" s="80" t="str">
        <f t="shared" si="3"/>
        <v>20251126_snorkel_batch014__llm_step_onlinemind2web_websites__92</v>
      </c>
    </row>
    <row r="555" ht="15.75" customHeight="1">
      <c r="B555" s="77">
        <f t="shared" si="1"/>
        <v>1</v>
      </c>
      <c r="C555" s="67" t="s">
        <v>201</v>
      </c>
      <c r="D555" s="78" t="s">
        <v>202</v>
      </c>
      <c r="E555" s="78" t="s">
        <v>14</v>
      </c>
      <c r="F555" s="100">
        <v>46357.0</v>
      </c>
      <c r="G555" s="104" t="s">
        <v>1374</v>
      </c>
      <c r="H555" s="105" t="s">
        <v>1375</v>
      </c>
      <c r="I555" s="106" t="s">
        <v>18</v>
      </c>
      <c r="J555" s="95"/>
      <c r="L555" s="80" t="str">
        <f t="shared" si="2"/>
        <v>No infirmation</v>
      </c>
      <c r="M555" s="80" t="str">
        <f t="shared" si="3"/>
        <v>20251126_snorkel_batch017__llm_step_onlinemind2web_websites__138</v>
      </c>
    </row>
    <row r="556" ht="15.75" customHeight="1">
      <c r="B556" s="77">
        <f t="shared" si="1"/>
        <v>1</v>
      </c>
      <c r="C556" s="67" t="s">
        <v>201</v>
      </c>
      <c r="D556" s="78" t="s">
        <v>202</v>
      </c>
      <c r="E556" s="78" t="s">
        <v>14</v>
      </c>
      <c r="F556" s="100">
        <v>46357.0</v>
      </c>
      <c r="G556" s="104" t="s">
        <v>1376</v>
      </c>
      <c r="H556" s="105" t="s">
        <v>1377</v>
      </c>
      <c r="I556" s="106" t="s">
        <v>18</v>
      </c>
      <c r="J556" s="95"/>
      <c r="L556" s="80" t="str">
        <f t="shared" si="2"/>
        <v>No infirmation</v>
      </c>
      <c r="M556" s="80" t="str">
        <f t="shared" si="3"/>
        <v>20251126_snorkel_batch012__llm_step_onlinemind2web_websites__48</v>
      </c>
    </row>
    <row r="557" ht="15.75" customHeight="1">
      <c r="B557" s="77">
        <f t="shared" si="1"/>
        <v>1</v>
      </c>
      <c r="C557" s="67" t="s">
        <v>201</v>
      </c>
      <c r="D557" s="78" t="s">
        <v>202</v>
      </c>
      <c r="E557" s="78" t="s">
        <v>14</v>
      </c>
      <c r="F557" s="100">
        <v>46357.0</v>
      </c>
      <c r="G557" s="104" t="s">
        <v>1378</v>
      </c>
      <c r="H557" s="105" t="s">
        <v>784</v>
      </c>
      <c r="I557" s="106" t="s">
        <v>18</v>
      </c>
      <c r="J557" s="95"/>
      <c r="L557" s="80" t="str">
        <f t="shared" si="2"/>
        <v>No infirmation</v>
      </c>
      <c r="M557" s="80" t="str">
        <f t="shared" si="3"/>
        <v>20251219_snorkel_batch010__llm_navqa_webvoyager_websites__63</v>
      </c>
    </row>
    <row r="558" ht="15.75" customHeight="1">
      <c r="B558" s="77">
        <f t="shared" si="1"/>
        <v>1</v>
      </c>
      <c r="C558" s="67" t="s">
        <v>201</v>
      </c>
      <c r="D558" s="78" t="s">
        <v>202</v>
      </c>
      <c r="E558" s="78" t="s">
        <v>14</v>
      </c>
      <c r="F558" s="100">
        <v>46357.0</v>
      </c>
      <c r="G558" s="104" t="s">
        <v>1379</v>
      </c>
      <c r="H558" s="105" t="s">
        <v>1380</v>
      </c>
      <c r="I558" s="106" t="s">
        <v>18</v>
      </c>
      <c r="J558" s="106" t="s">
        <v>1381</v>
      </c>
      <c r="L558" s="80" t="str">
        <f t="shared" si="2"/>
        <v>No infirmation</v>
      </c>
      <c r="M558" s="80" t="str">
        <f t="shared" si="3"/>
        <v>20251126_snorkel_batch018__llm_step_onlinemind2web_websites__66</v>
      </c>
    </row>
    <row r="559" ht="15.75" customHeight="1">
      <c r="B559" s="77">
        <f t="shared" si="1"/>
        <v>1</v>
      </c>
      <c r="C559" s="67" t="s">
        <v>201</v>
      </c>
      <c r="D559" s="78" t="s">
        <v>202</v>
      </c>
      <c r="E559" s="78" t="s">
        <v>14</v>
      </c>
      <c r="F559" s="100">
        <v>46357.0</v>
      </c>
      <c r="G559" s="104" t="s">
        <v>1382</v>
      </c>
      <c r="H559" s="105" t="s">
        <v>1383</v>
      </c>
      <c r="I559" s="106" t="s">
        <v>18</v>
      </c>
      <c r="J559" s="106" t="s">
        <v>1384</v>
      </c>
      <c r="L559" s="80" t="str">
        <f t="shared" si="2"/>
        <v>No infirmation</v>
      </c>
      <c r="M559" s="80" t="str">
        <f t="shared" si="3"/>
        <v>20260107_snorkel_batch001_step_tasks__maps_directions__13</v>
      </c>
    </row>
    <row r="560" ht="15.75" customHeight="1">
      <c r="B560" s="77">
        <f t="shared" si="1"/>
        <v>1</v>
      </c>
      <c r="C560" s="67" t="s">
        <v>201</v>
      </c>
      <c r="D560" s="78" t="s">
        <v>202</v>
      </c>
      <c r="E560" s="78" t="s">
        <v>14</v>
      </c>
      <c r="F560" s="100">
        <v>46357.0</v>
      </c>
      <c r="G560" s="104" t="s">
        <v>1385</v>
      </c>
      <c r="H560" s="105" t="s">
        <v>1386</v>
      </c>
      <c r="I560" s="106" t="s">
        <v>18</v>
      </c>
      <c r="J560" s="104"/>
      <c r="L560" s="80" t="str">
        <f t="shared" si="2"/>
        <v>No infirmation</v>
      </c>
      <c r="M560" s="80" t="str">
        <f t="shared" si="3"/>
        <v>20251126_snorkel_batch012__llm_step_popular_websites__21</v>
      </c>
    </row>
    <row r="561" ht="15.75" customHeight="1">
      <c r="B561" s="77">
        <f t="shared" si="1"/>
        <v>1</v>
      </c>
      <c r="C561" s="67" t="s">
        <v>201</v>
      </c>
      <c r="D561" s="78" t="s">
        <v>202</v>
      </c>
      <c r="E561" s="78" t="s">
        <v>14</v>
      </c>
      <c r="F561" s="100">
        <v>46357.0</v>
      </c>
      <c r="G561" s="104" t="s">
        <v>1387</v>
      </c>
      <c r="H561" s="105" t="s">
        <v>1388</v>
      </c>
      <c r="I561" s="106" t="s">
        <v>18</v>
      </c>
      <c r="J561" s="104"/>
      <c r="L561" s="80" t="str">
        <f t="shared" si="2"/>
        <v>No infirmation</v>
      </c>
      <c r="M561" s="80" t="str">
        <f t="shared" si="3"/>
        <v>20260107_snorkel_batch002_step_tasks__maps_distance__9</v>
      </c>
    </row>
    <row r="562" ht="15.75" customHeight="1">
      <c r="B562" s="77">
        <f t="shared" si="1"/>
        <v>1</v>
      </c>
      <c r="C562" s="67" t="s">
        <v>201</v>
      </c>
      <c r="D562" s="78" t="s">
        <v>202</v>
      </c>
      <c r="E562" s="78" t="s">
        <v>14</v>
      </c>
      <c r="F562" s="100">
        <v>46357.0</v>
      </c>
      <c r="G562" s="104" t="s">
        <v>1389</v>
      </c>
      <c r="H562" s="105" t="s">
        <v>1390</v>
      </c>
      <c r="I562" s="106" t="s">
        <v>18</v>
      </c>
      <c r="J562" s="107" t="s">
        <v>1391</v>
      </c>
      <c r="L562" s="80" t="str">
        <f t="shared" si="2"/>
        <v>No infirmation</v>
      </c>
      <c r="M562" s="80" t="str">
        <f t="shared" si="3"/>
        <v>20251126_snorkel_batch019__llm_step_popular_websites__21</v>
      </c>
    </row>
    <row r="563" ht="15.75" customHeight="1">
      <c r="B563" s="77">
        <f t="shared" si="1"/>
        <v>1</v>
      </c>
      <c r="C563" s="67" t="s">
        <v>201</v>
      </c>
      <c r="D563" s="78" t="s">
        <v>202</v>
      </c>
      <c r="E563" s="78" t="s">
        <v>14</v>
      </c>
      <c r="F563" s="100">
        <v>46357.0</v>
      </c>
      <c r="G563" s="104" t="s">
        <v>1392</v>
      </c>
      <c r="H563" s="105" t="s">
        <v>1393</v>
      </c>
      <c r="I563" s="106" t="s">
        <v>18</v>
      </c>
      <c r="J563" s="104" t="s">
        <v>1394</v>
      </c>
      <c r="L563" s="80" t="str">
        <f t="shared" si="2"/>
        <v>No infirmation</v>
      </c>
      <c r="M563" s="80" t="str">
        <f t="shared" si="3"/>
        <v>20251126_snorkel_batch019__llm_step_webvoyager_websites__116</v>
      </c>
    </row>
    <row r="564" ht="15.75" customHeight="1">
      <c r="B564" s="77">
        <f t="shared" si="1"/>
        <v>1</v>
      </c>
      <c r="C564" s="67" t="s">
        <v>195</v>
      </c>
      <c r="D564" s="78" t="s">
        <v>196</v>
      </c>
      <c r="E564" s="78" t="s">
        <v>14</v>
      </c>
      <c r="F564" s="108" t="s">
        <v>103</v>
      </c>
      <c r="G564" s="81" t="s">
        <v>1395</v>
      </c>
      <c r="H564" s="79" t="s">
        <v>1396</v>
      </c>
      <c r="I564" s="109" t="s">
        <v>18</v>
      </c>
      <c r="J564" s="67" t="s">
        <v>1397</v>
      </c>
      <c r="L564" s="80" t="str">
        <f t="shared" si="2"/>
        <v>No infirmation</v>
      </c>
      <c r="M564" s="80" t="str">
        <f t="shared" si="3"/>
        <v>20251126_snorkel_batch015__llm_step_popular_websites__66</v>
      </c>
    </row>
    <row r="565" ht="15.75" customHeight="1">
      <c r="B565" s="77">
        <f t="shared" si="1"/>
        <v>1</v>
      </c>
      <c r="C565" s="67" t="s">
        <v>195</v>
      </c>
      <c r="D565" s="78" t="s">
        <v>196</v>
      </c>
      <c r="E565" s="78" t="s">
        <v>14</v>
      </c>
      <c r="F565" s="108" t="s">
        <v>103</v>
      </c>
      <c r="G565" s="81" t="s">
        <v>1398</v>
      </c>
      <c r="H565" s="79" t="s">
        <v>1399</v>
      </c>
      <c r="I565" s="109" t="s">
        <v>18</v>
      </c>
      <c r="L565" s="80" t="str">
        <f t="shared" si="2"/>
        <v>No infirmation</v>
      </c>
      <c r="M565" s="80" t="str">
        <f t="shared" si="3"/>
        <v>20251126_snorkel_batch015__llm_step_onlinemind2web_websites__161</v>
      </c>
    </row>
    <row r="566" ht="15.75" customHeight="1">
      <c r="B566" s="77">
        <f t="shared" si="1"/>
        <v>1</v>
      </c>
      <c r="C566" s="67" t="s">
        <v>195</v>
      </c>
      <c r="D566" s="78" t="s">
        <v>196</v>
      </c>
      <c r="E566" s="78" t="s">
        <v>14</v>
      </c>
      <c r="F566" s="108" t="s">
        <v>103</v>
      </c>
      <c r="G566" s="81" t="s">
        <v>1400</v>
      </c>
      <c r="H566" s="79" t="s">
        <v>1401</v>
      </c>
      <c r="I566" s="109" t="s">
        <v>18</v>
      </c>
      <c r="J566" s="67" t="s">
        <v>772</v>
      </c>
      <c r="L566" s="80" t="str">
        <f t="shared" si="2"/>
        <v>No infirmation</v>
      </c>
      <c r="M566" s="80" t="str">
        <f t="shared" si="3"/>
        <v>20251210_snorkel_batch001__llm_step_onlinemind2web_websites__144</v>
      </c>
    </row>
    <row r="567" ht="15.75" customHeight="1">
      <c r="B567" s="77">
        <f t="shared" si="1"/>
        <v>1</v>
      </c>
      <c r="C567" s="67" t="s">
        <v>195</v>
      </c>
      <c r="D567" s="78" t="s">
        <v>196</v>
      </c>
      <c r="E567" s="78" t="s">
        <v>14</v>
      </c>
      <c r="F567" s="108" t="s">
        <v>103</v>
      </c>
      <c r="G567" s="81" t="s">
        <v>1402</v>
      </c>
      <c r="H567" s="79" t="s">
        <v>1403</v>
      </c>
      <c r="I567" s="109" t="s">
        <v>18</v>
      </c>
      <c r="J567" s="67" t="s">
        <v>772</v>
      </c>
      <c r="L567" s="80" t="str">
        <f t="shared" si="2"/>
        <v>No infirmation</v>
      </c>
      <c r="M567" s="80" t="str">
        <f t="shared" si="3"/>
        <v>20251126_snorkel_batch014__llm_step_webvoyager_websites__93</v>
      </c>
    </row>
    <row r="568" ht="15.75" customHeight="1">
      <c r="B568" s="77">
        <f t="shared" si="1"/>
        <v>1</v>
      </c>
      <c r="C568" s="67" t="s">
        <v>195</v>
      </c>
      <c r="D568" s="78" t="s">
        <v>196</v>
      </c>
      <c r="E568" s="78" t="s">
        <v>14</v>
      </c>
      <c r="F568" s="108" t="s">
        <v>103</v>
      </c>
      <c r="G568" s="81" t="s">
        <v>1404</v>
      </c>
      <c r="H568" s="79" t="s">
        <v>1405</v>
      </c>
      <c r="I568" s="109" t="s">
        <v>18</v>
      </c>
      <c r="J568" s="67" t="s">
        <v>772</v>
      </c>
      <c r="L568" s="80" t="str">
        <f t="shared" si="2"/>
        <v>No infirmation</v>
      </c>
      <c r="M568" s="80" t="str">
        <f t="shared" si="3"/>
        <v>20251126_snorkel_batch016__llm_step_onlinemind2web_websites__60</v>
      </c>
    </row>
    <row r="569" ht="15.75" customHeight="1">
      <c r="B569" s="77">
        <f t="shared" si="1"/>
        <v>1</v>
      </c>
      <c r="C569" s="67" t="s">
        <v>195</v>
      </c>
      <c r="D569" s="78" t="s">
        <v>196</v>
      </c>
      <c r="E569" s="78" t="s">
        <v>14</v>
      </c>
      <c r="F569" s="108" t="s">
        <v>103</v>
      </c>
      <c r="G569" s="81" t="s">
        <v>1406</v>
      </c>
      <c r="H569" s="79" t="s">
        <v>1407</v>
      </c>
      <c r="I569" s="109" t="s">
        <v>18</v>
      </c>
      <c r="L569" s="80" t="str">
        <f t="shared" si="2"/>
        <v>No infirmation</v>
      </c>
      <c r="M569" s="80" t="str">
        <f t="shared" si="3"/>
        <v>20260107_snorkel_batch001_step_tasks__maps_directions_with_mode__6</v>
      </c>
    </row>
    <row r="570" ht="15.75" customHeight="1">
      <c r="B570" s="77">
        <f t="shared" si="1"/>
        <v>1</v>
      </c>
      <c r="C570" s="67" t="s">
        <v>195</v>
      </c>
      <c r="D570" s="78" t="s">
        <v>196</v>
      </c>
      <c r="E570" s="78" t="s">
        <v>14</v>
      </c>
      <c r="F570" s="108" t="s">
        <v>103</v>
      </c>
      <c r="G570" s="81" t="s">
        <v>1408</v>
      </c>
      <c r="H570" s="79" t="s">
        <v>1409</v>
      </c>
      <c r="I570" s="109" t="s">
        <v>18</v>
      </c>
      <c r="L570" s="80" t="str">
        <f t="shared" si="2"/>
        <v>No infirmation</v>
      </c>
      <c r="M570" s="80" t="str">
        <f t="shared" si="3"/>
        <v>20260107_snorkel_batch001_step_tasks__news_search_and_open_nth__19</v>
      </c>
    </row>
    <row r="571" ht="15.75" customHeight="1">
      <c r="B571" s="77">
        <f t="shared" si="1"/>
        <v>1</v>
      </c>
      <c r="C571" s="67" t="s">
        <v>195</v>
      </c>
      <c r="D571" s="78" t="s">
        <v>196</v>
      </c>
      <c r="E571" s="78" t="s">
        <v>14</v>
      </c>
      <c r="F571" s="108" t="s">
        <v>103</v>
      </c>
      <c r="G571" s="81" t="s">
        <v>1410</v>
      </c>
      <c r="H571" s="79" t="s">
        <v>1411</v>
      </c>
      <c r="I571" s="109" t="s">
        <v>18</v>
      </c>
      <c r="J571" s="81" t="s">
        <v>1412</v>
      </c>
      <c r="L571" s="80" t="str">
        <f t="shared" si="2"/>
        <v>No infirmation</v>
      </c>
      <c r="M571" s="80" t="str">
        <f t="shared" si="3"/>
        <v>20251126_snorkel_batch020__llm_step_onlinemind2web_websites__61</v>
      </c>
    </row>
    <row r="572" ht="15.75" customHeight="1">
      <c r="B572" s="77">
        <f t="shared" si="1"/>
        <v>1</v>
      </c>
      <c r="C572" s="67" t="s">
        <v>195</v>
      </c>
      <c r="D572" s="78" t="s">
        <v>196</v>
      </c>
      <c r="E572" s="78" t="s">
        <v>14</v>
      </c>
      <c r="F572" s="108" t="s">
        <v>103</v>
      </c>
      <c r="G572" s="81" t="s">
        <v>1413</v>
      </c>
      <c r="H572" s="79" t="s">
        <v>1414</v>
      </c>
      <c r="I572" s="109" t="s">
        <v>18</v>
      </c>
      <c r="L572" s="80" t="str">
        <f t="shared" si="2"/>
        <v>No infirmation</v>
      </c>
      <c r="M572" s="80" t="str">
        <f t="shared" si="3"/>
        <v>20260107_snorkel_batch001_step_tasks__maps_directions__26</v>
      </c>
    </row>
    <row r="573" ht="15.75" customHeight="1">
      <c r="B573" s="77">
        <f t="shared" si="1"/>
        <v>1</v>
      </c>
      <c r="C573" s="67" t="s">
        <v>195</v>
      </c>
      <c r="D573" s="78" t="s">
        <v>196</v>
      </c>
      <c r="E573" s="78" t="s">
        <v>14</v>
      </c>
      <c r="F573" s="108" t="s">
        <v>103</v>
      </c>
      <c r="G573" s="81" t="s">
        <v>1415</v>
      </c>
      <c r="H573" s="79" t="s">
        <v>1416</v>
      </c>
      <c r="I573" s="109" t="s">
        <v>18</v>
      </c>
      <c r="L573" s="80" t="str">
        <f t="shared" si="2"/>
        <v>No infirmation</v>
      </c>
      <c r="M573" s="80" t="str">
        <f t="shared" si="3"/>
        <v>20251126_snorkel_batch011__llm_step_onlinemind2web_websites__134</v>
      </c>
    </row>
    <row r="574" ht="15.75" customHeight="1">
      <c r="B574" s="77">
        <f t="shared" si="1"/>
        <v>1</v>
      </c>
      <c r="C574" s="67" t="s">
        <v>195</v>
      </c>
      <c r="D574" s="78" t="s">
        <v>196</v>
      </c>
      <c r="E574" s="78" t="s">
        <v>14</v>
      </c>
      <c r="F574" s="108" t="s">
        <v>103</v>
      </c>
      <c r="G574" s="81" t="s">
        <v>1417</v>
      </c>
      <c r="H574" s="79" t="s">
        <v>1418</v>
      </c>
      <c r="I574" s="109" t="s">
        <v>18</v>
      </c>
      <c r="L574" s="80" t="str">
        <f t="shared" si="2"/>
        <v>No infirmation</v>
      </c>
      <c r="M574" s="80" t="str">
        <f t="shared" si="3"/>
        <v>20251126_snorkel_batch013__llm_step_webvoyager_websites__6</v>
      </c>
    </row>
    <row r="575" ht="15.75" customHeight="1">
      <c r="B575" s="77">
        <f t="shared" si="1"/>
        <v>1</v>
      </c>
      <c r="C575" s="67" t="s">
        <v>195</v>
      </c>
      <c r="D575" s="78" t="s">
        <v>196</v>
      </c>
      <c r="E575" s="78" t="s">
        <v>14</v>
      </c>
      <c r="F575" s="108" t="s">
        <v>103</v>
      </c>
      <c r="G575" s="81" t="s">
        <v>1419</v>
      </c>
      <c r="H575" s="79" t="s">
        <v>1420</v>
      </c>
      <c r="I575" s="109" t="s">
        <v>18</v>
      </c>
      <c r="L575" s="80" t="str">
        <f t="shared" si="2"/>
        <v>No infirmation</v>
      </c>
      <c r="M575" s="80" t="str">
        <f t="shared" si="3"/>
        <v>20260107_snorkel_batch003_step_tasks__hotel_search__7</v>
      </c>
    </row>
    <row r="576" ht="15.75" customHeight="1">
      <c r="B576" s="77">
        <f t="shared" si="1"/>
        <v>1</v>
      </c>
      <c r="C576" s="67" t="s">
        <v>195</v>
      </c>
      <c r="D576" s="78" t="s">
        <v>196</v>
      </c>
      <c r="E576" s="78" t="s">
        <v>14</v>
      </c>
      <c r="F576" s="108" t="s">
        <v>103</v>
      </c>
      <c r="G576" s="81" t="s">
        <v>1421</v>
      </c>
      <c r="H576" s="79" t="s">
        <v>1422</v>
      </c>
      <c r="I576" s="109" t="s">
        <v>18</v>
      </c>
      <c r="L576" s="80" t="str">
        <f t="shared" si="2"/>
        <v>No infirmation</v>
      </c>
      <c r="M576" s="80" t="str">
        <f t="shared" si="3"/>
        <v>20251121_snorkel_batch007__webvoyager_like__440</v>
      </c>
    </row>
    <row r="577" ht="15.75" customHeight="1">
      <c r="B577" s="77">
        <f t="shared" si="1"/>
        <v>1</v>
      </c>
      <c r="C577" s="67" t="s">
        <v>195</v>
      </c>
      <c r="D577" s="78" t="s">
        <v>196</v>
      </c>
      <c r="E577" s="78" t="s">
        <v>14</v>
      </c>
      <c r="F577" s="108" t="s">
        <v>103</v>
      </c>
      <c r="G577" s="81" t="s">
        <v>1423</v>
      </c>
      <c r="H577" s="79" t="s">
        <v>1424</v>
      </c>
      <c r="I577" s="109" t="s">
        <v>18</v>
      </c>
      <c r="L577" s="80" t="str">
        <f t="shared" si="2"/>
        <v>No infirmation</v>
      </c>
      <c r="M577" s="80" t="str">
        <f t="shared" si="3"/>
        <v>20251126_snorkel_batch018__llm_step_onlinemind2web_websites__109</v>
      </c>
    </row>
    <row r="578" ht="15.75" customHeight="1">
      <c r="B578" s="77">
        <f t="shared" si="1"/>
        <v>1</v>
      </c>
      <c r="C578" s="67" t="s">
        <v>195</v>
      </c>
      <c r="D578" s="78" t="s">
        <v>196</v>
      </c>
      <c r="E578" s="78" t="s">
        <v>14</v>
      </c>
      <c r="F578" s="108" t="s">
        <v>103</v>
      </c>
      <c r="G578" s="81" t="s">
        <v>1425</v>
      </c>
      <c r="H578" s="79" t="s">
        <v>1426</v>
      </c>
      <c r="I578" s="109" t="s">
        <v>18</v>
      </c>
      <c r="L578" s="80" t="str">
        <f t="shared" si="2"/>
        <v>No infirmation</v>
      </c>
      <c r="M578" s="80" t="str">
        <f t="shared" si="3"/>
        <v>20260107_snorkel_batch002_step_tasks__maps_visual_count__35</v>
      </c>
    </row>
    <row r="579" ht="15.75" customHeight="1">
      <c r="B579" s="77">
        <f t="shared" si="1"/>
        <v>1</v>
      </c>
      <c r="C579" s="67" t="s">
        <v>195</v>
      </c>
      <c r="D579" s="78" t="s">
        <v>196</v>
      </c>
      <c r="E579" s="78" t="s">
        <v>14</v>
      </c>
      <c r="F579" s="108" t="s">
        <v>103</v>
      </c>
      <c r="G579" s="81" t="s">
        <v>1427</v>
      </c>
      <c r="H579" s="79" t="s">
        <v>1428</v>
      </c>
      <c r="I579" s="109" t="s">
        <v>18</v>
      </c>
      <c r="J579" s="67" t="s">
        <v>1429</v>
      </c>
      <c r="L579" s="80" t="str">
        <f t="shared" si="2"/>
        <v>No infirmation</v>
      </c>
      <c r="M579" s="80" t="str">
        <f t="shared" si="3"/>
        <v>20260107_snorkel_batch003_step_tasks__food_recipes__7</v>
      </c>
    </row>
    <row r="580" ht="15.75" customHeight="1">
      <c r="B580" s="77">
        <f t="shared" si="1"/>
        <v>1</v>
      </c>
      <c r="C580" s="67" t="s">
        <v>199</v>
      </c>
      <c r="D580" s="78" t="s">
        <v>200</v>
      </c>
      <c r="E580" s="78" t="s">
        <v>14</v>
      </c>
      <c r="F580" s="108" t="s">
        <v>103</v>
      </c>
      <c r="G580" s="67" t="s">
        <v>1430</v>
      </c>
      <c r="H580" s="83" t="s">
        <v>1431</v>
      </c>
      <c r="I580" s="109" t="s">
        <v>18</v>
      </c>
      <c r="J580" s="67" t="s">
        <v>1432</v>
      </c>
      <c r="L580" s="80" t="str">
        <f t="shared" si="2"/>
        <v>No infirmation</v>
      </c>
      <c r="M580" s="80" t="str">
        <f t="shared" si="3"/>
        <v>20251126_snorkel_batch020__llm_step_webvoyager_websites__134</v>
      </c>
    </row>
    <row r="581" ht="15.75" customHeight="1">
      <c r="B581" s="77">
        <f t="shared" si="1"/>
        <v>1</v>
      </c>
      <c r="C581" s="67" t="s">
        <v>199</v>
      </c>
      <c r="D581" s="78" t="s">
        <v>200</v>
      </c>
      <c r="E581" s="78" t="s">
        <v>14</v>
      </c>
      <c r="F581" s="108" t="s">
        <v>103</v>
      </c>
      <c r="G581" s="67" t="s">
        <v>1433</v>
      </c>
      <c r="H581" s="83" t="s">
        <v>1434</v>
      </c>
      <c r="I581" s="109" t="s">
        <v>18</v>
      </c>
      <c r="L581" s="94" t="str">
        <f t="shared" si="2"/>
        <v>No infirmation</v>
      </c>
      <c r="M581" s="94" t="str">
        <f t="shared" si="3"/>
        <v>20260107_snorkel_batch003_step_tasks__food_delivery__45</v>
      </c>
    </row>
    <row r="582" ht="15.75" customHeight="1">
      <c r="B582" s="77">
        <f t="shared" si="1"/>
        <v>1</v>
      </c>
      <c r="C582" s="67" t="s">
        <v>199</v>
      </c>
      <c r="D582" s="78" t="s">
        <v>200</v>
      </c>
      <c r="E582" s="78" t="s">
        <v>14</v>
      </c>
      <c r="F582" s="108" t="s">
        <v>103</v>
      </c>
      <c r="G582" s="67" t="s">
        <v>1435</v>
      </c>
      <c r="H582" s="83" t="s">
        <v>1436</v>
      </c>
      <c r="I582" s="109" t="s">
        <v>18</v>
      </c>
      <c r="L582" s="94" t="str">
        <f t="shared" si="2"/>
        <v>No infirmation</v>
      </c>
      <c r="M582" s="94" t="str">
        <f t="shared" si="3"/>
        <v>20260107_snorkel_batch001_step_tasks__maps_directions_with_mode__42</v>
      </c>
    </row>
    <row r="583" ht="15.75" customHeight="1">
      <c r="B583" s="77">
        <f t="shared" si="1"/>
        <v>1</v>
      </c>
      <c r="C583" s="67" t="s">
        <v>199</v>
      </c>
      <c r="D583" s="78" t="s">
        <v>200</v>
      </c>
      <c r="E583" s="78" t="s">
        <v>14</v>
      </c>
      <c r="F583" s="108" t="s">
        <v>103</v>
      </c>
      <c r="G583" s="67" t="s">
        <v>1437</v>
      </c>
      <c r="H583" s="83" t="s">
        <v>1438</v>
      </c>
      <c r="I583" s="109" t="s">
        <v>18</v>
      </c>
      <c r="J583" s="67" t="s">
        <v>1439</v>
      </c>
      <c r="L583" s="94" t="str">
        <f t="shared" si="2"/>
        <v>No infirmation</v>
      </c>
      <c r="M583" s="94" t="str">
        <f t="shared" si="3"/>
        <v>20251126_snorkel_batch019__llm_step_onlinemind2web_websites__62</v>
      </c>
    </row>
    <row r="584" ht="15.75" customHeight="1">
      <c r="B584" s="77">
        <f t="shared" si="1"/>
        <v>1</v>
      </c>
      <c r="C584" s="67" t="s">
        <v>199</v>
      </c>
      <c r="D584" s="78" t="s">
        <v>200</v>
      </c>
      <c r="E584" s="78" t="s">
        <v>14</v>
      </c>
      <c r="F584" s="108" t="s">
        <v>103</v>
      </c>
      <c r="G584" s="67" t="s">
        <v>1440</v>
      </c>
      <c r="H584" s="83" t="s">
        <v>1441</v>
      </c>
      <c r="I584" s="109" t="s">
        <v>18</v>
      </c>
      <c r="J584" s="67" t="s">
        <v>1442</v>
      </c>
      <c r="L584" s="94" t="str">
        <f t="shared" si="2"/>
        <v>No infirmation</v>
      </c>
      <c r="M584" s="94" t="str">
        <f t="shared" si="3"/>
        <v>20251210_snorkel_batch001__llm_step_webvoyager_websites__21</v>
      </c>
    </row>
    <row r="585" ht="15.75" customHeight="1">
      <c r="B585" s="77">
        <f t="shared" si="1"/>
        <v>1</v>
      </c>
      <c r="C585" s="67" t="s">
        <v>199</v>
      </c>
      <c r="D585" s="78" t="s">
        <v>200</v>
      </c>
      <c r="E585" s="78" t="s">
        <v>14</v>
      </c>
      <c r="F585" s="108" t="s">
        <v>103</v>
      </c>
      <c r="G585" s="67" t="s">
        <v>1443</v>
      </c>
      <c r="H585" s="83" t="s">
        <v>1444</v>
      </c>
      <c r="I585" s="109" t="s">
        <v>18</v>
      </c>
      <c r="J585" s="67" t="s">
        <v>1445</v>
      </c>
      <c r="L585" s="94" t="str">
        <f t="shared" si="2"/>
        <v>No infirmation</v>
      </c>
      <c r="M585" s="94" t="str">
        <f t="shared" si="3"/>
        <v>20251126_snorkel_batch012__llm_step_webvoyager_websites__96</v>
      </c>
    </row>
    <row r="586" ht="15.75" customHeight="1">
      <c r="B586" s="77">
        <f t="shared" si="1"/>
        <v>1</v>
      </c>
      <c r="C586" s="67" t="s">
        <v>199</v>
      </c>
      <c r="D586" s="78" t="s">
        <v>200</v>
      </c>
      <c r="E586" s="78" t="s">
        <v>14</v>
      </c>
      <c r="F586" s="108" t="s">
        <v>103</v>
      </c>
      <c r="G586" s="67" t="s">
        <v>1446</v>
      </c>
      <c r="H586" s="83" t="s">
        <v>1447</v>
      </c>
      <c r="I586" s="109" t="s">
        <v>18</v>
      </c>
      <c r="J586" s="67" t="s">
        <v>1448</v>
      </c>
      <c r="L586" s="94" t="str">
        <f t="shared" si="2"/>
        <v>No infirmation</v>
      </c>
      <c r="M586" s="94" t="str">
        <f t="shared" si="3"/>
        <v>20251126_snorkel_batch019__llm_step_webvoyager_websites__46</v>
      </c>
    </row>
    <row r="587" ht="15.75" customHeight="1">
      <c r="B587" s="77">
        <f t="shared" si="1"/>
        <v>1</v>
      </c>
      <c r="C587" s="67" t="s">
        <v>199</v>
      </c>
      <c r="D587" s="78" t="s">
        <v>200</v>
      </c>
      <c r="E587" s="78" t="s">
        <v>14</v>
      </c>
      <c r="F587" s="108" t="s">
        <v>103</v>
      </c>
      <c r="G587" s="67" t="s">
        <v>1449</v>
      </c>
      <c r="H587" s="83" t="s">
        <v>1450</v>
      </c>
      <c r="I587" s="109" t="s">
        <v>18</v>
      </c>
      <c r="L587" s="94" t="str">
        <f t="shared" si="2"/>
        <v>No infirmation</v>
      </c>
      <c r="M587" s="94" t="str">
        <f t="shared" si="3"/>
        <v>20251126_snorkel_batch019__llm_step_webvoyager_websites__15
</v>
      </c>
    </row>
    <row r="588" ht="15.75" customHeight="1">
      <c r="B588" s="77">
        <f t="shared" si="1"/>
        <v>1</v>
      </c>
      <c r="C588" s="67" t="s">
        <v>199</v>
      </c>
      <c r="D588" s="78" t="s">
        <v>200</v>
      </c>
      <c r="E588" s="78" t="s">
        <v>14</v>
      </c>
      <c r="F588" s="108" t="s">
        <v>103</v>
      </c>
      <c r="G588" s="67" t="s">
        <v>1451</v>
      </c>
      <c r="H588" s="83" t="s">
        <v>1452</v>
      </c>
      <c r="I588" s="109" t="s">
        <v>18</v>
      </c>
      <c r="L588" s="94" t="str">
        <f t="shared" si="2"/>
        <v>No infirmation</v>
      </c>
      <c r="M588" s="94" t="str">
        <f t="shared" si="3"/>
        <v>20260107_snorkel_batch001_step_tasks__finance_news_nav_and_open_first__0</v>
      </c>
    </row>
    <row r="589" ht="15.75" customHeight="1">
      <c r="B589" s="77">
        <f t="shared" si="1"/>
        <v>1</v>
      </c>
      <c r="C589" s="93" t="s">
        <v>12</v>
      </c>
      <c r="D589" s="101" t="s">
        <v>13</v>
      </c>
      <c r="E589" s="101" t="s">
        <v>14</v>
      </c>
      <c r="F589" s="108" t="s">
        <v>103</v>
      </c>
      <c r="G589" s="81" t="s">
        <v>104</v>
      </c>
      <c r="H589" s="79" t="s">
        <v>105</v>
      </c>
      <c r="I589" s="109" t="s">
        <v>18</v>
      </c>
      <c r="J589" s="67" t="s">
        <v>106</v>
      </c>
      <c r="L589" s="94" t="str">
        <f t="shared" si="2"/>
        <v>No infirmation</v>
      </c>
      <c r="M589" s="94" t="str">
        <f t="shared" si="3"/>
        <v>20251126_snorkel_batch019__llm_step_popular_websites__86</v>
      </c>
    </row>
    <row r="590" ht="15.75" customHeight="1">
      <c r="B590" s="77">
        <f t="shared" si="1"/>
        <v>1</v>
      </c>
      <c r="C590" s="93" t="s">
        <v>12</v>
      </c>
      <c r="D590" s="101" t="s">
        <v>13</v>
      </c>
      <c r="E590" s="101" t="s">
        <v>14</v>
      </c>
      <c r="F590" s="108" t="s">
        <v>103</v>
      </c>
      <c r="G590" s="81" t="s">
        <v>108</v>
      </c>
      <c r="H590" s="82" t="s">
        <v>109</v>
      </c>
      <c r="I590" s="109" t="s">
        <v>18</v>
      </c>
      <c r="J590" s="67" t="s">
        <v>110</v>
      </c>
      <c r="L590" s="94" t="str">
        <f t="shared" si="2"/>
        <v>No infirmation</v>
      </c>
      <c r="M590" s="94" t="str">
        <f t="shared" si="3"/>
        <v>20251126_snorkel_batch016__llm_step_popular_websites__152</v>
      </c>
    </row>
    <row r="591" ht="15.75" customHeight="1">
      <c r="B591" s="77">
        <f t="shared" si="1"/>
        <v>1</v>
      </c>
      <c r="C591" s="93" t="s">
        <v>12</v>
      </c>
      <c r="D591" s="101" t="s">
        <v>13</v>
      </c>
      <c r="E591" s="101" t="s">
        <v>14</v>
      </c>
      <c r="F591" s="108" t="s">
        <v>103</v>
      </c>
      <c r="G591" s="81" t="s">
        <v>1453</v>
      </c>
      <c r="H591" s="82" t="s">
        <v>1454</v>
      </c>
      <c r="I591" s="109" t="s">
        <v>18</v>
      </c>
      <c r="J591" s="67" t="s">
        <v>1455</v>
      </c>
      <c r="L591" s="94" t="str">
        <f t="shared" si="2"/>
        <v>No infirmation</v>
      </c>
      <c r="M591" s="94" t="str">
        <f t="shared" si="3"/>
        <v>20251126_snorkel_batch013__llm_step_onlinemind2web_websites__43</v>
      </c>
    </row>
    <row r="592" ht="15.75" customHeight="1">
      <c r="B592" s="77">
        <f t="shared" si="1"/>
        <v>1</v>
      </c>
      <c r="C592" s="93" t="s">
        <v>12</v>
      </c>
      <c r="D592" s="101" t="s">
        <v>13</v>
      </c>
      <c r="E592" s="101" t="s">
        <v>14</v>
      </c>
      <c r="F592" s="108" t="s">
        <v>103</v>
      </c>
      <c r="G592" s="81" t="s">
        <v>1456</v>
      </c>
      <c r="H592" s="79" t="s">
        <v>1457</v>
      </c>
      <c r="I592" s="109" t="s">
        <v>18</v>
      </c>
      <c r="L592" s="94" t="str">
        <f t="shared" si="2"/>
        <v>No infirmation</v>
      </c>
      <c r="M592" s="94" t="str">
        <f t="shared" si="3"/>
        <v>20260107_snorkel_batch002_step_tasks__maps_distance__43</v>
      </c>
    </row>
    <row r="593" ht="15.75" customHeight="1">
      <c r="B593" s="77">
        <f t="shared" si="1"/>
        <v>1</v>
      </c>
      <c r="C593" s="93" t="s">
        <v>12</v>
      </c>
      <c r="D593" s="101" t="s">
        <v>13</v>
      </c>
      <c r="E593" s="101" t="s">
        <v>14</v>
      </c>
      <c r="F593" s="108" t="s">
        <v>103</v>
      </c>
      <c r="G593" s="81" t="s">
        <v>112</v>
      </c>
      <c r="H593" s="79" t="s">
        <v>113</v>
      </c>
      <c r="I593" s="109" t="s">
        <v>18</v>
      </c>
      <c r="L593" s="94" t="str">
        <f t="shared" si="2"/>
        <v>No infirmation</v>
      </c>
      <c r="M593" s="94" t="str">
        <f t="shared" si="3"/>
        <v>20260107_snorkel_batch003_step_tasks__car_rental_search__7</v>
      </c>
    </row>
    <row r="594" ht="15.75" customHeight="1">
      <c r="B594" s="77">
        <f t="shared" si="1"/>
        <v>1</v>
      </c>
      <c r="C594" s="93" t="s">
        <v>12</v>
      </c>
      <c r="D594" s="101" t="s">
        <v>13</v>
      </c>
      <c r="E594" s="101" t="s">
        <v>14</v>
      </c>
      <c r="F594" s="108" t="s">
        <v>103</v>
      </c>
      <c r="G594" s="67" t="s">
        <v>1458</v>
      </c>
      <c r="H594" s="79" t="s">
        <v>1459</v>
      </c>
      <c r="I594" s="109" t="s">
        <v>18</v>
      </c>
      <c r="L594" s="94" t="str">
        <f t="shared" si="2"/>
        <v>No infirmation</v>
      </c>
      <c r="M594" s="94" t="str">
        <f t="shared" si="3"/>
        <v>20251210_snorkel_batch001__llm_step_webvoyager_websites__86</v>
      </c>
    </row>
    <row r="595" ht="15.75" customHeight="1">
      <c r="B595" s="77">
        <f t="shared" si="1"/>
        <v>1</v>
      </c>
      <c r="C595" s="93" t="s">
        <v>12</v>
      </c>
      <c r="D595" s="101" t="s">
        <v>13</v>
      </c>
      <c r="E595" s="101" t="s">
        <v>14</v>
      </c>
      <c r="F595" s="108" t="s">
        <v>103</v>
      </c>
      <c r="G595" s="81" t="s">
        <v>1460</v>
      </c>
      <c r="H595" s="79" t="s">
        <v>1461</v>
      </c>
      <c r="I595" s="109" t="s">
        <v>18</v>
      </c>
      <c r="L595" s="94" t="str">
        <f t="shared" si="2"/>
        <v>No infirmation</v>
      </c>
      <c r="M595" s="94" t="str">
        <f t="shared" si="3"/>
        <v>20260107_snorkel_batch001_step_tasks__news_search_and_open_nth__40</v>
      </c>
    </row>
    <row r="596" ht="15.75" customHeight="1">
      <c r="B596" s="77">
        <f t="shared" si="1"/>
        <v>1</v>
      </c>
      <c r="C596" s="93" t="s">
        <v>12</v>
      </c>
      <c r="D596" s="101" t="s">
        <v>13</v>
      </c>
      <c r="E596" s="101" t="s">
        <v>14</v>
      </c>
      <c r="F596" s="108" t="s">
        <v>103</v>
      </c>
      <c r="G596" s="81" t="s">
        <v>115</v>
      </c>
      <c r="H596" s="79" t="s">
        <v>116</v>
      </c>
      <c r="I596" s="109" t="s">
        <v>18</v>
      </c>
      <c r="J596" s="67" t="s">
        <v>117</v>
      </c>
      <c r="L596" s="94" t="str">
        <f t="shared" si="2"/>
        <v>No infirmation</v>
      </c>
      <c r="M596" s="94" t="str">
        <f t="shared" si="3"/>
        <v>20251210_snorkel_batch001__llm_step_onlinemind2web_websites__169</v>
      </c>
    </row>
    <row r="597" ht="15.75" customHeight="1">
      <c r="B597" s="77">
        <f t="shared" si="1"/>
        <v>1</v>
      </c>
      <c r="C597" s="93" t="s">
        <v>12</v>
      </c>
      <c r="D597" s="101" t="s">
        <v>13</v>
      </c>
      <c r="E597" s="101" t="s">
        <v>14</v>
      </c>
      <c r="F597" s="108" t="s">
        <v>103</v>
      </c>
      <c r="G597" s="81" t="s">
        <v>1462</v>
      </c>
      <c r="H597" s="79" t="s">
        <v>1463</v>
      </c>
      <c r="I597" s="109" t="s">
        <v>18</v>
      </c>
      <c r="J597" s="67" t="s">
        <v>1464</v>
      </c>
      <c r="L597" s="94" t="str">
        <f t="shared" si="2"/>
        <v>No infirmation</v>
      </c>
      <c r="M597" s="94" t="str">
        <f t="shared" si="3"/>
        <v>20260107_snorkel_batch003_step_tasks__shopping_search_and_filter__42</v>
      </c>
    </row>
    <row r="598" ht="15.75" customHeight="1">
      <c r="B598" s="77">
        <f t="shared" si="1"/>
        <v>1</v>
      </c>
      <c r="C598" s="93" t="s">
        <v>12</v>
      </c>
      <c r="D598" s="101" t="s">
        <v>13</v>
      </c>
      <c r="E598" s="101" t="s">
        <v>14</v>
      </c>
      <c r="F598" s="108" t="s">
        <v>103</v>
      </c>
      <c r="G598" s="81" t="s">
        <v>1465</v>
      </c>
      <c r="H598" s="79" t="s">
        <v>1466</v>
      </c>
      <c r="I598" s="109" t="s">
        <v>18</v>
      </c>
      <c r="L598" s="94" t="str">
        <f t="shared" si="2"/>
        <v>No infirmation</v>
      </c>
      <c r="M598" s="94" t="str">
        <f t="shared" si="3"/>
        <v>20251126_snorkel_batch015__llm_step_onlinemind2web_websites__66</v>
      </c>
    </row>
    <row r="599" ht="15.75" customHeight="1">
      <c r="B599" s="77">
        <f t="shared" si="1"/>
        <v>1</v>
      </c>
      <c r="C599" s="93" t="s">
        <v>12</v>
      </c>
      <c r="D599" s="101" t="s">
        <v>13</v>
      </c>
      <c r="E599" s="101" t="s">
        <v>14</v>
      </c>
      <c r="F599" s="108" t="s">
        <v>103</v>
      </c>
      <c r="G599" s="81" t="s">
        <v>1467</v>
      </c>
      <c r="H599" s="79" t="s">
        <v>1468</v>
      </c>
      <c r="I599" s="109" t="s">
        <v>18</v>
      </c>
      <c r="L599" s="94" t="str">
        <f t="shared" si="2"/>
        <v>No infirmation</v>
      </c>
      <c r="M599" s="94" t="str">
        <f t="shared" si="3"/>
        <v>20251126_snorkel_batch017__llm_step_webvoyager_websites__141</v>
      </c>
    </row>
    <row r="600" ht="15.75" customHeight="1">
      <c r="B600" s="77">
        <f t="shared" si="1"/>
        <v>1</v>
      </c>
      <c r="C600" s="93" t="s">
        <v>12</v>
      </c>
      <c r="D600" s="101" t="s">
        <v>13</v>
      </c>
      <c r="E600" s="101" t="s">
        <v>14</v>
      </c>
      <c r="F600" s="108" t="s">
        <v>103</v>
      </c>
      <c r="G600" s="81" t="s">
        <v>119</v>
      </c>
      <c r="H600" s="79" t="s">
        <v>120</v>
      </c>
      <c r="I600" s="109" t="s">
        <v>18</v>
      </c>
      <c r="L600" s="94" t="str">
        <f t="shared" si="2"/>
        <v>No infirmation</v>
      </c>
      <c r="M600" s="94" t="str">
        <f t="shared" si="3"/>
        <v>20260107_snorkel_batch002_step_tasks__maps_route_planning__34</v>
      </c>
    </row>
    <row r="601" ht="15.75" customHeight="1">
      <c r="B601" s="77">
        <f t="shared" si="1"/>
        <v>1</v>
      </c>
      <c r="C601" s="67" t="s">
        <v>195</v>
      </c>
      <c r="D601" s="78" t="s">
        <v>196</v>
      </c>
      <c r="E601" s="78" t="s">
        <v>14</v>
      </c>
      <c r="F601" s="108" t="s">
        <v>103</v>
      </c>
      <c r="G601" s="81" t="s">
        <v>1469</v>
      </c>
      <c r="H601" s="79" t="s">
        <v>1470</v>
      </c>
      <c r="I601" s="109" t="s">
        <v>18</v>
      </c>
      <c r="L601" s="94" t="str">
        <f t="shared" si="2"/>
        <v>No infirmation</v>
      </c>
      <c r="M601" s="94" t="str">
        <f t="shared" si="3"/>
        <v>20260107_snorkel_batch002_step_tasks__maps_visual_search__13</v>
      </c>
    </row>
    <row r="602" ht="15.75" customHeight="1">
      <c r="B602" s="77">
        <f t="shared" si="1"/>
        <v>1</v>
      </c>
      <c r="C602" s="67" t="s">
        <v>195</v>
      </c>
      <c r="D602" s="78" t="s">
        <v>196</v>
      </c>
      <c r="E602" s="78" t="s">
        <v>14</v>
      </c>
      <c r="F602" s="108" t="s">
        <v>103</v>
      </c>
      <c r="G602" s="81" t="s">
        <v>1471</v>
      </c>
      <c r="H602" s="79" t="s">
        <v>1472</v>
      </c>
      <c r="I602" s="109" t="s">
        <v>18</v>
      </c>
      <c r="L602" s="94" t="str">
        <f t="shared" si="2"/>
        <v>No infirmation</v>
      </c>
      <c r="M602" s="94" t="str">
        <f t="shared" si="3"/>
        <v>20251210_snorkel_batch001__llm_step_onlinemind2web_websites__50</v>
      </c>
    </row>
    <row r="603" ht="15.75" customHeight="1">
      <c r="B603" s="77">
        <f t="shared" si="1"/>
        <v>1</v>
      </c>
      <c r="C603" s="67" t="s">
        <v>195</v>
      </c>
      <c r="D603" s="78" t="s">
        <v>196</v>
      </c>
      <c r="E603" s="78" t="s">
        <v>14</v>
      </c>
      <c r="F603" s="108" t="s">
        <v>103</v>
      </c>
      <c r="G603" s="81" t="s">
        <v>1473</v>
      </c>
      <c r="H603" s="79" t="s">
        <v>1474</v>
      </c>
      <c r="I603" s="109" t="s">
        <v>18</v>
      </c>
      <c r="J603" s="67" t="s">
        <v>1455</v>
      </c>
      <c r="L603" s="94" t="str">
        <f t="shared" si="2"/>
        <v>No infirmation</v>
      </c>
      <c r="M603" s="94" t="str">
        <f t="shared" si="3"/>
        <v>20260107_snorkel_batch001_step_tasks__finance_news_nav__36</v>
      </c>
    </row>
    <row r="604" ht="15.75" customHeight="1">
      <c r="B604" s="77">
        <f t="shared" si="1"/>
        <v>1</v>
      </c>
      <c r="C604" s="67" t="s">
        <v>195</v>
      </c>
      <c r="D604" s="78" t="s">
        <v>196</v>
      </c>
      <c r="E604" s="78" t="s">
        <v>14</v>
      </c>
      <c r="F604" s="108" t="s">
        <v>103</v>
      </c>
      <c r="G604" s="81" t="s">
        <v>1475</v>
      </c>
      <c r="H604" s="79" t="s">
        <v>1476</v>
      </c>
      <c r="I604" s="109" t="s">
        <v>18</v>
      </c>
      <c r="L604" s="94" t="str">
        <f t="shared" si="2"/>
        <v>No infirmation</v>
      </c>
      <c r="M604" s="94" t="str">
        <f t="shared" si="3"/>
        <v>20251126_snorkel_batch019__llm_step_webvoyager_websites__136</v>
      </c>
    </row>
    <row r="605" ht="15.75" customHeight="1">
      <c r="B605" s="77">
        <f t="shared" si="1"/>
        <v>1</v>
      </c>
      <c r="C605" s="67" t="s">
        <v>195</v>
      </c>
      <c r="D605" s="78" t="s">
        <v>196</v>
      </c>
      <c r="E605" s="78" t="s">
        <v>14</v>
      </c>
      <c r="F605" s="108" t="s">
        <v>103</v>
      </c>
      <c r="G605" s="81" t="s">
        <v>1477</v>
      </c>
      <c r="H605" s="79" t="s">
        <v>1478</v>
      </c>
      <c r="I605" s="109" t="s">
        <v>18</v>
      </c>
      <c r="L605" s="94" t="str">
        <f t="shared" si="2"/>
        <v>No infirmation</v>
      </c>
      <c r="M605" s="94" t="str">
        <f t="shared" si="3"/>
        <v>20251126_snorkel_batch020__llm_step_webvoyager_websites__149</v>
      </c>
    </row>
    <row r="606" ht="15.75" customHeight="1">
      <c r="B606" s="77">
        <f t="shared" si="1"/>
        <v>1</v>
      </c>
      <c r="C606" s="67" t="s">
        <v>195</v>
      </c>
      <c r="D606" s="78" t="s">
        <v>196</v>
      </c>
      <c r="E606" s="78" t="s">
        <v>14</v>
      </c>
      <c r="F606" s="108" t="s">
        <v>103</v>
      </c>
      <c r="G606" s="81" t="s">
        <v>1479</v>
      </c>
      <c r="H606" s="79" t="s">
        <v>1480</v>
      </c>
      <c r="I606" s="109" t="s">
        <v>18</v>
      </c>
      <c r="L606" s="94" t="str">
        <f t="shared" si="2"/>
        <v>No infirmation</v>
      </c>
      <c r="M606" s="94" t="str">
        <f t="shared" si="3"/>
        <v>20251126_snorkel_batch015__llm_step_popular_websites__34</v>
      </c>
    </row>
    <row r="607" ht="15.75" customHeight="1">
      <c r="B607" s="77">
        <f t="shared" si="1"/>
        <v>1</v>
      </c>
      <c r="C607" s="67" t="s">
        <v>195</v>
      </c>
      <c r="D607" s="78" t="s">
        <v>196</v>
      </c>
      <c r="E607" s="78" t="s">
        <v>14</v>
      </c>
      <c r="F607" s="108" t="s">
        <v>103</v>
      </c>
      <c r="G607" s="81" t="s">
        <v>1481</v>
      </c>
      <c r="H607" s="79" t="s">
        <v>1482</v>
      </c>
      <c r="I607" s="109" t="s">
        <v>18</v>
      </c>
      <c r="J607" s="67" t="s">
        <v>772</v>
      </c>
      <c r="L607" s="94" t="str">
        <f t="shared" si="2"/>
        <v>No infirmation</v>
      </c>
      <c r="M607" s="94" t="str">
        <f t="shared" si="3"/>
        <v>20260107_snorkel_batch003_step_tasks__flight_search__43</v>
      </c>
    </row>
    <row r="608" ht="15.75" customHeight="1">
      <c r="B608" s="77">
        <f t="shared" si="1"/>
        <v>1</v>
      </c>
      <c r="C608" s="67" t="s">
        <v>195</v>
      </c>
      <c r="D608" s="78" t="s">
        <v>196</v>
      </c>
      <c r="E608" s="78" t="s">
        <v>14</v>
      </c>
      <c r="F608" s="108" t="s">
        <v>103</v>
      </c>
      <c r="G608" s="81" t="s">
        <v>1483</v>
      </c>
      <c r="H608" s="79" t="s">
        <v>1484</v>
      </c>
      <c r="I608" s="109" t="s">
        <v>18</v>
      </c>
      <c r="L608" s="94" t="str">
        <f t="shared" si="2"/>
        <v>No infirmation</v>
      </c>
      <c r="M608" s="94" t="str">
        <f t="shared" si="3"/>
        <v>20260107_snorkel_batch003_step_tasks__food_delivery__4</v>
      </c>
    </row>
    <row r="609" ht="15.75" customHeight="1">
      <c r="B609" s="77">
        <f t="shared" si="1"/>
        <v>1</v>
      </c>
      <c r="C609" s="67" t="s">
        <v>195</v>
      </c>
      <c r="D609" s="78" t="s">
        <v>196</v>
      </c>
      <c r="E609" s="78" t="s">
        <v>14</v>
      </c>
      <c r="F609" s="108" t="s">
        <v>103</v>
      </c>
      <c r="G609" s="81" t="s">
        <v>1485</v>
      </c>
      <c r="H609" s="79" t="s">
        <v>1486</v>
      </c>
      <c r="I609" s="109" t="s">
        <v>18</v>
      </c>
      <c r="J609" s="67" t="s">
        <v>1487</v>
      </c>
      <c r="L609" s="94" t="str">
        <f t="shared" si="2"/>
        <v>No infirmation</v>
      </c>
      <c r="M609" s="94" t="str">
        <f t="shared" si="3"/>
        <v>20260107_snorkel_batch003_step_tasks__flight_search__10</v>
      </c>
    </row>
    <row r="610" ht="15.75" customHeight="1">
      <c r="B610" s="77">
        <f t="shared" si="1"/>
        <v>1</v>
      </c>
      <c r="C610" s="67" t="s">
        <v>195</v>
      </c>
      <c r="D610" s="78" t="s">
        <v>196</v>
      </c>
      <c r="E610" s="78" t="s">
        <v>14</v>
      </c>
      <c r="F610" s="108" t="s">
        <v>103</v>
      </c>
      <c r="G610" s="81" t="s">
        <v>1488</v>
      </c>
      <c r="H610" s="79" t="s">
        <v>1489</v>
      </c>
      <c r="I610" s="109" t="s">
        <v>18</v>
      </c>
      <c r="J610" s="67" t="s">
        <v>772</v>
      </c>
      <c r="L610" s="94" t="str">
        <f t="shared" si="2"/>
        <v>No infirmation</v>
      </c>
      <c r="M610" s="94" t="str">
        <f t="shared" si="3"/>
        <v>20251126_snorkel_batch019__llm_step_popular_websites__97</v>
      </c>
    </row>
    <row r="611" ht="15.75" customHeight="1">
      <c r="B611" s="77">
        <f t="shared" si="1"/>
        <v>1</v>
      </c>
      <c r="C611" s="67" t="s">
        <v>195</v>
      </c>
      <c r="D611" s="78" t="s">
        <v>196</v>
      </c>
      <c r="E611" s="78" t="s">
        <v>14</v>
      </c>
      <c r="F611" s="108" t="s">
        <v>103</v>
      </c>
      <c r="G611" s="81" t="s">
        <v>1490</v>
      </c>
      <c r="H611" s="79" t="s">
        <v>1491</v>
      </c>
      <c r="I611" s="109" t="s">
        <v>18</v>
      </c>
      <c r="L611" s="94" t="str">
        <f t="shared" si="2"/>
        <v>No infirmation</v>
      </c>
      <c r="M611" s="94" t="str">
        <f t="shared" si="3"/>
        <v>20251126_snorkel_batch011__llm_step_onlinemind2web_websites__52</v>
      </c>
    </row>
    <row r="612" ht="15.75" customHeight="1">
      <c r="B612" s="77">
        <f t="shared" si="1"/>
        <v>1</v>
      </c>
      <c r="C612" s="67" t="s">
        <v>195</v>
      </c>
      <c r="D612" s="78" t="s">
        <v>196</v>
      </c>
      <c r="E612" s="78" t="s">
        <v>14</v>
      </c>
      <c r="F612" s="108" t="s">
        <v>103</v>
      </c>
      <c r="G612" s="81" t="s">
        <v>1492</v>
      </c>
      <c r="H612" s="79" t="s">
        <v>1493</v>
      </c>
      <c r="I612" s="109" t="s">
        <v>18</v>
      </c>
      <c r="L612" s="94" t="str">
        <f t="shared" si="2"/>
        <v>No infirmation</v>
      </c>
      <c r="M612" s="94" t="str">
        <f t="shared" si="3"/>
        <v>20251126_snorkel_batch014__llm_step_webvoyager_websites__11</v>
      </c>
    </row>
    <row r="613" ht="15.75" customHeight="1">
      <c r="B613" s="77">
        <f t="shared" si="1"/>
        <v>1</v>
      </c>
      <c r="C613" s="67" t="s">
        <v>195</v>
      </c>
      <c r="D613" s="78" t="s">
        <v>196</v>
      </c>
      <c r="E613" s="78" t="s">
        <v>14</v>
      </c>
      <c r="F613" s="108" t="s">
        <v>103</v>
      </c>
      <c r="G613" s="81" t="s">
        <v>1494</v>
      </c>
      <c r="H613" s="79" t="s">
        <v>1495</v>
      </c>
      <c r="I613" s="109" t="s">
        <v>18</v>
      </c>
      <c r="L613" s="94" t="str">
        <f t="shared" si="2"/>
        <v>No infirmation</v>
      </c>
      <c r="M613" s="94" t="str">
        <f t="shared" si="3"/>
        <v>20251126_snorkel_batch012__llm_step_webvoyager_websites__7</v>
      </c>
    </row>
    <row r="614" ht="15.75" customHeight="1">
      <c r="B614" s="77">
        <f t="shared" si="1"/>
        <v>1</v>
      </c>
      <c r="C614" s="67" t="s">
        <v>195</v>
      </c>
      <c r="D614" s="78" t="s">
        <v>196</v>
      </c>
      <c r="E614" s="78" t="s">
        <v>14</v>
      </c>
      <c r="F614" s="108" t="s">
        <v>103</v>
      </c>
      <c r="G614" s="81" t="s">
        <v>1496</v>
      </c>
      <c r="H614" s="79" t="s">
        <v>1497</v>
      </c>
      <c r="I614" s="109" t="s">
        <v>18</v>
      </c>
      <c r="L614" s="94" t="str">
        <f t="shared" si="2"/>
        <v>No infirmation</v>
      </c>
      <c r="M614" s="94" t="str">
        <f t="shared" si="3"/>
        <v>20260107_snorkel_batch002_step_tasks__maps_visual_search__40</v>
      </c>
    </row>
    <row r="615" ht="15.75" customHeight="1">
      <c r="B615" s="77">
        <f t="shared" si="1"/>
        <v>1</v>
      </c>
      <c r="C615" s="67" t="s">
        <v>193</v>
      </c>
      <c r="D615" s="78" t="s">
        <v>194</v>
      </c>
      <c r="E615" s="78" t="s">
        <v>14</v>
      </c>
      <c r="F615" s="108" t="s">
        <v>103</v>
      </c>
      <c r="G615" s="81" t="s">
        <v>1498</v>
      </c>
      <c r="H615" s="79" t="s">
        <v>1499</v>
      </c>
      <c r="I615" s="109" t="s">
        <v>18</v>
      </c>
      <c r="L615" s="94" t="str">
        <f t="shared" si="2"/>
        <v>No infirmation</v>
      </c>
      <c r="M615" s="94" t="str">
        <f t="shared" si="3"/>
        <v>20251126_snorkel_batch012__llm_step_onlinemind2web_websites__99</v>
      </c>
    </row>
    <row r="616" ht="15.75" customHeight="1">
      <c r="B616" s="77">
        <f t="shared" si="1"/>
        <v>1</v>
      </c>
      <c r="C616" s="67" t="s">
        <v>193</v>
      </c>
      <c r="D616" s="78" t="s">
        <v>194</v>
      </c>
      <c r="E616" s="78" t="s">
        <v>14</v>
      </c>
      <c r="F616" s="108" t="s">
        <v>103</v>
      </c>
      <c r="G616" s="81" t="s">
        <v>1500</v>
      </c>
      <c r="H616" s="79" t="s">
        <v>1501</v>
      </c>
      <c r="I616" s="109" t="s">
        <v>429</v>
      </c>
      <c r="J616" s="67" t="s">
        <v>117</v>
      </c>
      <c r="L616" s="94" t="str">
        <f t="shared" si="2"/>
        <v>No infirmation</v>
      </c>
      <c r="M616" s="94" t="str">
        <f t="shared" si="3"/>
        <v>20251126_snorkel_batch020__llm_step_webvoyager_websites__18</v>
      </c>
    </row>
    <row r="617" ht="15.75" customHeight="1">
      <c r="B617" s="77">
        <f t="shared" si="1"/>
        <v>1</v>
      </c>
      <c r="C617" s="67" t="s">
        <v>193</v>
      </c>
      <c r="D617" s="78" t="s">
        <v>194</v>
      </c>
      <c r="E617" s="78" t="s">
        <v>14</v>
      </c>
      <c r="F617" s="108" t="s">
        <v>103</v>
      </c>
      <c r="G617" s="81" t="s">
        <v>1502</v>
      </c>
      <c r="H617" s="79" t="s">
        <v>1503</v>
      </c>
      <c r="I617" s="109" t="s">
        <v>429</v>
      </c>
      <c r="J617" s="67" t="s">
        <v>117</v>
      </c>
      <c r="L617" s="94" t="str">
        <f t="shared" si="2"/>
        <v>No infirmation</v>
      </c>
      <c r="M617" s="94" t="str">
        <f t="shared" si="3"/>
        <v>20260107_snorkel_batch002_step_tasks__real_estate_search_and_filter__41</v>
      </c>
    </row>
    <row r="618" ht="15.75" customHeight="1">
      <c r="B618" s="77">
        <f t="shared" si="1"/>
        <v>1</v>
      </c>
      <c r="C618" s="93" t="s">
        <v>193</v>
      </c>
      <c r="D618" s="78" t="s">
        <v>194</v>
      </c>
      <c r="E618" s="101" t="s">
        <v>14</v>
      </c>
      <c r="F618" s="108" t="s">
        <v>103</v>
      </c>
      <c r="G618" s="81" t="s">
        <v>1504</v>
      </c>
      <c r="H618" s="79" t="s">
        <v>1505</v>
      </c>
      <c r="I618" s="109" t="s">
        <v>18</v>
      </c>
      <c r="J618" s="67"/>
      <c r="L618" s="94" t="str">
        <f t="shared" si="2"/>
        <v>No infirmation</v>
      </c>
      <c r="M618" s="94" t="str">
        <f t="shared" si="3"/>
        <v>20251126_snorkel_batch016__llm_step_onlinemind2web_websites__34</v>
      </c>
    </row>
    <row r="619" ht="15.75" customHeight="1">
      <c r="B619" s="77">
        <f t="shared" si="1"/>
        <v>1</v>
      </c>
      <c r="C619" s="67" t="s">
        <v>193</v>
      </c>
      <c r="D619" s="78" t="s">
        <v>194</v>
      </c>
      <c r="E619" s="78" t="s">
        <v>14</v>
      </c>
      <c r="F619" s="108" t="s">
        <v>103</v>
      </c>
      <c r="G619" s="81" t="s">
        <v>1506</v>
      </c>
      <c r="H619" s="79" t="s">
        <v>1507</v>
      </c>
      <c r="I619" s="109" t="s">
        <v>429</v>
      </c>
      <c r="J619" s="67" t="s">
        <v>1448</v>
      </c>
      <c r="L619" s="94" t="str">
        <f t="shared" si="2"/>
        <v>No infirmation</v>
      </c>
      <c r="M619" s="94" t="str">
        <f t="shared" si="3"/>
        <v>20260107_snorkel_batch001_step_tasks__general_news_nav_and_open_first__9</v>
      </c>
    </row>
    <row r="620" ht="15.75" customHeight="1">
      <c r="B620" s="77">
        <f t="shared" si="1"/>
        <v>1</v>
      </c>
      <c r="C620" s="67" t="s">
        <v>193</v>
      </c>
      <c r="D620" s="78" t="s">
        <v>194</v>
      </c>
      <c r="E620" s="78" t="s">
        <v>14</v>
      </c>
      <c r="F620" s="108" t="s">
        <v>103</v>
      </c>
      <c r="G620" s="81" t="s">
        <v>1508</v>
      </c>
      <c r="H620" s="79" t="s">
        <v>1509</v>
      </c>
      <c r="I620" s="109" t="s">
        <v>18</v>
      </c>
      <c r="L620" s="94" t="str">
        <f t="shared" si="2"/>
        <v>No infirmation</v>
      </c>
      <c r="M620" s="94" t="str">
        <f t="shared" si="3"/>
        <v>20260107_snorkel_batch002_step_tasks__maps_nearby__14</v>
      </c>
    </row>
    <row r="621" ht="15.75" customHeight="1">
      <c r="B621" s="77">
        <f t="shared" si="1"/>
        <v>1</v>
      </c>
      <c r="C621" s="67" t="s">
        <v>193</v>
      </c>
      <c r="D621" s="78" t="s">
        <v>194</v>
      </c>
      <c r="E621" s="78" t="s">
        <v>14</v>
      </c>
      <c r="F621" s="108" t="s">
        <v>103</v>
      </c>
      <c r="G621" s="81" t="s">
        <v>1510</v>
      </c>
      <c r="H621" s="79" t="s">
        <v>1511</v>
      </c>
      <c r="I621" s="109" t="s">
        <v>18</v>
      </c>
      <c r="L621" s="94" t="str">
        <f t="shared" si="2"/>
        <v>No infirmation</v>
      </c>
      <c r="M621" s="94" t="str">
        <f t="shared" si="3"/>
        <v>20260107_snorkel_batch003_step_tasks__shopping_search_and_add_to_cart__16</v>
      </c>
    </row>
    <row r="622" ht="15.75" customHeight="1">
      <c r="B622" s="77">
        <f t="shared" si="1"/>
        <v>1</v>
      </c>
      <c r="C622" s="67" t="s">
        <v>193</v>
      </c>
      <c r="D622" s="78" t="s">
        <v>194</v>
      </c>
      <c r="E622" s="78" t="s">
        <v>14</v>
      </c>
      <c r="F622" s="108" t="s">
        <v>103</v>
      </c>
      <c r="G622" s="81" t="s">
        <v>1512</v>
      </c>
      <c r="H622" s="79" t="s">
        <v>1513</v>
      </c>
      <c r="I622" s="109" t="s">
        <v>18</v>
      </c>
      <c r="L622" s="80" t="str">
        <f t="shared" si="2"/>
        <v>No infirmation</v>
      </c>
      <c r="M622" s="80" t="str">
        <f t="shared" si="3"/>
        <v>20260107_snorkel_batch001_step_tasks__maps_directions__28</v>
      </c>
    </row>
    <row r="623" ht="15.75" customHeight="1">
      <c r="B623" s="77">
        <f t="shared" si="1"/>
        <v>1</v>
      </c>
      <c r="C623" s="67" t="s">
        <v>193</v>
      </c>
      <c r="D623" s="78" t="s">
        <v>194</v>
      </c>
      <c r="E623" s="78" t="s">
        <v>14</v>
      </c>
      <c r="F623" s="108" t="s">
        <v>103</v>
      </c>
      <c r="G623" s="81" t="s">
        <v>1514</v>
      </c>
      <c r="H623" s="79" t="s">
        <v>1515</v>
      </c>
      <c r="I623" s="109" t="s">
        <v>429</v>
      </c>
      <c r="J623" s="67" t="s">
        <v>1448</v>
      </c>
      <c r="L623" s="80" t="str">
        <f t="shared" si="2"/>
        <v>No infirmation</v>
      </c>
      <c r="M623" s="80" t="str">
        <f t="shared" si="3"/>
        <v>20260107_snorkel_batch003_step_tasks__food_recipes__49</v>
      </c>
    </row>
    <row r="624" ht="15.75" customHeight="1">
      <c r="B624" s="77">
        <f t="shared" si="1"/>
        <v>1</v>
      </c>
      <c r="C624" s="67" t="s">
        <v>193</v>
      </c>
      <c r="D624" s="78" t="s">
        <v>194</v>
      </c>
      <c r="E624" s="78" t="s">
        <v>14</v>
      </c>
      <c r="F624" s="108" t="s">
        <v>103</v>
      </c>
      <c r="G624" s="81" t="s">
        <v>1516</v>
      </c>
      <c r="H624" s="79" t="s">
        <v>1517</v>
      </c>
      <c r="I624" s="109" t="s">
        <v>18</v>
      </c>
      <c r="L624" s="80" t="str">
        <f t="shared" si="2"/>
        <v>No infirmation</v>
      </c>
      <c r="M624" s="80" t="str">
        <f t="shared" si="3"/>
        <v>20251219_snorkel_batch009__llm_navqa_webvoyager_websites__19</v>
      </c>
    </row>
    <row r="625" ht="15.75" customHeight="1">
      <c r="B625" s="77">
        <f t="shared" si="1"/>
        <v>1</v>
      </c>
      <c r="C625" s="67" t="s">
        <v>193</v>
      </c>
      <c r="D625" s="78" t="s">
        <v>194</v>
      </c>
      <c r="E625" s="78" t="s">
        <v>14</v>
      </c>
      <c r="F625" s="108" t="s">
        <v>103</v>
      </c>
      <c r="G625" s="81" t="s">
        <v>1518</v>
      </c>
      <c r="H625" s="79" t="s">
        <v>1519</v>
      </c>
      <c r="I625" s="109" t="s">
        <v>18</v>
      </c>
      <c r="L625" s="80" t="str">
        <f t="shared" si="2"/>
        <v>No infirmation</v>
      </c>
      <c r="M625" s="80" t="str">
        <f t="shared" si="3"/>
        <v>20260107_snorkel_batch001_step_tasks__news_search_and_open_nth__20</v>
      </c>
    </row>
    <row r="626" ht="15.75" customHeight="1">
      <c r="B626" s="77">
        <f t="shared" si="1"/>
        <v>1</v>
      </c>
      <c r="C626" s="67" t="s">
        <v>193</v>
      </c>
      <c r="D626" s="78" t="s">
        <v>194</v>
      </c>
      <c r="E626" s="78" t="s">
        <v>14</v>
      </c>
      <c r="F626" s="108" t="s">
        <v>103</v>
      </c>
      <c r="G626" s="81" t="s">
        <v>1520</v>
      </c>
      <c r="H626" s="79" t="s">
        <v>1521</v>
      </c>
      <c r="I626" s="109" t="s">
        <v>18</v>
      </c>
      <c r="L626" s="80" t="str">
        <f t="shared" si="2"/>
        <v>No infirmation</v>
      </c>
      <c r="M626" s="80" t="str">
        <f t="shared" si="3"/>
        <v>20251126_snorkel_batch015__llm_step_webvoyager_websites__150</v>
      </c>
    </row>
    <row r="627" ht="15.75" customHeight="1">
      <c r="B627" s="77">
        <f t="shared" si="1"/>
        <v>1</v>
      </c>
      <c r="C627" s="67" t="s">
        <v>193</v>
      </c>
      <c r="D627" s="78" t="s">
        <v>194</v>
      </c>
      <c r="E627" s="78" t="s">
        <v>14</v>
      </c>
      <c r="F627" s="108" t="s">
        <v>103</v>
      </c>
      <c r="G627" s="81" t="s">
        <v>1522</v>
      </c>
      <c r="H627" s="79" t="s">
        <v>1523</v>
      </c>
      <c r="I627" s="109" t="s">
        <v>18</v>
      </c>
      <c r="L627" s="80" t="str">
        <f t="shared" si="2"/>
        <v>No infirmation</v>
      </c>
      <c r="M627" s="80" t="str">
        <f t="shared" si="3"/>
        <v>20260107_snorkel_batch001_step_tasks__general_news_nav_and_open_first__28</v>
      </c>
    </row>
    <row r="628" ht="15.75" customHeight="1">
      <c r="B628" s="77">
        <f t="shared" si="1"/>
        <v>1</v>
      </c>
      <c r="C628" s="67" t="s">
        <v>193</v>
      </c>
      <c r="D628" s="78" t="s">
        <v>194</v>
      </c>
      <c r="E628" s="78" t="s">
        <v>14</v>
      </c>
      <c r="F628" s="108" t="s">
        <v>103</v>
      </c>
      <c r="G628" s="81" t="s">
        <v>1524</v>
      </c>
      <c r="H628" s="79" t="s">
        <v>1525</v>
      </c>
      <c r="I628" s="109" t="s">
        <v>18</v>
      </c>
      <c r="L628" s="80" t="str">
        <f t="shared" si="2"/>
        <v>No infirmation</v>
      </c>
      <c r="M628" s="80" t="str">
        <f t="shared" si="3"/>
        <v>20260107_snorkel_batch001_step_tasks__sports_news_nav__25</v>
      </c>
    </row>
    <row r="629" ht="15.75" customHeight="1">
      <c r="B629" s="77">
        <f t="shared" si="1"/>
        <v>1</v>
      </c>
      <c r="C629" s="93" t="s">
        <v>12</v>
      </c>
      <c r="D629" s="101" t="s">
        <v>13</v>
      </c>
      <c r="E629" s="101" t="s">
        <v>14</v>
      </c>
      <c r="F629" s="108" t="s">
        <v>103</v>
      </c>
      <c r="G629" s="81" t="s">
        <v>122</v>
      </c>
      <c r="H629" s="79" t="s">
        <v>123</v>
      </c>
      <c r="I629" s="109" t="s">
        <v>18</v>
      </c>
      <c r="L629" s="80" t="str">
        <f t="shared" si="2"/>
        <v>No infirmation</v>
      </c>
      <c r="M629" s="80" t="str">
        <f t="shared" si="3"/>
        <v>20260107_snorkel_batch001_step_tasks__maps_directions__4</v>
      </c>
    </row>
    <row r="630" ht="15.75" customHeight="1">
      <c r="B630" s="77">
        <f t="shared" si="1"/>
        <v>1</v>
      </c>
      <c r="C630" s="93" t="s">
        <v>12</v>
      </c>
      <c r="D630" s="101" t="s">
        <v>13</v>
      </c>
      <c r="E630" s="101" t="s">
        <v>14</v>
      </c>
      <c r="F630" s="108" t="s">
        <v>103</v>
      </c>
      <c r="G630" s="81" t="s">
        <v>125</v>
      </c>
      <c r="H630" s="79" t="s">
        <v>126</v>
      </c>
      <c r="I630" s="109" t="s">
        <v>18</v>
      </c>
      <c r="L630" s="80" t="str">
        <f t="shared" si="2"/>
        <v>No infirmation</v>
      </c>
      <c r="M630" s="80" t="str">
        <f t="shared" si="3"/>
        <v>20260107_snorkel_batch002_step_tasks__maps_distance__12</v>
      </c>
    </row>
    <row r="631" ht="15.75" customHeight="1">
      <c r="B631" s="77">
        <f t="shared" si="1"/>
        <v>1</v>
      </c>
      <c r="C631" s="93" t="s">
        <v>12</v>
      </c>
      <c r="D631" s="101" t="s">
        <v>13</v>
      </c>
      <c r="E631" s="101" t="s">
        <v>14</v>
      </c>
      <c r="F631" s="108" t="s">
        <v>103</v>
      </c>
      <c r="G631" s="81" t="s">
        <v>128</v>
      </c>
      <c r="H631" s="79" t="s">
        <v>129</v>
      </c>
      <c r="I631" s="109" t="s">
        <v>18</v>
      </c>
      <c r="L631" s="80" t="str">
        <f t="shared" si="2"/>
        <v>No infirmation</v>
      </c>
      <c r="M631" s="80" t="str">
        <f t="shared" si="3"/>
        <v>20260107_snorkel_batch002_step_tasks__maps_distance__20</v>
      </c>
    </row>
    <row r="632" ht="15.75" customHeight="1">
      <c r="B632" s="77">
        <f t="shared" si="1"/>
        <v>1</v>
      </c>
      <c r="C632" s="93" t="s">
        <v>12</v>
      </c>
      <c r="D632" s="101" t="s">
        <v>13</v>
      </c>
      <c r="E632" s="101" t="s">
        <v>14</v>
      </c>
      <c r="F632" s="108" t="s">
        <v>103</v>
      </c>
      <c r="G632" s="81" t="s">
        <v>131</v>
      </c>
      <c r="H632" s="79" t="s">
        <v>132</v>
      </c>
      <c r="I632" s="109" t="s">
        <v>18</v>
      </c>
      <c r="L632" s="80" t="str">
        <f t="shared" si="2"/>
        <v>No infirmation</v>
      </c>
      <c r="M632" s="80" t="str">
        <f t="shared" si="3"/>
        <v>20260107_snorkel_batch002_step_tasks__maps_route_planning__9</v>
      </c>
    </row>
    <row r="633" ht="15.75" customHeight="1">
      <c r="B633" s="77">
        <f t="shared" si="1"/>
        <v>1</v>
      </c>
      <c r="C633" s="67" t="s">
        <v>1526</v>
      </c>
      <c r="D633" s="78" t="s">
        <v>196</v>
      </c>
      <c r="E633" s="101" t="s">
        <v>14</v>
      </c>
      <c r="F633" s="108" t="s">
        <v>103</v>
      </c>
      <c r="G633" s="104" t="s">
        <v>1527</v>
      </c>
      <c r="H633" s="110" t="s">
        <v>1528</v>
      </c>
      <c r="I633" s="106" t="s">
        <v>18</v>
      </c>
      <c r="J633" s="95"/>
      <c r="L633" s="80" t="str">
        <f t="shared" si="2"/>
        <v>No infirmation</v>
      </c>
      <c r="M633" s="80" t="str">
        <f t="shared" si="3"/>
        <v>20251126_snorkel_batch018__llm_step_webvoyager_websites__45</v>
      </c>
    </row>
    <row r="634" ht="15.75" customHeight="1">
      <c r="B634" s="77">
        <f t="shared" si="1"/>
        <v>1</v>
      </c>
      <c r="C634" s="67" t="s">
        <v>1526</v>
      </c>
      <c r="D634" s="78" t="s">
        <v>196</v>
      </c>
      <c r="E634" s="101" t="s">
        <v>14</v>
      </c>
      <c r="F634" s="108" t="s">
        <v>103</v>
      </c>
      <c r="G634" s="104" t="s">
        <v>1529</v>
      </c>
      <c r="H634" s="111" t="s">
        <v>1530</v>
      </c>
      <c r="I634" s="106" t="s">
        <v>18</v>
      </c>
      <c r="J634" s="95"/>
      <c r="L634" s="80" t="str">
        <f t="shared" si="2"/>
        <v>No infirmation</v>
      </c>
      <c r="M634" s="80" t="str">
        <f t="shared" si="3"/>
        <v>20260107_snorkel_batch003_step_tasks__food_recipes__14</v>
      </c>
    </row>
    <row r="635" ht="15.75" customHeight="1">
      <c r="B635" s="77">
        <f t="shared" si="1"/>
        <v>1</v>
      </c>
      <c r="C635" s="67" t="s">
        <v>1526</v>
      </c>
      <c r="D635" s="78" t="s">
        <v>196</v>
      </c>
      <c r="E635" s="101" t="s">
        <v>14</v>
      </c>
      <c r="F635" s="108" t="s">
        <v>103</v>
      </c>
      <c r="G635" s="104" t="s">
        <v>1531</v>
      </c>
      <c r="H635" s="111" t="s">
        <v>1532</v>
      </c>
      <c r="I635" s="106" t="s">
        <v>18</v>
      </c>
      <c r="J635" s="95"/>
      <c r="L635" s="80" t="str">
        <f t="shared" si="2"/>
        <v>No infirmation</v>
      </c>
      <c r="M635" s="80" t="str">
        <f t="shared" si="3"/>
        <v>20260107_snorkel_batch002_step_tasks__maps_route_planning__42</v>
      </c>
    </row>
    <row r="636" ht="15.75" customHeight="1">
      <c r="B636" s="77">
        <f t="shared" si="1"/>
        <v>1</v>
      </c>
      <c r="C636" s="67" t="s">
        <v>1526</v>
      </c>
      <c r="D636" s="78" t="s">
        <v>196</v>
      </c>
      <c r="E636" s="101" t="s">
        <v>14</v>
      </c>
      <c r="F636" s="108" t="s">
        <v>103</v>
      </c>
      <c r="G636" s="104" t="s">
        <v>1533</v>
      </c>
      <c r="H636" s="111" t="s">
        <v>1534</v>
      </c>
      <c r="I636" s="106" t="s">
        <v>18</v>
      </c>
      <c r="J636" s="95"/>
      <c r="L636" s="80" t="str">
        <f t="shared" si="2"/>
        <v>No infirmation</v>
      </c>
      <c r="M636" s="80" t="str">
        <f t="shared" si="3"/>
        <v>20260107_snorkel_batch002_step_tasks__maps_travel_time__30</v>
      </c>
    </row>
    <row r="637" ht="15.75" customHeight="1">
      <c r="B637" s="77">
        <f t="shared" si="1"/>
        <v>1</v>
      </c>
      <c r="C637" s="67" t="s">
        <v>1526</v>
      </c>
      <c r="D637" s="78" t="s">
        <v>196</v>
      </c>
      <c r="E637" s="101" t="s">
        <v>14</v>
      </c>
      <c r="F637" s="108" t="s">
        <v>103</v>
      </c>
      <c r="G637" s="104" t="s">
        <v>1535</v>
      </c>
      <c r="H637" s="111" t="s">
        <v>1536</v>
      </c>
      <c r="I637" s="106" t="s">
        <v>18</v>
      </c>
      <c r="J637" s="95"/>
      <c r="L637" s="80" t="str">
        <f t="shared" si="2"/>
        <v>No infirmation</v>
      </c>
      <c r="M637" s="80" t="str">
        <f t="shared" si="3"/>
        <v>20251126_snorkel_batch016__llm_step_popular_websites__136</v>
      </c>
    </row>
    <row r="638" ht="15.75" customHeight="1">
      <c r="B638" s="77">
        <f t="shared" si="1"/>
        <v>1</v>
      </c>
      <c r="C638" s="67" t="s">
        <v>1526</v>
      </c>
      <c r="D638" s="78" t="s">
        <v>196</v>
      </c>
      <c r="E638" s="101" t="s">
        <v>14</v>
      </c>
      <c r="F638" s="108" t="s">
        <v>103</v>
      </c>
      <c r="G638" s="104" t="s">
        <v>1537</v>
      </c>
      <c r="H638" s="111" t="s">
        <v>1538</v>
      </c>
      <c r="I638" s="106" t="s">
        <v>18</v>
      </c>
      <c r="J638" s="95"/>
      <c r="L638" s="80" t="str">
        <f t="shared" si="2"/>
        <v>No infirmation</v>
      </c>
      <c r="M638" s="80" t="str">
        <f t="shared" si="3"/>
        <v>20251126_snorkel_batch015__llm_step_onlinemind2web_websites__143</v>
      </c>
    </row>
    <row r="639" ht="15.75" customHeight="1">
      <c r="B639" s="77">
        <f t="shared" si="1"/>
        <v>1</v>
      </c>
      <c r="C639" s="67" t="s">
        <v>1526</v>
      </c>
      <c r="D639" s="78" t="s">
        <v>196</v>
      </c>
      <c r="E639" s="101" t="s">
        <v>14</v>
      </c>
      <c r="F639" s="108" t="s">
        <v>103</v>
      </c>
      <c r="G639" s="104" t="s">
        <v>1539</v>
      </c>
      <c r="H639" s="111" t="s">
        <v>1540</v>
      </c>
      <c r="I639" s="106" t="s">
        <v>18</v>
      </c>
      <c r="J639" s="104" t="s">
        <v>1541</v>
      </c>
      <c r="L639" s="80" t="str">
        <f t="shared" si="2"/>
        <v>No infirmation</v>
      </c>
      <c r="M639" s="80" t="str">
        <f t="shared" si="3"/>
        <v>20251126_snorkel_batch020__llm_step_webvoyager_websites__91</v>
      </c>
    </row>
    <row r="640" ht="15.75" customHeight="1">
      <c r="B640" s="77">
        <f t="shared" si="1"/>
        <v>1</v>
      </c>
      <c r="C640" s="67" t="s">
        <v>1526</v>
      </c>
      <c r="D640" s="78" t="s">
        <v>196</v>
      </c>
      <c r="E640" s="101" t="s">
        <v>14</v>
      </c>
      <c r="F640" s="108" t="s">
        <v>103</v>
      </c>
      <c r="G640" s="104" t="s">
        <v>1542</v>
      </c>
      <c r="H640" s="111" t="s">
        <v>1543</v>
      </c>
      <c r="I640" s="106" t="s">
        <v>18</v>
      </c>
      <c r="J640" s="104" t="s">
        <v>1544</v>
      </c>
      <c r="L640" s="80" t="str">
        <f t="shared" si="2"/>
        <v>No infirmation</v>
      </c>
      <c r="M640" s="80" t="str">
        <f t="shared" si="3"/>
        <v>20251126_snorkel_batch014__llm_step_webvoyager_websites__80</v>
      </c>
    </row>
    <row r="641" ht="15.75" customHeight="1">
      <c r="B641" s="77">
        <f t="shared" si="1"/>
        <v>1</v>
      </c>
      <c r="C641" s="67" t="s">
        <v>1526</v>
      </c>
      <c r="D641" s="78" t="s">
        <v>196</v>
      </c>
      <c r="E641" s="101" t="s">
        <v>14</v>
      </c>
      <c r="F641" s="108" t="s">
        <v>103</v>
      </c>
      <c r="G641" s="104" t="s">
        <v>1545</v>
      </c>
      <c r="H641" s="111" t="s">
        <v>1546</v>
      </c>
      <c r="I641" s="106" t="s">
        <v>18</v>
      </c>
      <c r="J641" s="95"/>
      <c r="L641" s="80" t="str">
        <f t="shared" si="2"/>
        <v>No infirmation</v>
      </c>
      <c r="M641" s="80" t="str">
        <f t="shared" si="3"/>
        <v>20251210_snorkel_batch001__llm_step_onlinemind2web_websites__87</v>
      </c>
    </row>
    <row r="642" ht="15.75" customHeight="1">
      <c r="B642" s="77">
        <f t="shared" si="1"/>
        <v>1</v>
      </c>
      <c r="C642" s="67" t="s">
        <v>1526</v>
      </c>
      <c r="D642" s="78" t="s">
        <v>196</v>
      </c>
      <c r="E642" s="101" t="s">
        <v>14</v>
      </c>
      <c r="F642" s="108" t="s">
        <v>103</v>
      </c>
      <c r="G642" s="104" t="s">
        <v>1547</v>
      </c>
      <c r="H642" s="111" t="s">
        <v>1548</v>
      </c>
      <c r="I642" s="106" t="s">
        <v>18</v>
      </c>
      <c r="J642" s="95"/>
      <c r="L642" s="80" t="str">
        <f t="shared" si="2"/>
        <v>No infirmation</v>
      </c>
      <c r="M642" s="80" t="str">
        <f t="shared" si="3"/>
        <v>20251219_snorkel_batch010__llm_navqa_webvoyager_websites__102</v>
      </c>
    </row>
    <row r="643" ht="15.75" customHeight="1">
      <c r="B643" s="77">
        <f t="shared" si="1"/>
        <v>1</v>
      </c>
      <c r="C643" s="67" t="s">
        <v>197</v>
      </c>
      <c r="D643" s="78" t="s">
        <v>198</v>
      </c>
      <c r="E643" s="78" t="s">
        <v>14</v>
      </c>
      <c r="F643" s="108" t="s">
        <v>103</v>
      </c>
      <c r="G643" s="84" t="s">
        <v>1549</v>
      </c>
      <c r="H643" s="90" t="s">
        <v>1550</v>
      </c>
      <c r="I643" s="84" t="s">
        <v>18</v>
      </c>
      <c r="J643" s="86" t="s">
        <v>1551</v>
      </c>
      <c r="L643" s="80" t="str">
        <f t="shared" si="2"/>
        <v>No infirmation</v>
      </c>
      <c r="M643" s="80" t="str">
        <f t="shared" si="3"/>
        <v>20260107_snorkel_batch003_step_tasks__shopping_search_and_filter__37</v>
      </c>
    </row>
    <row r="644" ht="15.75" customHeight="1">
      <c r="B644" s="77">
        <f t="shared" si="1"/>
        <v>1</v>
      </c>
      <c r="C644" s="67" t="s">
        <v>197</v>
      </c>
      <c r="D644" s="78" t="s">
        <v>198</v>
      </c>
      <c r="E644" s="78" t="s">
        <v>14</v>
      </c>
      <c r="F644" s="108" t="s">
        <v>103</v>
      </c>
      <c r="G644" s="86" t="s">
        <v>1552</v>
      </c>
      <c r="H644" s="90" t="s">
        <v>1553</v>
      </c>
      <c r="I644" s="84" t="s">
        <v>18</v>
      </c>
      <c r="J644" s="86"/>
      <c r="L644" s="80" t="str">
        <f t="shared" si="2"/>
        <v>No infirmation</v>
      </c>
      <c r="M644" s="80" t="str">
        <f t="shared" si="3"/>
        <v>20251219_snorkel_batch007__llm_navqa_onlinemind2web_websites__90</v>
      </c>
    </row>
    <row r="645" ht="15.75" customHeight="1">
      <c r="B645" s="77">
        <f t="shared" si="1"/>
        <v>1</v>
      </c>
      <c r="C645" s="67" t="s">
        <v>197</v>
      </c>
      <c r="D645" s="78" t="s">
        <v>198</v>
      </c>
      <c r="E645" s="78" t="s">
        <v>14</v>
      </c>
      <c r="F645" s="108" t="s">
        <v>103</v>
      </c>
      <c r="G645" s="86" t="s">
        <v>1554</v>
      </c>
      <c r="H645" s="90" t="s">
        <v>1555</v>
      </c>
      <c r="I645" s="84" t="s">
        <v>18</v>
      </c>
      <c r="J645" s="86" t="s">
        <v>1556</v>
      </c>
      <c r="L645" s="80" t="str">
        <f t="shared" si="2"/>
        <v>No infirmation</v>
      </c>
      <c r="M645" s="80" t="str">
        <f t="shared" si="3"/>
        <v>20251126_snorkel_batch019__llm_step_webvoyager_websites__61</v>
      </c>
    </row>
    <row r="646" ht="15.75" customHeight="1">
      <c r="B646" s="77">
        <f t="shared" si="1"/>
        <v>1</v>
      </c>
      <c r="C646" s="67" t="s">
        <v>197</v>
      </c>
      <c r="D646" s="78" t="s">
        <v>198</v>
      </c>
      <c r="E646" s="78" t="s">
        <v>14</v>
      </c>
      <c r="F646" s="108" t="s">
        <v>103</v>
      </c>
      <c r="G646" s="86" t="s">
        <v>1557</v>
      </c>
      <c r="H646" s="90" t="s">
        <v>1558</v>
      </c>
      <c r="I646" s="84" t="s">
        <v>18</v>
      </c>
      <c r="J646" s="86"/>
      <c r="L646" s="80" t="str">
        <f t="shared" si="2"/>
        <v>No infirmation</v>
      </c>
      <c r="M646" s="80" t="str">
        <f t="shared" si="3"/>
        <v>20251126_snorkel_batch019__llm_step_webvoyager_websites__6</v>
      </c>
    </row>
    <row r="647" ht="15.75" customHeight="1">
      <c r="B647" s="77">
        <f t="shared" si="1"/>
        <v>1</v>
      </c>
      <c r="C647" s="67" t="s">
        <v>197</v>
      </c>
      <c r="D647" s="78" t="s">
        <v>198</v>
      </c>
      <c r="E647" s="78" t="s">
        <v>14</v>
      </c>
      <c r="F647" s="108" t="s">
        <v>103</v>
      </c>
      <c r="G647" s="86" t="s">
        <v>1559</v>
      </c>
      <c r="H647" s="90" t="s">
        <v>1560</v>
      </c>
      <c r="I647" s="84" t="s">
        <v>18</v>
      </c>
      <c r="J647" s="86"/>
      <c r="L647" s="80" t="str">
        <f t="shared" si="2"/>
        <v>No infirmation</v>
      </c>
      <c r="M647" s="80" t="str">
        <f t="shared" si="3"/>
        <v>20260107_snorkel_batch001_step_tasks__maps_directions__35</v>
      </c>
    </row>
    <row r="648" ht="15.75" customHeight="1">
      <c r="B648" s="77">
        <f t="shared" si="1"/>
        <v>1</v>
      </c>
      <c r="C648" s="67" t="s">
        <v>197</v>
      </c>
      <c r="D648" s="78" t="s">
        <v>198</v>
      </c>
      <c r="E648" s="78" t="s">
        <v>14</v>
      </c>
      <c r="F648" s="108" t="s">
        <v>103</v>
      </c>
      <c r="G648" s="86" t="s">
        <v>1561</v>
      </c>
      <c r="H648" s="90" t="s">
        <v>1562</v>
      </c>
      <c r="I648" s="84" t="s">
        <v>18</v>
      </c>
      <c r="J648" s="86" t="s">
        <v>1563</v>
      </c>
      <c r="L648" s="80" t="str">
        <f t="shared" si="2"/>
        <v>No infirmation</v>
      </c>
      <c r="M648" s="80" t="str">
        <f t="shared" si="3"/>
        <v>20251126_snorkel_batch015__llm_step_webvoyager_websites__36</v>
      </c>
    </row>
    <row r="649" ht="15.75" customHeight="1">
      <c r="B649" s="77">
        <f t="shared" si="1"/>
        <v>1</v>
      </c>
      <c r="C649" s="67" t="s">
        <v>197</v>
      </c>
      <c r="D649" s="78" t="s">
        <v>198</v>
      </c>
      <c r="E649" s="78" t="s">
        <v>14</v>
      </c>
      <c r="F649" s="108" t="s">
        <v>103</v>
      </c>
      <c r="G649" s="86" t="s">
        <v>1564</v>
      </c>
      <c r="H649" s="90" t="s">
        <v>1565</v>
      </c>
      <c r="I649" s="84" t="s">
        <v>18</v>
      </c>
      <c r="J649" s="86"/>
      <c r="L649" s="80" t="str">
        <f t="shared" si="2"/>
        <v>No infirmation</v>
      </c>
      <c r="M649" s="80" t="str">
        <f t="shared" si="3"/>
        <v>20260107_snorkel_batch001_step_tasks__news_search_and_open_nth__21</v>
      </c>
    </row>
    <row r="650" ht="15.75" customHeight="1">
      <c r="B650" s="77">
        <f t="shared" si="1"/>
        <v>1</v>
      </c>
      <c r="C650" s="67" t="s">
        <v>197</v>
      </c>
      <c r="D650" s="78" t="s">
        <v>198</v>
      </c>
      <c r="E650" s="78" t="s">
        <v>14</v>
      </c>
      <c r="F650" s="108" t="s">
        <v>103</v>
      </c>
      <c r="G650" s="86" t="s">
        <v>1566</v>
      </c>
      <c r="H650" s="90" t="s">
        <v>1567</v>
      </c>
      <c r="I650" s="84" t="s">
        <v>18</v>
      </c>
      <c r="J650" s="84" t="s">
        <v>1568</v>
      </c>
      <c r="L650" s="80" t="str">
        <f t="shared" si="2"/>
        <v>No infirmation</v>
      </c>
      <c r="M650" s="80" t="str">
        <f t="shared" si="3"/>
        <v>20260107_snorkel_batch003_step_tasks__career_company_research__29</v>
      </c>
    </row>
    <row r="651" ht="15.75" customHeight="1">
      <c r="B651" s="77">
        <f t="shared" si="1"/>
        <v>1</v>
      </c>
      <c r="C651" s="67" t="s">
        <v>197</v>
      </c>
      <c r="D651" s="78" t="s">
        <v>198</v>
      </c>
      <c r="E651" s="78" t="s">
        <v>14</v>
      </c>
      <c r="F651" s="108" t="s">
        <v>103</v>
      </c>
      <c r="G651" s="86" t="s">
        <v>1569</v>
      </c>
      <c r="H651" s="90" t="s">
        <v>1570</v>
      </c>
      <c r="I651" s="84" t="s">
        <v>18</v>
      </c>
      <c r="J651" s="86" t="s">
        <v>1571</v>
      </c>
      <c r="L651" s="80" t="str">
        <f t="shared" si="2"/>
        <v>No infirmation</v>
      </c>
      <c r="M651" s="80" t="str">
        <f t="shared" si="3"/>
        <v>20251210_snorkel_batch001__llm_step_onlinemind2web_websites__2</v>
      </c>
    </row>
    <row r="652" ht="15.75" customHeight="1">
      <c r="B652" s="77">
        <f t="shared" si="1"/>
        <v>1</v>
      </c>
      <c r="C652" s="67" t="s">
        <v>197</v>
      </c>
      <c r="D652" s="78" t="s">
        <v>198</v>
      </c>
      <c r="E652" s="78" t="s">
        <v>14</v>
      </c>
      <c r="F652" s="108" t="s">
        <v>103</v>
      </c>
      <c r="G652" s="86" t="s">
        <v>1572</v>
      </c>
      <c r="H652" s="90" t="s">
        <v>1573</v>
      </c>
      <c r="I652" s="84" t="s">
        <v>18</v>
      </c>
      <c r="J652" s="86" t="s">
        <v>1574</v>
      </c>
      <c r="L652" s="80" t="str">
        <f t="shared" si="2"/>
        <v>No infirmation</v>
      </c>
      <c r="M652" s="80" t="str">
        <f t="shared" si="3"/>
        <v>20251126_snorkel_batch020__llm_step_popular_websites__41</v>
      </c>
    </row>
    <row r="653" ht="15.75" customHeight="1">
      <c r="B653" s="77">
        <f t="shared" si="1"/>
        <v>1</v>
      </c>
      <c r="C653" s="67" t="s">
        <v>197</v>
      </c>
      <c r="D653" s="78" t="s">
        <v>198</v>
      </c>
      <c r="E653" s="78" t="s">
        <v>14</v>
      </c>
      <c r="F653" s="108" t="s">
        <v>103</v>
      </c>
      <c r="G653" s="86" t="s">
        <v>1575</v>
      </c>
      <c r="H653" s="87" t="s">
        <v>1576</v>
      </c>
      <c r="I653" s="84" t="s">
        <v>18</v>
      </c>
      <c r="J653" s="86"/>
      <c r="L653" s="80" t="str">
        <f t="shared" si="2"/>
        <v>No infirmation</v>
      </c>
      <c r="M653" s="80" t="str">
        <f t="shared" si="3"/>
        <v>20251126_snorkel_batch015__llm_step_popular_websites__158</v>
      </c>
    </row>
    <row r="654" ht="15.75" customHeight="1">
      <c r="B654" s="77">
        <f t="shared" si="1"/>
        <v>1</v>
      </c>
      <c r="C654" s="67" t="s">
        <v>197</v>
      </c>
      <c r="D654" s="78" t="s">
        <v>198</v>
      </c>
      <c r="E654" s="78" t="s">
        <v>14</v>
      </c>
      <c r="F654" s="108" t="s">
        <v>103</v>
      </c>
      <c r="G654" s="86" t="s">
        <v>1577</v>
      </c>
      <c r="H654" s="87" t="s">
        <v>1578</v>
      </c>
      <c r="I654" s="84" t="s">
        <v>18</v>
      </c>
      <c r="J654" s="86"/>
      <c r="L654" s="80" t="str">
        <f t="shared" si="2"/>
        <v>No infirmation</v>
      </c>
      <c r="M654" s="80" t="str">
        <f t="shared" si="3"/>
        <v>20251126_snorkel_batch013__llm_step_webvoyager_websites__6</v>
      </c>
    </row>
    <row r="655" ht="15.75" customHeight="1">
      <c r="B655" s="77">
        <f t="shared" si="1"/>
        <v>1</v>
      </c>
      <c r="C655" s="67" t="s">
        <v>197</v>
      </c>
      <c r="D655" s="78" t="s">
        <v>198</v>
      </c>
      <c r="E655" s="78" t="s">
        <v>14</v>
      </c>
      <c r="F655" s="108" t="s">
        <v>103</v>
      </c>
      <c r="G655" s="86" t="s">
        <v>1579</v>
      </c>
      <c r="H655" s="87" t="s">
        <v>1580</v>
      </c>
      <c r="I655" s="84" t="s">
        <v>18</v>
      </c>
      <c r="J655" s="86"/>
      <c r="L655" s="80" t="str">
        <f t="shared" si="2"/>
        <v>No infirmation</v>
      </c>
      <c r="M655" s="80" t="str">
        <f t="shared" si="3"/>
        <v>20251126_snorkel_batch017__llm_step_popular_websites__98</v>
      </c>
    </row>
    <row r="656" ht="15.75" customHeight="1">
      <c r="B656" s="77">
        <f t="shared" si="1"/>
        <v>1</v>
      </c>
      <c r="C656" s="67" t="s">
        <v>197</v>
      </c>
      <c r="D656" s="78" t="s">
        <v>198</v>
      </c>
      <c r="E656" s="78" t="s">
        <v>14</v>
      </c>
      <c r="F656" s="108" t="s">
        <v>103</v>
      </c>
      <c r="G656" s="86" t="s">
        <v>1581</v>
      </c>
      <c r="H656" s="87" t="s">
        <v>1582</v>
      </c>
      <c r="I656" s="84" t="s">
        <v>18</v>
      </c>
      <c r="J656" s="86"/>
      <c r="L656" s="80" t="str">
        <f t="shared" si="2"/>
        <v>No infirmation</v>
      </c>
      <c r="M656" s="80" t="str">
        <f t="shared" si="3"/>
        <v>20251126_snorkel_batch019__llm_step_popular_websites__14</v>
      </c>
    </row>
    <row r="657" ht="15.75" customHeight="1">
      <c r="B657" s="77">
        <f t="shared" si="1"/>
        <v>1</v>
      </c>
      <c r="C657" s="67" t="s">
        <v>197</v>
      </c>
      <c r="D657" s="78" t="s">
        <v>198</v>
      </c>
      <c r="E657" s="78" t="s">
        <v>14</v>
      </c>
      <c r="F657" s="108" t="s">
        <v>103</v>
      </c>
      <c r="G657" s="86" t="s">
        <v>1583</v>
      </c>
      <c r="H657" s="87" t="s">
        <v>1584</v>
      </c>
      <c r="I657" s="84" t="s">
        <v>18</v>
      </c>
      <c r="J657" s="86"/>
      <c r="L657" s="80" t="str">
        <f t="shared" si="2"/>
        <v>No infirmation</v>
      </c>
      <c r="M657" s="80" t="str">
        <f t="shared" si="3"/>
        <v>20251210_snorkel_batch001__llm_step_webvoyager_websites__71</v>
      </c>
    </row>
    <row r="658" ht="15.75" customHeight="1">
      <c r="B658" s="77">
        <f t="shared" si="1"/>
        <v>2</v>
      </c>
      <c r="C658" s="67" t="s">
        <v>201</v>
      </c>
      <c r="D658" s="78" t="s">
        <v>202</v>
      </c>
      <c r="E658" s="78" t="s">
        <v>14</v>
      </c>
      <c r="F658" s="108" t="s">
        <v>103</v>
      </c>
      <c r="G658" s="103" t="s">
        <v>1371</v>
      </c>
      <c r="H658" s="70" t="s">
        <v>1372</v>
      </c>
      <c r="I658" s="84" t="s">
        <v>18</v>
      </c>
      <c r="J658" s="103" t="s">
        <v>1373</v>
      </c>
      <c r="L658" s="80" t="str">
        <f t="shared" si="2"/>
        <v>No infirmation</v>
      </c>
      <c r="M658" s="80" t="str">
        <f t="shared" si="3"/>
        <v>20251126_snorkel_batch014__llm_step_onlinemind2web_websites__92</v>
      </c>
    </row>
    <row r="659" ht="15.75" customHeight="1">
      <c r="B659" s="77">
        <f t="shared" si="1"/>
        <v>1</v>
      </c>
      <c r="C659" s="67" t="s">
        <v>201</v>
      </c>
      <c r="D659" s="78" t="s">
        <v>202</v>
      </c>
      <c r="E659" s="78" t="s">
        <v>14</v>
      </c>
      <c r="F659" s="108" t="s">
        <v>103</v>
      </c>
      <c r="G659" s="95" t="s">
        <v>1585</v>
      </c>
      <c r="H659" s="87" t="s">
        <v>1586</v>
      </c>
      <c r="I659" s="84" t="s">
        <v>18</v>
      </c>
      <c r="J659" s="95" t="s">
        <v>1587</v>
      </c>
      <c r="L659" s="80" t="str">
        <f t="shared" si="2"/>
        <v>No infirmation</v>
      </c>
      <c r="M659" s="80" t="str">
        <f t="shared" si="3"/>
        <v>20251126_snorkel_batch012__llm_step_webvoyager_websites__31</v>
      </c>
    </row>
    <row r="660" ht="15.75" customHeight="1">
      <c r="B660" s="77">
        <f t="shared" si="1"/>
        <v>0</v>
      </c>
      <c r="I660" s="98" t="s">
        <v>18</v>
      </c>
      <c r="L660" s="80" t="str">
        <f t="shared" si="2"/>
        <v>No infirmation</v>
      </c>
      <c r="M660" s="80" t="str">
        <f t="shared" si="3"/>
        <v/>
      </c>
    </row>
    <row r="661" ht="15.75" customHeight="1">
      <c r="B661" s="77">
        <f t="shared" si="1"/>
        <v>1</v>
      </c>
      <c r="C661" s="67" t="s">
        <v>199</v>
      </c>
      <c r="D661" s="78" t="s">
        <v>200</v>
      </c>
      <c r="E661" s="78" t="s">
        <v>14</v>
      </c>
      <c r="F661" s="108" t="s">
        <v>134</v>
      </c>
      <c r="G661" s="67" t="s">
        <v>1588</v>
      </c>
      <c r="H661" s="83" t="s">
        <v>1589</v>
      </c>
      <c r="I661" s="98" t="s">
        <v>18</v>
      </c>
      <c r="J661" s="67" t="s">
        <v>1590</v>
      </c>
      <c r="L661" s="80" t="str">
        <f t="shared" si="2"/>
        <v>No infirmation</v>
      </c>
      <c r="M661" s="80" t="str">
        <f t="shared" si="3"/>
        <v>20260107_snorkel_batch001_step_tasks__general_news_nav__36</v>
      </c>
    </row>
    <row r="662" ht="15.75" customHeight="1">
      <c r="B662" s="77">
        <f t="shared" si="1"/>
        <v>0</v>
      </c>
      <c r="C662" s="67" t="s">
        <v>199</v>
      </c>
      <c r="D662" s="78" t="s">
        <v>200</v>
      </c>
      <c r="E662" s="78" t="s">
        <v>14</v>
      </c>
      <c r="F662" s="108" t="s">
        <v>134</v>
      </c>
      <c r="I662" s="98" t="s">
        <v>18</v>
      </c>
      <c r="L662" s="80" t="str">
        <f t="shared" si="2"/>
        <v>No infirmation</v>
      </c>
      <c r="M662" s="80" t="str">
        <f t="shared" si="3"/>
        <v/>
      </c>
    </row>
    <row r="663" ht="15.75" customHeight="1">
      <c r="B663" s="77">
        <f t="shared" si="1"/>
        <v>0</v>
      </c>
      <c r="C663" s="67" t="s">
        <v>199</v>
      </c>
      <c r="D663" s="78" t="s">
        <v>200</v>
      </c>
      <c r="E663" s="78" t="s">
        <v>14</v>
      </c>
      <c r="F663" s="108" t="s">
        <v>134</v>
      </c>
      <c r="I663" s="98" t="s">
        <v>18</v>
      </c>
      <c r="L663" s="80" t="str">
        <f t="shared" si="2"/>
        <v>No infirmation</v>
      </c>
      <c r="M663" s="80" t="str">
        <f t="shared" si="3"/>
        <v/>
      </c>
    </row>
    <row r="664" ht="15.75" customHeight="1">
      <c r="B664" s="77">
        <f t="shared" si="1"/>
        <v>0</v>
      </c>
      <c r="C664" s="67" t="s">
        <v>199</v>
      </c>
      <c r="D664" s="78" t="s">
        <v>200</v>
      </c>
      <c r="E664" s="78" t="s">
        <v>14</v>
      </c>
      <c r="F664" s="108" t="s">
        <v>134</v>
      </c>
      <c r="I664" s="98" t="s">
        <v>18</v>
      </c>
      <c r="L664" s="80" t="str">
        <f t="shared" si="2"/>
        <v>No infirmation</v>
      </c>
      <c r="M664" s="80" t="str">
        <f t="shared" si="3"/>
        <v/>
      </c>
    </row>
    <row r="665" ht="15.75" customHeight="1">
      <c r="B665" s="77">
        <f t="shared" si="1"/>
        <v>0</v>
      </c>
      <c r="C665" s="67" t="s">
        <v>199</v>
      </c>
      <c r="D665" s="78" t="s">
        <v>200</v>
      </c>
      <c r="E665" s="78" t="s">
        <v>14</v>
      </c>
      <c r="F665" s="108" t="s">
        <v>134</v>
      </c>
      <c r="I665" s="98" t="s">
        <v>18</v>
      </c>
      <c r="L665" s="80" t="str">
        <f t="shared" si="2"/>
        <v>No infirmation</v>
      </c>
      <c r="M665" s="80" t="str">
        <f t="shared" si="3"/>
        <v/>
      </c>
    </row>
    <row r="666" ht="15.75" customHeight="1">
      <c r="B666" s="77">
        <f t="shared" si="1"/>
        <v>0</v>
      </c>
      <c r="C666" s="67" t="s">
        <v>199</v>
      </c>
      <c r="D666" s="78" t="s">
        <v>200</v>
      </c>
      <c r="E666" s="78" t="s">
        <v>14</v>
      </c>
      <c r="F666" s="108" t="s">
        <v>134</v>
      </c>
      <c r="I666" s="98" t="s">
        <v>18</v>
      </c>
      <c r="L666" s="80" t="str">
        <f t="shared" si="2"/>
        <v>No infirmation</v>
      </c>
      <c r="M666" s="80" t="str">
        <f t="shared" si="3"/>
        <v/>
      </c>
    </row>
    <row r="667" ht="15.75" customHeight="1">
      <c r="B667" s="77">
        <f t="shared" si="1"/>
        <v>0</v>
      </c>
      <c r="C667" s="67" t="s">
        <v>199</v>
      </c>
      <c r="D667" s="78" t="s">
        <v>200</v>
      </c>
      <c r="E667" s="78" t="s">
        <v>14</v>
      </c>
      <c r="F667" s="108" t="s">
        <v>134</v>
      </c>
      <c r="I667" s="98" t="s">
        <v>18</v>
      </c>
      <c r="L667" s="80" t="str">
        <f t="shared" si="2"/>
        <v>No infirmation</v>
      </c>
      <c r="M667" s="80" t="str">
        <f t="shared" si="3"/>
        <v/>
      </c>
    </row>
    <row r="668" ht="15.75" customHeight="1">
      <c r="B668" s="77">
        <f t="shared" si="1"/>
        <v>0</v>
      </c>
      <c r="C668" s="67" t="s">
        <v>199</v>
      </c>
      <c r="D668" s="78" t="s">
        <v>200</v>
      </c>
      <c r="E668" s="78" t="s">
        <v>14</v>
      </c>
      <c r="F668" s="108" t="s">
        <v>134</v>
      </c>
      <c r="I668" s="98" t="s">
        <v>18</v>
      </c>
      <c r="L668" s="80" t="str">
        <f t="shared" si="2"/>
        <v>No infirmation</v>
      </c>
      <c r="M668" s="80" t="str">
        <f t="shared" si="3"/>
        <v/>
      </c>
    </row>
    <row r="669" ht="15.75" customHeight="1">
      <c r="B669" s="77">
        <f t="shared" si="1"/>
        <v>0</v>
      </c>
      <c r="C669" s="67" t="s">
        <v>199</v>
      </c>
      <c r="D669" s="78" t="s">
        <v>200</v>
      </c>
      <c r="E669" s="78" t="s">
        <v>14</v>
      </c>
      <c r="F669" s="108" t="s">
        <v>134</v>
      </c>
      <c r="I669" s="98" t="s">
        <v>18</v>
      </c>
      <c r="L669" s="80" t="str">
        <f t="shared" si="2"/>
        <v>No infirmation</v>
      </c>
      <c r="M669" s="80" t="str">
        <f t="shared" si="3"/>
        <v/>
      </c>
    </row>
    <row r="670" ht="15.75" customHeight="1">
      <c r="B670" s="77">
        <f t="shared" si="1"/>
        <v>0</v>
      </c>
      <c r="C670" s="67" t="s">
        <v>199</v>
      </c>
      <c r="D670" s="78" t="s">
        <v>200</v>
      </c>
      <c r="E670" s="78" t="s">
        <v>14</v>
      </c>
      <c r="F670" s="108" t="s">
        <v>134</v>
      </c>
      <c r="I670" s="98" t="s">
        <v>18</v>
      </c>
      <c r="L670" s="80" t="str">
        <f t="shared" si="2"/>
        <v>No infirmation</v>
      </c>
      <c r="M670" s="80" t="str">
        <f t="shared" si="3"/>
        <v/>
      </c>
    </row>
    <row r="671" ht="15.75" customHeight="1">
      <c r="B671" s="77">
        <f t="shared" si="1"/>
        <v>0</v>
      </c>
      <c r="C671" s="67" t="s">
        <v>199</v>
      </c>
      <c r="D671" s="78" t="s">
        <v>200</v>
      </c>
      <c r="E671" s="78" t="s">
        <v>14</v>
      </c>
      <c r="F671" s="108" t="s">
        <v>134</v>
      </c>
      <c r="I671" s="98" t="s">
        <v>18</v>
      </c>
      <c r="L671" s="80" t="str">
        <f t="shared" si="2"/>
        <v>No infirmation</v>
      </c>
      <c r="M671" s="80" t="str">
        <f t="shared" si="3"/>
        <v/>
      </c>
    </row>
    <row r="672" ht="15.75" customHeight="1">
      <c r="B672" s="77">
        <f t="shared" si="1"/>
        <v>0</v>
      </c>
      <c r="C672" s="67" t="s">
        <v>199</v>
      </c>
      <c r="D672" s="78" t="s">
        <v>200</v>
      </c>
      <c r="E672" s="78" t="s">
        <v>14</v>
      </c>
      <c r="F672" s="108" t="s">
        <v>134</v>
      </c>
      <c r="I672" s="98" t="s">
        <v>18</v>
      </c>
      <c r="L672" s="80" t="str">
        <f t="shared" si="2"/>
        <v>No infirmation</v>
      </c>
      <c r="M672" s="80" t="str">
        <f t="shared" si="3"/>
        <v/>
      </c>
    </row>
    <row r="673" ht="15.75" customHeight="1">
      <c r="B673" s="77">
        <f t="shared" si="1"/>
        <v>1</v>
      </c>
      <c r="C673" s="93" t="s">
        <v>12</v>
      </c>
      <c r="D673" s="101" t="s">
        <v>13</v>
      </c>
      <c r="E673" s="101" t="s">
        <v>14</v>
      </c>
      <c r="F673" s="108" t="s">
        <v>134</v>
      </c>
      <c r="G673" s="81" t="s">
        <v>135</v>
      </c>
      <c r="H673" s="79" t="s">
        <v>136</v>
      </c>
      <c r="I673" s="98" t="s">
        <v>18</v>
      </c>
      <c r="L673" s="80" t="str">
        <f t="shared" si="2"/>
        <v>No infirmation</v>
      </c>
      <c r="M673" s="80" t="str">
        <f t="shared" si="3"/>
        <v>20251126_snorkel_batch016__llm_step_onlinemind2web_websites__18</v>
      </c>
    </row>
    <row r="674" ht="15.75" customHeight="1">
      <c r="B674" s="77">
        <f t="shared" si="1"/>
        <v>1</v>
      </c>
      <c r="C674" s="93" t="s">
        <v>12</v>
      </c>
      <c r="D674" s="101" t="s">
        <v>13</v>
      </c>
      <c r="E674" s="101" t="s">
        <v>14</v>
      </c>
      <c r="F674" s="108" t="s">
        <v>134</v>
      </c>
      <c r="G674" s="81" t="s">
        <v>1591</v>
      </c>
      <c r="H674" s="79" t="s">
        <v>1592</v>
      </c>
      <c r="I674" s="98" t="s">
        <v>18</v>
      </c>
      <c r="L674" s="80" t="str">
        <f t="shared" si="2"/>
        <v>No infirmation</v>
      </c>
      <c r="M674" s="80" t="str">
        <f t="shared" si="3"/>
        <v>20251126_snorkel_batch011__llm_step_popular_websites__127</v>
      </c>
    </row>
    <row r="675" ht="15.75" customHeight="1">
      <c r="B675" s="77">
        <f t="shared" si="1"/>
        <v>1</v>
      </c>
      <c r="C675" s="93" t="s">
        <v>12</v>
      </c>
      <c r="D675" s="101" t="s">
        <v>13</v>
      </c>
      <c r="E675" s="101" t="s">
        <v>14</v>
      </c>
      <c r="F675" s="108" t="s">
        <v>134</v>
      </c>
      <c r="G675" s="81" t="s">
        <v>1593</v>
      </c>
      <c r="H675" s="79" t="s">
        <v>1594</v>
      </c>
      <c r="I675" s="98" t="s">
        <v>18</v>
      </c>
      <c r="J675" s="67" t="s">
        <v>70</v>
      </c>
      <c r="L675" s="80" t="str">
        <f t="shared" si="2"/>
        <v>No infirmation</v>
      </c>
      <c r="M675" s="80" t="str">
        <f t="shared" si="3"/>
        <v>20251210_snorkel_batch002__llm_step_webvoyager_websites__154</v>
      </c>
    </row>
    <row r="676" ht="15.75" customHeight="1">
      <c r="B676" s="77">
        <f t="shared" si="1"/>
        <v>1</v>
      </c>
      <c r="C676" s="93" t="s">
        <v>12</v>
      </c>
      <c r="D676" s="101" t="s">
        <v>13</v>
      </c>
      <c r="E676" s="101" t="s">
        <v>14</v>
      </c>
      <c r="F676" s="108" t="s">
        <v>138</v>
      </c>
      <c r="G676" s="81" t="s">
        <v>1595</v>
      </c>
      <c r="H676" s="79" t="s">
        <v>1596</v>
      </c>
      <c r="I676" s="98" t="s">
        <v>18</v>
      </c>
      <c r="L676" s="80" t="str">
        <f t="shared" si="2"/>
        <v>No infirmation</v>
      </c>
      <c r="M676" s="80" t="str">
        <f t="shared" si="3"/>
        <v>20260113_snorkel_batch005_procedural__car_rental_search__5</v>
      </c>
    </row>
    <row r="677" ht="15.75" customHeight="1">
      <c r="B677" s="77">
        <f t="shared" si="1"/>
        <v>1</v>
      </c>
      <c r="C677" s="93" t="s">
        <v>12</v>
      </c>
      <c r="D677" s="101" t="s">
        <v>13</v>
      </c>
      <c r="E677" s="101" t="s">
        <v>14</v>
      </c>
      <c r="F677" s="108" t="s">
        <v>138</v>
      </c>
      <c r="G677" s="81" t="s">
        <v>139</v>
      </c>
      <c r="H677" s="79" t="s">
        <v>140</v>
      </c>
      <c r="I677" s="98" t="s">
        <v>18</v>
      </c>
      <c r="L677" s="80" t="str">
        <f t="shared" si="2"/>
        <v>No infirmation</v>
      </c>
      <c r="M677" s="80" t="str">
        <f t="shared" si="3"/>
        <v>20251210_snorkel_batch003__llm_step_webvoyager_websites__94</v>
      </c>
    </row>
    <row r="678" ht="15.75" customHeight="1">
      <c r="B678" s="77">
        <f t="shared" si="1"/>
        <v>1</v>
      </c>
      <c r="C678" s="93" t="s">
        <v>12</v>
      </c>
      <c r="D678" s="101" t="s">
        <v>13</v>
      </c>
      <c r="E678" s="101" t="s">
        <v>14</v>
      </c>
      <c r="F678" s="108" t="s">
        <v>138</v>
      </c>
      <c r="G678" s="81" t="s">
        <v>142</v>
      </c>
      <c r="H678" s="79" t="s">
        <v>143</v>
      </c>
      <c r="I678" s="98" t="s">
        <v>18</v>
      </c>
      <c r="J678" s="67" t="s">
        <v>144</v>
      </c>
      <c r="L678" s="80" t="str">
        <f t="shared" si="2"/>
        <v>No infirmation</v>
      </c>
      <c r="M678" s="80" t="str">
        <f t="shared" si="3"/>
        <v>20260113_snorkel_batch001_procedural__maps_visual_search__3</v>
      </c>
    </row>
    <row r="679" ht="15.75" customHeight="1">
      <c r="B679" s="77">
        <f t="shared" si="1"/>
        <v>1</v>
      </c>
      <c r="C679" s="93" t="s">
        <v>12</v>
      </c>
      <c r="D679" s="101" t="s">
        <v>13</v>
      </c>
      <c r="E679" s="101" t="s">
        <v>14</v>
      </c>
      <c r="F679" s="108" t="s">
        <v>138</v>
      </c>
      <c r="G679" s="81" t="s">
        <v>1597</v>
      </c>
      <c r="H679" s="79" t="s">
        <v>1598</v>
      </c>
      <c r="I679" s="98" t="s">
        <v>18</v>
      </c>
      <c r="L679" s="80" t="str">
        <f t="shared" si="2"/>
        <v>No infirmation</v>
      </c>
      <c r="M679" s="80" t="str">
        <f t="shared" si="3"/>
        <v>20260113_snorkel_batch005_procedural__maps_route_planning__2</v>
      </c>
    </row>
    <row r="680" ht="15.75" customHeight="1">
      <c r="B680" s="77">
        <f t="shared" si="1"/>
        <v>1</v>
      </c>
      <c r="C680" s="93" t="s">
        <v>12</v>
      </c>
      <c r="D680" s="101" t="s">
        <v>13</v>
      </c>
      <c r="E680" s="101" t="s">
        <v>14</v>
      </c>
      <c r="F680" s="108" t="s">
        <v>146</v>
      </c>
      <c r="G680" s="81" t="s">
        <v>1599</v>
      </c>
      <c r="H680" s="79" t="s">
        <v>1600</v>
      </c>
      <c r="I680" s="98" t="s">
        <v>18</v>
      </c>
      <c r="J680" s="67" t="s">
        <v>117</v>
      </c>
      <c r="L680" s="80" t="str">
        <f t="shared" si="2"/>
        <v>No infirmation</v>
      </c>
      <c r="M680" s="80" t="str">
        <f t="shared" si="3"/>
        <v>20260113_snorkel_batch001_procedural__images_search__11</v>
      </c>
    </row>
    <row r="681" ht="15.75" customHeight="1">
      <c r="B681" s="77">
        <f t="shared" si="1"/>
        <v>1</v>
      </c>
      <c r="C681" s="93" t="s">
        <v>12</v>
      </c>
      <c r="D681" s="101" t="s">
        <v>13</v>
      </c>
      <c r="E681" s="101" t="s">
        <v>14</v>
      </c>
      <c r="F681" s="108" t="s">
        <v>146</v>
      </c>
      <c r="G681" s="81" t="s">
        <v>147</v>
      </c>
      <c r="H681" s="79" t="s">
        <v>148</v>
      </c>
      <c r="I681" s="98" t="s">
        <v>18</v>
      </c>
      <c r="L681" s="80" t="str">
        <f t="shared" si="2"/>
        <v>No infirmation</v>
      </c>
      <c r="M681" s="80" t="str">
        <f t="shared" si="3"/>
        <v>20260113_snorkel_batch006_procedural__maps_nearby__7</v>
      </c>
    </row>
    <row r="682" ht="15.75" customHeight="1">
      <c r="B682" s="77">
        <f t="shared" si="1"/>
        <v>1</v>
      </c>
      <c r="C682" s="93" t="s">
        <v>12</v>
      </c>
      <c r="D682" s="101" t="s">
        <v>13</v>
      </c>
      <c r="E682" s="101" t="s">
        <v>14</v>
      </c>
      <c r="F682" s="108" t="s">
        <v>146</v>
      </c>
      <c r="G682" s="81" t="s">
        <v>150</v>
      </c>
      <c r="H682" s="79" t="s">
        <v>151</v>
      </c>
      <c r="I682" s="98" t="s">
        <v>18</v>
      </c>
      <c r="L682" s="80" t="str">
        <f t="shared" si="2"/>
        <v>No infirmation</v>
      </c>
      <c r="M682" s="80" t="str">
        <f t="shared" si="3"/>
        <v>20251126_snorkel_batch019__llm_step_webvoyager_websites__99</v>
      </c>
    </row>
    <row r="683" ht="15.75" customHeight="1">
      <c r="B683" s="77">
        <f t="shared" si="1"/>
        <v>1</v>
      </c>
      <c r="C683" s="67" t="s">
        <v>1526</v>
      </c>
      <c r="D683" s="78" t="s">
        <v>196</v>
      </c>
      <c r="E683" s="101" t="s">
        <v>14</v>
      </c>
      <c r="F683" s="108" t="s">
        <v>134</v>
      </c>
      <c r="G683" s="104" t="s">
        <v>1601</v>
      </c>
      <c r="H683" s="111" t="s">
        <v>1602</v>
      </c>
      <c r="I683" s="106" t="s">
        <v>18</v>
      </c>
      <c r="J683" s="104" t="s">
        <v>1603</v>
      </c>
      <c r="L683" s="80" t="str">
        <f t="shared" si="2"/>
        <v>No infirmation</v>
      </c>
      <c r="M683" s="80" t="str">
        <f t="shared" si="3"/>
        <v>20251126_snorkel_batch015__llm_step_onlinemind2web_websites__128</v>
      </c>
    </row>
    <row r="684" ht="15.75" customHeight="1">
      <c r="B684" s="77">
        <f t="shared" si="1"/>
        <v>1</v>
      </c>
      <c r="C684" s="67" t="s">
        <v>1526</v>
      </c>
      <c r="D684" s="78" t="s">
        <v>196</v>
      </c>
      <c r="E684" s="101" t="s">
        <v>14</v>
      </c>
      <c r="F684" s="108" t="s">
        <v>134</v>
      </c>
      <c r="G684" s="104" t="s">
        <v>1604</v>
      </c>
      <c r="H684" s="105" t="s">
        <v>1605</v>
      </c>
      <c r="I684" s="106" t="s">
        <v>18</v>
      </c>
      <c r="J684" s="104" t="s">
        <v>1606</v>
      </c>
      <c r="L684" s="80" t="str">
        <f t="shared" si="2"/>
        <v>No infirmation</v>
      </c>
      <c r="M684" s="80" t="str">
        <f t="shared" si="3"/>
        <v>20251210_snorkel_batch001__llm_step_popular_websites__107</v>
      </c>
    </row>
    <row r="685" ht="15.75" customHeight="1">
      <c r="B685" s="77">
        <f t="shared" si="1"/>
        <v>1</v>
      </c>
      <c r="C685" s="67" t="s">
        <v>1526</v>
      </c>
      <c r="D685" s="78" t="s">
        <v>196</v>
      </c>
      <c r="E685" s="101" t="s">
        <v>14</v>
      </c>
      <c r="F685" s="108" t="s">
        <v>134</v>
      </c>
      <c r="G685" s="104" t="s">
        <v>1607</v>
      </c>
      <c r="H685" s="112" t="s">
        <v>1608</v>
      </c>
      <c r="I685" s="106" t="s">
        <v>18</v>
      </c>
      <c r="J685" s="95"/>
      <c r="L685" s="80" t="str">
        <f t="shared" si="2"/>
        <v>No infirmation</v>
      </c>
      <c r="M685" s="80" t="str">
        <f t="shared" si="3"/>
        <v>20251126_snorkel_batch017__llm_step_onlinemind2web_websites__92</v>
      </c>
    </row>
    <row r="686" ht="15.75" customHeight="1">
      <c r="B686" s="77">
        <f t="shared" si="1"/>
        <v>1</v>
      </c>
      <c r="C686" s="67" t="s">
        <v>1526</v>
      </c>
      <c r="D686" s="78" t="s">
        <v>196</v>
      </c>
      <c r="E686" s="101" t="s">
        <v>14</v>
      </c>
      <c r="F686" s="108" t="s">
        <v>134</v>
      </c>
      <c r="G686" s="104" t="s">
        <v>1609</v>
      </c>
      <c r="H686" s="112" t="s">
        <v>1610</v>
      </c>
      <c r="I686" s="106" t="s">
        <v>18</v>
      </c>
      <c r="J686" s="104" t="s">
        <v>1611</v>
      </c>
      <c r="L686" s="80" t="str">
        <f t="shared" si="2"/>
        <v>No infirmation</v>
      </c>
      <c r="M686" s="80" t="str">
        <f t="shared" si="3"/>
        <v>20251210_snorkel_batch002__llm_step_onlinemind2web_websites__157</v>
      </c>
    </row>
    <row r="687" ht="15.75" customHeight="1">
      <c r="B687" s="77">
        <f t="shared" si="1"/>
        <v>1</v>
      </c>
      <c r="C687" s="67" t="s">
        <v>1526</v>
      </c>
      <c r="D687" s="78" t="s">
        <v>196</v>
      </c>
      <c r="E687" s="101" t="s">
        <v>14</v>
      </c>
      <c r="F687" s="108" t="s">
        <v>134</v>
      </c>
      <c r="G687" s="104" t="s">
        <v>1612</v>
      </c>
      <c r="H687" s="112" t="s">
        <v>1613</v>
      </c>
      <c r="I687" s="106" t="s">
        <v>18</v>
      </c>
      <c r="J687" s="104" t="s">
        <v>1614</v>
      </c>
      <c r="L687" s="80" t="str">
        <f t="shared" si="2"/>
        <v>No infirmation</v>
      </c>
      <c r="M687" s="80" t="str">
        <f t="shared" si="3"/>
        <v>20260107_snorkel_batch003_step_tasks__hotel_search__23</v>
      </c>
    </row>
    <row r="688" ht="15.75" customHeight="1">
      <c r="B688" s="77">
        <f t="shared" si="1"/>
        <v>1</v>
      </c>
      <c r="C688" s="67" t="s">
        <v>1526</v>
      </c>
      <c r="D688" s="78" t="s">
        <v>196</v>
      </c>
      <c r="E688" s="101" t="s">
        <v>14</v>
      </c>
      <c r="F688" s="108" t="s">
        <v>134</v>
      </c>
      <c r="G688" s="104" t="s">
        <v>1615</v>
      </c>
      <c r="H688" s="112" t="s">
        <v>1616</v>
      </c>
      <c r="I688" s="106" t="s">
        <v>18</v>
      </c>
      <c r="J688" s="104" t="s">
        <v>1617</v>
      </c>
      <c r="L688" s="80" t="str">
        <f t="shared" si="2"/>
        <v>No infirmation</v>
      </c>
      <c r="M688" s="80" t="str">
        <f t="shared" si="3"/>
        <v>20260107_snorkel_batch003_step_tasks__food_recipes__29</v>
      </c>
    </row>
    <row r="689" ht="15.75" customHeight="1">
      <c r="B689" s="77">
        <f t="shared" si="1"/>
        <v>1</v>
      </c>
      <c r="C689" s="67" t="s">
        <v>1526</v>
      </c>
      <c r="D689" s="78" t="s">
        <v>196</v>
      </c>
      <c r="E689" s="101" t="s">
        <v>14</v>
      </c>
      <c r="F689" s="108" t="s">
        <v>134</v>
      </c>
      <c r="G689" s="104" t="s">
        <v>1618</v>
      </c>
      <c r="H689" s="111" t="s">
        <v>1619</v>
      </c>
      <c r="I689" s="106" t="s">
        <v>18</v>
      </c>
      <c r="J689" s="104" t="s">
        <v>1620</v>
      </c>
      <c r="L689" s="80" t="str">
        <f t="shared" si="2"/>
        <v>No infirmation</v>
      </c>
      <c r="M689" s="80" t="str">
        <f t="shared" si="3"/>
        <v>20260107_snorkel_batch003_step_tasks__food_recipes__20</v>
      </c>
    </row>
    <row r="690" ht="15.75" customHeight="1">
      <c r="B690" s="77">
        <f t="shared" si="1"/>
        <v>1</v>
      </c>
      <c r="C690" s="67" t="s">
        <v>1526</v>
      </c>
      <c r="D690" s="78" t="s">
        <v>196</v>
      </c>
      <c r="E690" s="101" t="s">
        <v>14</v>
      </c>
      <c r="F690" s="108" t="s">
        <v>134</v>
      </c>
      <c r="G690" s="104" t="s">
        <v>1621</v>
      </c>
      <c r="H690" s="112" t="s">
        <v>1622</v>
      </c>
      <c r="I690" s="106" t="s">
        <v>18</v>
      </c>
      <c r="J690" s="104" t="s">
        <v>1623</v>
      </c>
      <c r="L690" s="80" t="str">
        <f t="shared" si="2"/>
        <v>No infirmation</v>
      </c>
      <c r="M690" s="80" t="str">
        <f t="shared" si="3"/>
        <v>20260107_snorkel_batch003_step_tasks__career_company_research__5</v>
      </c>
    </row>
    <row r="691" ht="15.75" customHeight="1">
      <c r="B691" s="77">
        <f t="shared" si="1"/>
        <v>1</v>
      </c>
      <c r="C691" s="67" t="s">
        <v>1526</v>
      </c>
      <c r="D691" s="78" t="s">
        <v>196</v>
      </c>
      <c r="E691" s="101" t="s">
        <v>14</v>
      </c>
      <c r="F691" s="108" t="s">
        <v>134</v>
      </c>
      <c r="G691" s="104" t="s">
        <v>1624</v>
      </c>
      <c r="H691" s="112" t="s">
        <v>1625</v>
      </c>
      <c r="I691" s="106" t="s">
        <v>18</v>
      </c>
      <c r="J691" s="95"/>
      <c r="L691" s="80" t="str">
        <f t="shared" si="2"/>
        <v>No infirmation</v>
      </c>
      <c r="M691" s="80" t="str">
        <f t="shared" si="3"/>
        <v>20251219_snorkel_batch003__llm_navqa_webvoyager_websites__138</v>
      </c>
    </row>
    <row r="692" ht="15.75" customHeight="1">
      <c r="B692" s="77">
        <f t="shared" si="1"/>
        <v>1</v>
      </c>
      <c r="C692" s="67" t="s">
        <v>1526</v>
      </c>
      <c r="D692" s="78" t="s">
        <v>196</v>
      </c>
      <c r="E692" s="101" t="s">
        <v>14</v>
      </c>
      <c r="F692" s="108" t="s">
        <v>134</v>
      </c>
      <c r="G692" s="104" t="s">
        <v>1626</v>
      </c>
      <c r="H692" s="111" t="s">
        <v>1627</v>
      </c>
      <c r="I692" s="106" t="s">
        <v>18</v>
      </c>
      <c r="J692" s="95"/>
      <c r="L692" s="80" t="str">
        <f t="shared" si="2"/>
        <v>No infirmation</v>
      </c>
      <c r="M692" s="80" t="str">
        <f t="shared" si="3"/>
        <v>20260107_snorkel_batch001_step_tasks__maps_directions__3</v>
      </c>
    </row>
    <row r="693" ht="15.75" customHeight="1">
      <c r="B693" s="77">
        <f t="shared" si="1"/>
        <v>1</v>
      </c>
      <c r="C693" s="67" t="s">
        <v>1526</v>
      </c>
      <c r="D693" s="78" t="s">
        <v>196</v>
      </c>
      <c r="E693" s="101" t="s">
        <v>14</v>
      </c>
      <c r="F693" s="108" t="s">
        <v>134</v>
      </c>
      <c r="G693" s="113" t="s">
        <v>1628</v>
      </c>
      <c r="H693" s="114" t="s">
        <v>1629</v>
      </c>
      <c r="I693" s="115" t="s">
        <v>18</v>
      </c>
      <c r="J693" s="113" t="s">
        <v>1630</v>
      </c>
      <c r="L693" s="80" t="str">
        <f t="shared" si="2"/>
        <v>No infirmation</v>
      </c>
      <c r="M693" s="80" t="str">
        <f t="shared" si="3"/>
        <v>20251126_snorkel_batch020__llm_step_popular_websites__1</v>
      </c>
    </row>
    <row r="694" ht="15.75" customHeight="1">
      <c r="B694" s="77">
        <f t="shared" si="1"/>
        <v>1</v>
      </c>
      <c r="C694" s="67" t="s">
        <v>197</v>
      </c>
      <c r="D694" s="78" t="s">
        <v>198</v>
      </c>
      <c r="E694" s="101" t="s">
        <v>14</v>
      </c>
      <c r="F694" s="108" t="s">
        <v>134</v>
      </c>
      <c r="G694" s="93" t="s">
        <v>1631</v>
      </c>
      <c r="H694" s="92" t="s">
        <v>1632</v>
      </c>
      <c r="I694" s="93" t="s">
        <v>18</v>
      </c>
      <c r="J694" s="91"/>
      <c r="L694" s="80" t="str">
        <f t="shared" si="2"/>
        <v>No infirmation</v>
      </c>
      <c r="M694" s="80" t="str">
        <f t="shared" si="3"/>
        <v>20251210_snorkel_batch001__llm_step_webvoyager_websites__48</v>
      </c>
    </row>
    <row r="695" ht="15.75" customHeight="1">
      <c r="B695" s="77">
        <f t="shared" si="1"/>
        <v>1</v>
      </c>
      <c r="C695" s="67" t="s">
        <v>197</v>
      </c>
      <c r="D695" s="78" t="s">
        <v>198</v>
      </c>
      <c r="E695" s="101" t="s">
        <v>14</v>
      </c>
      <c r="F695" s="108" t="s">
        <v>134</v>
      </c>
      <c r="G695" s="91" t="s">
        <v>1633</v>
      </c>
      <c r="H695" s="92" t="s">
        <v>1634</v>
      </c>
      <c r="I695" s="93" t="s">
        <v>18</v>
      </c>
      <c r="J695" s="91" t="s">
        <v>1635</v>
      </c>
      <c r="L695" s="80" t="str">
        <f t="shared" si="2"/>
        <v>No infirmation</v>
      </c>
      <c r="M695" s="80" t="str">
        <f t="shared" si="3"/>
        <v>20251210_snorkel_batch001__llm_step_onlinemind2web_websites__146</v>
      </c>
    </row>
    <row r="696" ht="15.75" customHeight="1">
      <c r="B696" s="77">
        <f t="shared" si="1"/>
        <v>1</v>
      </c>
      <c r="C696" s="67" t="s">
        <v>197</v>
      </c>
      <c r="D696" s="78" t="s">
        <v>198</v>
      </c>
      <c r="E696" s="101" t="s">
        <v>14</v>
      </c>
      <c r="F696" s="108" t="s">
        <v>134</v>
      </c>
      <c r="G696" s="91" t="s">
        <v>1636</v>
      </c>
      <c r="H696" s="92" t="s">
        <v>1637</v>
      </c>
      <c r="I696" s="93" t="s">
        <v>18</v>
      </c>
      <c r="J696" s="91"/>
      <c r="L696" s="80" t="str">
        <f t="shared" si="2"/>
        <v>No infirmation</v>
      </c>
      <c r="M696" s="80" t="str">
        <f t="shared" si="3"/>
        <v>20251126_snorkel_batch012__llm_step_onlinemind2web_websites__130</v>
      </c>
    </row>
    <row r="697" ht="15.75" customHeight="1">
      <c r="B697" s="77">
        <f t="shared" si="1"/>
        <v>1</v>
      </c>
      <c r="C697" s="67" t="s">
        <v>197</v>
      </c>
      <c r="D697" s="78" t="s">
        <v>198</v>
      </c>
      <c r="E697" s="101" t="s">
        <v>14</v>
      </c>
      <c r="F697" s="108" t="s">
        <v>134</v>
      </c>
      <c r="G697" s="91" t="s">
        <v>1638</v>
      </c>
      <c r="H697" s="92" t="s">
        <v>1639</v>
      </c>
      <c r="I697" s="93" t="s">
        <v>18</v>
      </c>
      <c r="J697" s="91"/>
      <c r="L697" s="80" t="str">
        <f t="shared" si="2"/>
        <v>No infirmation</v>
      </c>
      <c r="M697" s="80" t="str">
        <f t="shared" si="3"/>
        <v>20260107_snorkel_batch002_step_tasks__maps_nearby__11</v>
      </c>
    </row>
    <row r="698" ht="15.75" customHeight="1">
      <c r="B698" s="77">
        <f t="shared" si="1"/>
        <v>1</v>
      </c>
      <c r="C698" s="67" t="s">
        <v>197</v>
      </c>
      <c r="D698" s="78" t="s">
        <v>198</v>
      </c>
      <c r="E698" s="101" t="s">
        <v>14</v>
      </c>
      <c r="F698" s="108" t="s">
        <v>134</v>
      </c>
      <c r="G698" s="91" t="s">
        <v>1640</v>
      </c>
      <c r="H698" s="92" t="s">
        <v>1641</v>
      </c>
      <c r="I698" s="93" t="s">
        <v>18</v>
      </c>
      <c r="J698" s="91" t="s">
        <v>1642</v>
      </c>
      <c r="L698" s="80" t="str">
        <f t="shared" si="2"/>
        <v>No infirmation</v>
      </c>
      <c r="M698" s="80" t="str">
        <f t="shared" si="3"/>
        <v>20251126_snorkel_batch012__llm_step_webvoyager_websites__42</v>
      </c>
    </row>
    <row r="699" ht="15.75" customHeight="1">
      <c r="B699" s="77">
        <f t="shared" si="1"/>
        <v>1</v>
      </c>
      <c r="C699" s="67" t="s">
        <v>197</v>
      </c>
      <c r="D699" s="78" t="s">
        <v>198</v>
      </c>
      <c r="E699" s="101" t="s">
        <v>14</v>
      </c>
      <c r="F699" s="108" t="s">
        <v>134</v>
      </c>
      <c r="G699" s="91" t="s">
        <v>1643</v>
      </c>
      <c r="H699" s="92" t="s">
        <v>1644</v>
      </c>
      <c r="I699" s="93" t="s">
        <v>18</v>
      </c>
      <c r="J699" s="91"/>
      <c r="L699" s="80" t="str">
        <f t="shared" si="2"/>
        <v>No infirmation</v>
      </c>
      <c r="M699" s="80" t="str">
        <f t="shared" si="3"/>
        <v>20251126_snorkel_batch013__llm_step_onlinemind2web_websites__161</v>
      </c>
    </row>
    <row r="700" ht="15.75" customHeight="1">
      <c r="B700" s="77">
        <f t="shared" si="1"/>
        <v>1</v>
      </c>
      <c r="C700" s="67" t="s">
        <v>197</v>
      </c>
      <c r="D700" s="78" t="s">
        <v>198</v>
      </c>
      <c r="E700" s="101" t="s">
        <v>14</v>
      </c>
      <c r="F700" s="108" t="s">
        <v>134</v>
      </c>
      <c r="G700" s="91" t="s">
        <v>1645</v>
      </c>
      <c r="H700" s="92" t="s">
        <v>1646</v>
      </c>
      <c r="I700" s="93" t="s">
        <v>18</v>
      </c>
      <c r="J700" s="91" t="s">
        <v>1647</v>
      </c>
      <c r="L700" s="80" t="str">
        <f t="shared" si="2"/>
        <v>No infirmation</v>
      </c>
      <c r="M700" s="80" t="str">
        <f t="shared" si="3"/>
        <v>20251219_snorkel_batch009__llm_navqa_onlinemind2web_websites__136</v>
      </c>
    </row>
    <row r="701" ht="15.75" customHeight="1">
      <c r="B701" s="77">
        <f t="shared" si="1"/>
        <v>1</v>
      </c>
      <c r="C701" s="67" t="s">
        <v>197</v>
      </c>
      <c r="D701" s="78" t="s">
        <v>198</v>
      </c>
      <c r="E701" s="101" t="s">
        <v>14</v>
      </c>
      <c r="F701" s="108" t="s">
        <v>134</v>
      </c>
      <c r="G701" s="91" t="s">
        <v>1648</v>
      </c>
      <c r="H701" s="92" t="s">
        <v>1649</v>
      </c>
      <c r="I701" s="93" t="s">
        <v>18</v>
      </c>
      <c r="J701" s="91"/>
      <c r="L701" s="80" t="str">
        <f t="shared" si="2"/>
        <v>No infirmation</v>
      </c>
      <c r="M701" s="80" t="str">
        <f t="shared" si="3"/>
        <v>20251121_snorkel_batch003__webvoyager_like__302</v>
      </c>
    </row>
    <row r="702" ht="15.75" customHeight="1">
      <c r="B702" s="77">
        <f t="shared" si="1"/>
        <v>1</v>
      </c>
      <c r="C702" s="67" t="s">
        <v>197</v>
      </c>
      <c r="D702" s="78" t="s">
        <v>198</v>
      </c>
      <c r="E702" s="101" t="s">
        <v>14</v>
      </c>
      <c r="F702" s="108" t="s">
        <v>134</v>
      </c>
      <c r="G702" s="91" t="s">
        <v>1650</v>
      </c>
      <c r="H702" s="92" t="s">
        <v>1651</v>
      </c>
      <c r="I702" s="93" t="s">
        <v>18</v>
      </c>
      <c r="J702" s="91" t="s">
        <v>1652</v>
      </c>
      <c r="L702" s="80" t="str">
        <f t="shared" si="2"/>
        <v>No infirmation</v>
      </c>
      <c r="M702" s="80" t="str">
        <f t="shared" si="3"/>
        <v>20251126_snorkel_batch014__llm_step_popular_websites__9</v>
      </c>
    </row>
    <row r="703" ht="15.75" customHeight="1">
      <c r="B703" s="77">
        <f t="shared" si="1"/>
        <v>1</v>
      </c>
      <c r="C703" s="67" t="s">
        <v>197</v>
      </c>
      <c r="D703" s="78" t="s">
        <v>198</v>
      </c>
      <c r="E703" s="101" t="s">
        <v>14</v>
      </c>
      <c r="F703" s="108" t="s">
        <v>134</v>
      </c>
      <c r="G703" s="91" t="s">
        <v>1653</v>
      </c>
      <c r="H703" s="92" t="s">
        <v>1654</v>
      </c>
      <c r="I703" s="93" t="s">
        <v>18</v>
      </c>
      <c r="J703" s="91" t="s">
        <v>1655</v>
      </c>
      <c r="L703" s="80" t="str">
        <f t="shared" si="2"/>
        <v>No infirmation</v>
      </c>
      <c r="M703" s="80" t="str">
        <f t="shared" si="3"/>
        <v>20251126_snorkel_batch015__llm_step_onlinemind2web_websites__39</v>
      </c>
    </row>
    <row r="704" ht="15.75" customHeight="1">
      <c r="B704" s="77">
        <f t="shared" si="1"/>
        <v>1</v>
      </c>
      <c r="C704" s="67" t="s">
        <v>201</v>
      </c>
      <c r="D704" s="78" t="s">
        <v>202</v>
      </c>
      <c r="E704" s="101" t="s">
        <v>14</v>
      </c>
      <c r="F704" s="108" t="s">
        <v>134</v>
      </c>
      <c r="G704" s="84" t="s">
        <v>1656</v>
      </c>
      <c r="H704" s="85" t="s">
        <v>1657</v>
      </c>
      <c r="I704" s="84" t="s">
        <v>18</v>
      </c>
      <c r="J704" s="84" t="s">
        <v>1658</v>
      </c>
      <c r="L704" s="80" t="str">
        <f t="shared" si="2"/>
        <v>No infirmation</v>
      </c>
      <c r="M704" s="80" t="str">
        <f t="shared" si="3"/>
        <v>20251126_snorkel_batch013__llm_step_popular_websites__98</v>
      </c>
    </row>
    <row r="705" ht="15.75" customHeight="1">
      <c r="B705" s="77">
        <f t="shared" si="1"/>
        <v>1</v>
      </c>
      <c r="C705" s="67" t="s">
        <v>201</v>
      </c>
      <c r="D705" s="78" t="s">
        <v>202</v>
      </c>
      <c r="E705" s="101" t="s">
        <v>14</v>
      </c>
      <c r="F705" s="108" t="s">
        <v>134</v>
      </c>
      <c r="G705" s="86" t="s">
        <v>1659</v>
      </c>
      <c r="H705" s="85" t="s">
        <v>1660</v>
      </c>
      <c r="I705" s="84" t="s">
        <v>18</v>
      </c>
      <c r="J705" s="86" t="s">
        <v>1661</v>
      </c>
      <c r="L705" s="80" t="str">
        <f t="shared" si="2"/>
        <v>No infirmation</v>
      </c>
      <c r="M705" s="80" t="str">
        <f t="shared" si="3"/>
        <v>20251126_snorkel_batch014__llm_step_popular_websites__37</v>
      </c>
    </row>
    <row r="706" ht="15.75" customHeight="1">
      <c r="B706" s="77">
        <f t="shared" si="1"/>
        <v>1</v>
      </c>
      <c r="C706" s="67" t="s">
        <v>201</v>
      </c>
      <c r="D706" s="78" t="s">
        <v>202</v>
      </c>
      <c r="E706" s="101" t="s">
        <v>14</v>
      </c>
      <c r="F706" s="108" t="s">
        <v>134</v>
      </c>
      <c r="G706" s="84" t="s">
        <v>1662</v>
      </c>
      <c r="H706" s="87" t="s">
        <v>1663</v>
      </c>
      <c r="I706" s="84" t="s">
        <v>18</v>
      </c>
      <c r="J706" s="84" t="s">
        <v>1664</v>
      </c>
      <c r="L706" s="80" t="str">
        <f t="shared" si="2"/>
        <v>No infirmation</v>
      </c>
      <c r="M706" s="80" t="str">
        <f t="shared" si="3"/>
        <v>20251126_snorkel_batch014__llm_step_popular_websites__143</v>
      </c>
    </row>
    <row r="707" ht="15.75" customHeight="1">
      <c r="B707" s="77">
        <f t="shared" si="1"/>
        <v>1</v>
      </c>
      <c r="C707" s="67" t="s">
        <v>201</v>
      </c>
      <c r="D707" s="78" t="s">
        <v>202</v>
      </c>
      <c r="E707" s="101" t="s">
        <v>14</v>
      </c>
      <c r="F707" s="108" t="s">
        <v>134</v>
      </c>
      <c r="G707" s="84" t="s">
        <v>1665</v>
      </c>
      <c r="H707" s="85" t="s">
        <v>1666</v>
      </c>
      <c r="I707" s="84" t="s">
        <v>18</v>
      </c>
      <c r="J707" s="84" t="s">
        <v>1667</v>
      </c>
      <c r="L707" s="80" t="str">
        <f t="shared" si="2"/>
        <v>No infirmation</v>
      </c>
      <c r="M707" s="80" t="str">
        <f t="shared" si="3"/>
        <v>20251126_snorkel_batch014__llm_step_popular_websites__143</v>
      </c>
    </row>
    <row r="708" ht="15.75" customHeight="1">
      <c r="B708" s="77">
        <f t="shared" si="1"/>
        <v>1</v>
      </c>
      <c r="C708" s="67" t="s">
        <v>201</v>
      </c>
      <c r="D708" s="78" t="s">
        <v>202</v>
      </c>
      <c r="E708" s="101" t="s">
        <v>14</v>
      </c>
      <c r="F708" s="108" t="s">
        <v>134</v>
      </c>
      <c r="G708" s="84" t="s">
        <v>1668</v>
      </c>
      <c r="H708" s="85" t="s">
        <v>1669</v>
      </c>
      <c r="I708" s="84" t="s">
        <v>18</v>
      </c>
      <c r="J708" s="86" t="s">
        <v>1670</v>
      </c>
      <c r="L708" s="80" t="str">
        <f t="shared" si="2"/>
        <v>No infirmation</v>
      </c>
      <c r="M708" s="80" t="str">
        <f t="shared" si="3"/>
        <v>20251126_snorkel_batch013__llm_step_popular_websites__156</v>
      </c>
    </row>
    <row r="709" ht="15.75" customHeight="1">
      <c r="B709" s="77">
        <f t="shared" si="1"/>
        <v>1</v>
      </c>
      <c r="C709" s="67" t="s">
        <v>1671</v>
      </c>
      <c r="D709" s="78" t="s">
        <v>202</v>
      </c>
      <c r="E709" s="101" t="s">
        <v>14</v>
      </c>
      <c r="F709" s="108" t="s">
        <v>134</v>
      </c>
      <c r="G709" s="86" t="s">
        <v>1672</v>
      </c>
      <c r="H709" s="90" t="s">
        <v>1673</v>
      </c>
      <c r="I709" s="84" t="s">
        <v>18</v>
      </c>
      <c r="J709" s="84" t="s">
        <v>1674</v>
      </c>
      <c r="L709" s="80" t="str">
        <f t="shared" si="2"/>
        <v>No infirmation</v>
      </c>
      <c r="M709" s="80" t="str">
        <f t="shared" si="3"/>
        <v>20260107_snorkel_batch003_step_tasks__car_rental_search__23</v>
      </c>
    </row>
    <row r="710" ht="15.75" customHeight="1">
      <c r="B710" s="77">
        <f t="shared" si="1"/>
        <v>1</v>
      </c>
      <c r="C710" s="67" t="s">
        <v>1671</v>
      </c>
      <c r="D710" s="78" t="s">
        <v>202</v>
      </c>
      <c r="E710" s="101" t="s">
        <v>14</v>
      </c>
      <c r="F710" s="108" t="s">
        <v>134</v>
      </c>
      <c r="G710" s="86" t="s">
        <v>1675</v>
      </c>
      <c r="H710" s="90" t="s">
        <v>1676</v>
      </c>
      <c r="I710" s="84" t="s">
        <v>18</v>
      </c>
      <c r="J710" s="86" t="s">
        <v>1674</v>
      </c>
      <c r="L710" s="80" t="str">
        <f t="shared" si="2"/>
        <v>No infirmation</v>
      </c>
      <c r="M710" s="80" t="str">
        <f t="shared" si="3"/>
        <v>20251210_snorkel_batch001__llm_step_popular_websites__27</v>
      </c>
    </row>
    <row r="711" ht="15.75" customHeight="1">
      <c r="B711" s="77">
        <f t="shared" si="1"/>
        <v>1</v>
      </c>
      <c r="C711" s="67" t="s">
        <v>1671</v>
      </c>
      <c r="D711" s="78" t="s">
        <v>202</v>
      </c>
      <c r="E711" s="101" t="s">
        <v>14</v>
      </c>
      <c r="F711" s="108" t="s">
        <v>134</v>
      </c>
      <c r="G711" s="86" t="s">
        <v>1677</v>
      </c>
      <c r="H711" s="90" t="s">
        <v>1678</v>
      </c>
      <c r="I711" s="84" t="s">
        <v>18</v>
      </c>
      <c r="J711" s="86" t="s">
        <v>1679</v>
      </c>
      <c r="L711" s="80" t="str">
        <f t="shared" si="2"/>
        <v>No infirmation</v>
      </c>
      <c r="M711" s="80" t="str">
        <f t="shared" si="3"/>
        <v>20251210_snorkel_batch002__llm_step_popular_websites__70</v>
      </c>
    </row>
    <row r="712" ht="15.75" customHeight="1">
      <c r="B712" s="77">
        <f t="shared" si="1"/>
        <v>1</v>
      </c>
      <c r="C712" s="67" t="s">
        <v>1671</v>
      </c>
      <c r="D712" s="78" t="s">
        <v>202</v>
      </c>
      <c r="E712" s="101" t="s">
        <v>14</v>
      </c>
      <c r="F712" s="108" t="s">
        <v>134</v>
      </c>
      <c r="G712" s="86" t="s">
        <v>1680</v>
      </c>
      <c r="H712" s="90" t="s">
        <v>1681</v>
      </c>
      <c r="I712" s="84" t="s">
        <v>18</v>
      </c>
      <c r="J712" s="86"/>
      <c r="L712" s="80" t="str">
        <f t="shared" si="2"/>
        <v>No infirmation</v>
      </c>
      <c r="M712" s="80" t="str">
        <f t="shared" si="3"/>
        <v>20251210_snorkel_batch001__llm_step_webvoyager_websites__75</v>
      </c>
    </row>
    <row r="713" ht="15.75" customHeight="1">
      <c r="B713" s="77">
        <f t="shared" si="1"/>
        <v>1</v>
      </c>
      <c r="C713" s="67" t="s">
        <v>1671</v>
      </c>
      <c r="D713" s="78" t="s">
        <v>202</v>
      </c>
      <c r="E713" s="101" t="s">
        <v>14</v>
      </c>
      <c r="F713" s="108" t="s">
        <v>134</v>
      </c>
      <c r="G713" s="86" t="s">
        <v>1682</v>
      </c>
      <c r="H713" s="90" t="s">
        <v>1683</v>
      </c>
      <c r="I713" s="84" t="s">
        <v>18</v>
      </c>
      <c r="J713" s="86" t="s">
        <v>1684</v>
      </c>
      <c r="L713" s="80" t="str">
        <f t="shared" si="2"/>
        <v>No infirmation</v>
      </c>
      <c r="M713" s="80" t="str">
        <f t="shared" si="3"/>
        <v>20251126_snorkel_batch016__llm_step_popular_websites__90</v>
      </c>
    </row>
    <row r="714" ht="15.75" customHeight="1">
      <c r="B714" s="77">
        <f t="shared" si="1"/>
        <v>1</v>
      </c>
      <c r="C714" s="67" t="s">
        <v>1671</v>
      </c>
      <c r="D714" s="78" t="s">
        <v>202</v>
      </c>
      <c r="E714" s="101" t="s">
        <v>14</v>
      </c>
      <c r="F714" s="108" t="s">
        <v>134</v>
      </c>
      <c r="G714" s="86" t="s">
        <v>1685</v>
      </c>
      <c r="H714" s="90" t="s">
        <v>1686</v>
      </c>
      <c r="I714" s="84" t="s">
        <v>18</v>
      </c>
      <c r="J714" s="86"/>
      <c r="L714" s="80" t="str">
        <f t="shared" si="2"/>
        <v>No infirmation</v>
      </c>
      <c r="M714" s="80" t="str">
        <f t="shared" si="3"/>
        <v>20251210_snorkel_batch002__llm_step_onlinemind2web_websites__40</v>
      </c>
    </row>
    <row r="715" ht="15.75" customHeight="1">
      <c r="B715" s="77">
        <f t="shared" si="1"/>
        <v>1</v>
      </c>
      <c r="C715" s="67" t="s">
        <v>1671</v>
      </c>
      <c r="D715" s="78" t="s">
        <v>202</v>
      </c>
      <c r="E715" s="101" t="s">
        <v>14</v>
      </c>
      <c r="F715" s="108" t="s">
        <v>134</v>
      </c>
      <c r="G715" s="86" t="s">
        <v>1687</v>
      </c>
      <c r="H715" s="90" t="s">
        <v>1688</v>
      </c>
      <c r="I715" s="84" t="s">
        <v>18</v>
      </c>
      <c r="J715" s="86" t="s">
        <v>1689</v>
      </c>
      <c r="L715" s="80" t="str">
        <f t="shared" si="2"/>
        <v>No infirmation</v>
      </c>
      <c r="M715" s="80" t="str">
        <f t="shared" si="3"/>
        <v>20251210_snorkel_batch001__llm_step_popular_websites__112</v>
      </c>
    </row>
    <row r="716" ht="15.75" customHeight="1">
      <c r="B716" s="77">
        <f t="shared" si="1"/>
        <v>1</v>
      </c>
      <c r="C716" s="67" t="s">
        <v>1671</v>
      </c>
      <c r="D716" s="78" t="s">
        <v>202</v>
      </c>
      <c r="E716" s="101" t="s">
        <v>14</v>
      </c>
      <c r="F716" s="108" t="s">
        <v>134</v>
      </c>
      <c r="G716" s="86" t="s">
        <v>1690</v>
      </c>
      <c r="H716" s="90" t="s">
        <v>1691</v>
      </c>
      <c r="I716" s="84" t="s">
        <v>18</v>
      </c>
      <c r="J716" s="86" t="s">
        <v>1692</v>
      </c>
      <c r="L716" s="80" t="str">
        <f t="shared" si="2"/>
        <v>No infirmation</v>
      </c>
      <c r="M716" s="80" t="str">
        <f t="shared" si="3"/>
        <v>20251126_snorkel_batch011__llm_step_onlinemind2web_websites__113</v>
      </c>
    </row>
    <row r="717" ht="15.75" customHeight="1">
      <c r="B717" s="77">
        <f t="shared" si="1"/>
        <v>1</v>
      </c>
      <c r="C717" s="67" t="s">
        <v>1671</v>
      </c>
      <c r="D717" s="78" t="s">
        <v>202</v>
      </c>
      <c r="E717" s="101" t="s">
        <v>14</v>
      </c>
      <c r="F717" s="108" t="s">
        <v>134</v>
      </c>
      <c r="G717" s="86" t="s">
        <v>1693</v>
      </c>
      <c r="H717" s="90" t="s">
        <v>1694</v>
      </c>
      <c r="I717" s="84" t="s">
        <v>18</v>
      </c>
      <c r="J717" s="86"/>
      <c r="L717" s="80" t="str">
        <f t="shared" si="2"/>
        <v>No infirmation</v>
      </c>
      <c r="M717" s="80" t="str">
        <f t="shared" si="3"/>
        <v>20251126_snorkel_batch012__llm_step_webvoyager_websites__93</v>
      </c>
    </row>
    <row r="718" ht="15.75" customHeight="1">
      <c r="B718" s="77">
        <f t="shared" si="1"/>
        <v>1</v>
      </c>
      <c r="C718" s="67" t="s">
        <v>1671</v>
      </c>
      <c r="D718" s="78" t="s">
        <v>202</v>
      </c>
      <c r="E718" s="101" t="s">
        <v>14</v>
      </c>
      <c r="F718" s="108" t="s">
        <v>134</v>
      </c>
      <c r="G718" s="86" t="s">
        <v>1695</v>
      </c>
      <c r="H718" s="90" t="s">
        <v>1696</v>
      </c>
      <c r="I718" s="84" t="s">
        <v>18</v>
      </c>
      <c r="J718" s="86"/>
      <c r="L718" s="80" t="str">
        <f t="shared" si="2"/>
        <v>No infirmation</v>
      </c>
      <c r="M718" s="80" t="str">
        <f t="shared" si="3"/>
        <v>20260107_snorkel_batch002_step_tasks__real_estate_search_and_filter__17</v>
      </c>
    </row>
    <row r="719" ht="15.75" customHeight="1">
      <c r="B719" s="77">
        <f t="shared" si="1"/>
        <v>1</v>
      </c>
      <c r="C719" s="67" t="s">
        <v>199</v>
      </c>
      <c r="D719" s="78" t="s">
        <v>200</v>
      </c>
      <c r="E719" s="78" t="s">
        <v>14</v>
      </c>
      <c r="F719" s="108" t="s">
        <v>138</v>
      </c>
      <c r="G719" s="67" t="s">
        <v>1697</v>
      </c>
      <c r="H719" s="83" t="s">
        <v>1698</v>
      </c>
      <c r="I719" s="98" t="s">
        <v>18</v>
      </c>
      <c r="J719" s="67" t="s">
        <v>1699</v>
      </c>
      <c r="L719" s="94" t="str">
        <f t="shared" si="2"/>
        <v>No infirmation</v>
      </c>
      <c r="M719" s="94" t="str">
        <f t="shared" si="3"/>
        <v>20260107_snorkel_batch003_step_tasks__car_rental_search__48</v>
      </c>
    </row>
    <row r="720" ht="15.75" customHeight="1">
      <c r="B720" s="77">
        <f t="shared" si="1"/>
        <v>1</v>
      </c>
      <c r="C720" s="67" t="s">
        <v>199</v>
      </c>
      <c r="D720" s="78" t="s">
        <v>200</v>
      </c>
      <c r="E720" s="78" t="s">
        <v>14</v>
      </c>
      <c r="F720" s="108" t="s">
        <v>138</v>
      </c>
      <c r="G720" s="67" t="s">
        <v>1700</v>
      </c>
      <c r="H720" s="83" t="s">
        <v>1701</v>
      </c>
      <c r="I720" s="98" t="s">
        <v>18</v>
      </c>
      <c r="J720" s="67" t="s">
        <v>1702</v>
      </c>
      <c r="L720" s="94" t="str">
        <f t="shared" si="2"/>
        <v>No infirmation</v>
      </c>
      <c r="M720" s="94" t="str">
        <f t="shared" si="3"/>
        <v>20260113_snorkel_batch007_procedural__find_videos__103</v>
      </c>
    </row>
    <row r="721" ht="15.75" customHeight="1">
      <c r="B721" s="77">
        <f t="shared" si="1"/>
        <v>1</v>
      </c>
      <c r="C721" s="67" t="s">
        <v>199</v>
      </c>
      <c r="D721" s="78" t="s">
        <v>200</v>
      </c>
      <c r="E721" s="78" t="s">
        <v>14</v>
      </c>
      <c r="F721" s="108" t="s">
        <v>138</v>
      </c>
      <c r="G721" s="67" t="s">
        <v>1703</v>
      </c>
      <c r="H721" s="83" t="s">
        <v>1704</v>
      </c>
      <c r="I721" s="98" t="s">
        <v>18</v>
      </c>
      <c r="J721" s="67" t="s">
        <v>1705</v>
      </c>
      <c r="L721" s="94" t="str">
        <f t="shared" si="2"/>
        <v>No infirmation</v>
      </c>
      <c r="M721" s="94" t="str">
        <f t="shared" si="3"/>
        <v>20251126_snorkel_batch018__llm_step_webvoyager_websites__81</v>
      </c>
    </row>
    <row r="722" ht="15.75" customHeight="1">
      <c r="B722" s="77">
        <f t="shared" si="1"/>
        <v>1</v>
      </c>
      <c r="C722" s="67" t="s">
        <v>199</v>
      </c>
      <c r="D722" s="78" t="s">
        <v>200</v>
      </c>
      <c r="E722" s="78" t="s">
        <v>14</v>
      </c>
      <c r="F722" s="108" t="s">
        <v>138</v>
      </c>
      <c r="G722" s="67" t="s">
        <v>1706</v>
      </c>
      <c r="H722" s="83" t="s">
        <v>1707</v>
      </c>
      <c r="I722" s="98" t="s">
        <v>18</v>
      </c>
      <c r="J722" s="67" t="s">
        <v>1708</v>
      </c>
      <c r="L722" s="94" t="str">
        <f t="shared" si="2"/>
        <v>No infirmation</v>
      </c>
      <c r="M722" s="94" t="str">
        <f t="shared" si="3"/>
        <v>20251210_snorkel_batch002__llm_step_popular_websites__28</v>
      </c>
    </row>
    <row r="723" ht="15.75" customHeight="1">
      <c r="B723" s="77">
        <f t="shared" si="1"/>
        <v>1</v>
      </c>
      <c r="C723" s="67" t="s">
        <v>199</v>
      </c>
      <c r="D723" s="78" t="s">
        <v>200</v>
      </c>
      <c r="E723" s="78" t="s">
        <v>14</v>
      </c>
      <c r="F723" s="108" t="s">
        <v>138</v>
      </c>
      <c r="G723" s="67" t="s">
        <v>1709</v>
      </c>
      <c r="H723" s="83" t="s">
        <v>1710</v>
      </c>
      <c r="I723" s="98" t="s">
        <v>18</v>
      </c>
      <c r="L723" s="94" t="str">
        <f t="shared" si="2"/>
        <v>No infirmation</v>
      </c>
      <c r="M723" s="94" t="str">
        <f t="shared" si="3"/>
        <v>20260113_snorkel_batch003_procedural__maps_directions_with_mode__7</v>
      </c>
    </row>
    <row r="724" ht="15.75" customHeight="1">
      <c r="B724" s="77">
        <f t="shared" si="1"/>
        <v>1</v>
      </c>
      <c r="C724" s="67" t="s">
        <v>199</v>
      </c>
      <c r="D724" s="78" t="s">
        <v>200</v>
      </c>
      <c r="E724" s="78" t="s">
        <v>14</v>
      </c>
      <c r="F724" s="108" t="s">
        <v>138</v>
      </c>
      <c r="G724" s="67" t="s">
        <v>1711</v>
      </c>
      <c r="H724" s="83" t="s">
        <v>1712</v>
      </c>
      <c r="I724" s="98" t="s">
        <v>18</v>
      </c>
      <c r="L724" s="94" t="str">
        <f t="shared" si="2"/>
        <v>No infirmation</v>
      </c>
      <c r="M724" s="94" t="str">
        <f t="shared" si="3"/>
        <v>20260113_snorkel_batch002_procedural__news_search__2</v>
      </c>
    </row>
    <row r="725" ht="15.75" customHeight="1">
      <c r="B725" s="77">
        <f t="shared" si="1"/>
        <v>1</v>
      </c>
      <c r="C725" s="67" t="s">
        <v>199</v>
      </c>
      <c r="D725" s="78" t="s">
        <v>200</v>
      </c>
      <c r="E725" s="78" t="s">
        <v>14</v>
      </c>
      <c r="F725" s="108" t="s">
        <v>138</v>
      </c>
      <c r="G725" s="67" t="s">
        <v>1713</v>
      </c>
      <c r="H725" s="83" t="s">
        <v>1714</v>
      </c>
      <c r="I725" s="98" t="s">
        <v>18</v>
      </c>
      <c r="L725" s="94" t="str">
        <f t="shared" si="2"/>
        <v>No infirmation</v>
      </c>
      <c r="M725" s="94" t="str">
        <f t="shared" si="3"/>
        <v>20251210_snorkel_batch003__llm_step_webvoyager_websites__76</v>
      </c>
    </row>
    <row r="726" ht="15.75" customHeight="1">
      <c r="B726" s="77">
        <f t="shared" si="1"/>
        <v>1</v>
      </c>
      <c r="C726" s="67" t="s">
        <v>1526</v>
      </c>
      <c r="D726" s="78" t="s">
        <v>196</v>
      </c>
      <c r="E726" s="78" t="s">
        <v>14</v>
      </c>
      <c r="F726" s="108" t="s">
        <v>138</v>
      </c>
      <c r="G726" s="113" t="s">
        <v>1715</v>
      </c>
      <c r="H726" s="114" t="s">
        <v>1716</v>
      </c>
      <c r="I726" s="115" t="s">
        <v>18</v>
      </c>
      <c r="J726" s="97"/>
      <c r="L726" s="94" t="str">
        <f t="shared" si="2"/>
        <v>No infirmation</v>
      </c>
      <c r="M726" s="94" t="str">
        <f t="shared" si="3"/>
        <v>20251210_snorkel_batch002__llm_step_webvoyager_websites__77</v>
      </c>
    </row>
    <row r="727" ht="15.75" customHeight="1">
      <c r="B727" s="77">
        <f t="shared" si="1"/>
        <v>1</v>
      </c>
      <c r="C727" s="67" t="s">
        <v>1526</v>
      </c>
      <c r="D727" s="78" t="s">
        <v>196</v>
      </c>
      <c r="E727" s="78" t="s">
        <v>14</v>
      </c>
      <c r="F727" s="108" t="s">
        <v>138</v>
      </c>
      <c r="G727" s="113" t="s">
        <v>1717</v>
      </c>
      <c r="H727" s="116" t="s">
        <v>1718</v>
      </c>
      <c r="I727" s="115" t="s">
        <v>18</v>
      </c>
      <c r="J727" s="115" t="s">
        <v>1719</v>
      </c>
      <c r="L727" s="94" t="str">
        <f t="shared" si="2"/>
        <v>No infirmation</v>
      </c>
      <c r="M727" s="94" t="str">
        <f t="shared" si="3"/>
        <v>20251210_snorkel_batch009__llm_step_webvoyager_websites__11</v>
      </c>
    </row>
    <row r="728" ht="15.75" customHeight="1">
      <c r="B728" s="77">
        <f t="shared" si="1"/>
        <v>1</v>
      </c>
      <c r="C728" s="67" t="s">
        <v>1526</v>
      </c>
      <c r="D728" s="78" t="s">
        <v>196</v>
      </c>
      <c r="E728" s="78" t="s">
        <v>14</v>
      </c>
      <c r="F728" s="108" t="s">
        <v>138</v>
      </c>
      <c r="G728" s="113" t="s">
        <v>1720</v>
      </c>
      <c r="H728" s="116" t="s">
        <v>1721</v>
      </c>
      <c r="I728" s="115" t="s">
        <v>18</v>
      </c>
      <c r="J728" s="97"/>
      <c r="L728" s="94" t="str">
        <f t="shared" si="2"/>
        <v>No infirmation</v>
      </c>
      <c r="M728" s="94" t="str">
        <f t="shared" si="3"/>
        <v>20251210_snorkel_batch009__llm_step_onlinemind2web_websites__4</v>
      </c>
    </row>
    <row r="729" ht="15.75" customHeight="1">
      <c r="B729" s="77">
        <f t="shared" si="1"/>
        <v>1</v>
      </c>
      <c r="C729" s="67" t="s">
        <v>1526</v>
      </c>
      <c r="D729" s="78" t="s">
        <v>196</v>
      </c>
      <c r="E729" s="78" t="s">
        <v>14</v>
      </c>
      <c r="F729" s="108" t="s">
        <v>138</v>
      </c>
      <c r="G729" s="113" t="s">
        <v>1722</v>
      </c>
      <c r="H729" s="116" t="s">
        <v>1723</v>
      </c>
      <c r="I729" s="115" t="s">
        <v>18</v>
      </c>
      <c r="J729" s="113" t="s">
        <v>1724</v>
      </c>
      <c r="L729" s="94" t="str">
        <f t="shared" si="2"/>
        <v>No infirmation</v>
      </c>
      <c r="M729" s="94" t="str">
        <f t="shared" si="3"/>
        <v>20251210_snorkel_batch010__llm_step_onlinemind2web_websites__56</v>
      </c>
    </row>
    <row r="730" ht="15.75" customHeight="1">
      <c r="B730" s="77">
        <f t="shared" si="1"/>
        <v>1</v>
      </c>
      <c r="C730" s="67" t="s">
        <v>1526</v>
      </c>
      <c r="D730" s="78" t="s">
        <v>196</v>
      </c>
      <c r="E730" s="78" t="s">
        <v>14</v>
      </c>
      <c r="F730" s="108" t="s">
        <v>138</v>
      </c>
      <c r="G730" s="113" t="s">
        <v>1725</v>
      </c>
      <c r="H730" s="92" t="s">
        <v>1726</v>
      </c>
      <c r="I730" s="115" t="s">
        <v>18</v>
      </c>
      <c r="J730" s="113" t="s">
        <v>1727</v>
      </c>
      <c r="L730" s="94" t="str">
        <f t="shared" si="2"/>
        <v>No infirmation</v>
      </c>
      <c r="M730" s="94" t="str">
        <f t="shared" si="3"/>
        <v>20251210_snorkel_batch003__llm_step_onlinemind2web_websites__36</v>
      </c>
    </row>
    <row r="731" ht="15.75" customHeight="1">
      <c r="B731" s="77">
        <f t="shared" si="1"/>
        <v>1</v>
      </c>
      <c r="C731" s="67" t="s">
        <v>1526</v>
      </c>
      <c r="D731" s="78" t="s">
        <v>196</v>
      </c>
      <c r="E731" s="78" t="s">
        <v>14</v>
      </c>
      <c r="F731" s="108" t="s">
        <v>138</v>
      </c>
      <c r="G731" s="113" t="s">
        <v>1728</v>
      </c>
      <c r="H731" s="116" t="s">
        <v>1729</v>
      </c>
      <c r="I731" s="115" t="s">
        <v>18</v>
      </c>
      <c r="J731" s="115" t="s">
        <v>1730</v>
      </c>
      <c r="L731" s="94" t="str">
        <f t="shared" si="2"/>
        <v>No infirmation</v>
      </c>
      <c r="M731" s="94" t="str">
        <f t="shared" si="3"/>
        <v>20251121_snorkel_batch006__webvoyager_like__2</v>
      </c>
    </row>
    <row r="732" ht="15.75" customHeight="1">
      <c r="B732" s="77">
        <f t="shared" si="1"/>
        <v>1</v>
      </c>
      <c r="C732" s="67" t="s">
        <v>1526</v>
      </c>
      <c r="D732" s="78" t="s">
        <v>196</v>
      </c>
      <c r="E732" s="78" t="s">
        <v>14</v>
      </c>
      <c r="F732" s="108" t="s">
        <v>138</v>
      </c>
      <c r="G732" s="113" t="s">
        <v>1731</v>
      </c>
      <c r="H732" s="92" t="s">
        <v>1732</v>
      </c>
      <c r="I732" s="115" t="s">
        <v>18</v>
      </c>
      <c r="J732" s="97"/>
      <c r="L732" s="94" t="str">
        <f t="shared" si="2"/>
        <v>No infirmation</v>
      </c>
      <c r="M732" s="94" t="str">
        <f t="shared" si="3"/>
        <v>20260113_snorkel_batch002_procedural__finance_news_nav_and_open_first__2</v>
      </c>
    </row>
    <row r="733" ht="15.75" customHeight="1">
      <c r="B733" s="77">
        <f t="shared" si="1"/>
        <v>1</v>
      </c>
      <c r="C733" s="67" t="s">
        <v>1526</v>
      </c>
      <c r="D733" s="78" t="s">
        <v>196</v>
      </c>
      <c r="E733" s="78" t="s">
        <v>14</v>
      </c>
      <c r="F733" s="108" t="s">
        <v>138</v>
      </c>
      <c r="G733" s="113" t="s">
        <v>1733</v>
      </c>
      <c r="H733" s="92" t="s">
        <v>1734</v>
      </c>
      <c r="I733" s="115" t="s">
        <v>18</v>
      </c>
      <c r="J733" s="113" t="s">
        <v>1623</v>
      </c>
      <c r="L733" s="94" t="str">
        <f t="shared" si="2"/>
        <v>No infirmation</v>
      </c>
      <c r="M733" s="94" t="str">
        <f t="shared" si="3"/>
        <v>20251126_snorkel_batch015__llm_step_popular_websites__92</v>
      </c>
    </row>
    <row r="734" ht="15.75" customHeight="1">
      <c r="B734" s="77">
        <f t="shared" si="1"/>
        <v>1</v>
      </c>
      <c r="C734" s="67" t="s">
        <v>1526</v>
      </c>
      <c r="D734" s="78" t="s">
        <v>196</v>
      </c>
      <c r="E734" s="78" t="s">
        <v>14</v>
      </c>
      <c r="F734" s="108" t="s">
        <v>138</v>
      </c>
      <c r="G734" s="113" t="s">
        <v>1735</v>
      </c>
      <c r="H734" s="116" t="s">
        <v>1736</v>
      </c>
      <c r="I734" s="115" t="s">
        <v>18</v>
      </c>
      <c r="J734" s="113" t="s">
        <v>1737</v>
      </c>
      <c r="L734" s="94" t="str">
        <f t="shared" si="2"/>
        <v>No infirmation</v>
      </c>
      <c r="M734" s="94" t="str">
        <f t="shared" si="3"/>
        <v>20251126_snorkel_batch015__llm_step_webvoyager_websites__71</v>
      </c>
    </row>
    <row r="735" ht="15.75" customHeight="1">
      <c r="B735" s="77">
        <f t="shared" si="1"/>
        <v>1</v>
      </c>
      <c r="C735" s="67" t="s">
        <v>1526</v>
      </c>
      <c r="D735" s="78" t="s">
        <v>196</v>
      </c>
      <c r="E735" s="78" t="s">
        <v>14</v>
      </c>
      <c r="F735" s="108" t="s">
        <v>138</v>
      </c>
      <c r="G735" s="113" t="s">
        <v>1738</v>
      </c>
      <c r="H735" s="116" t="s">
        <v>1739</v>
      </c>
      <c r="I735" s="115" t="s">
        <v>18</v>
      </c>
      <c r="J735" s="97"/>
      <c r="L735" s="94" t="str">
        <f t="shared" si="2"/>
        <v>No infirmation</v>
      </c>
      <c r="M735" s="94" t="str">
        <f t="shared" si="3"/>
        <v>20260113_snorkel_batch006_procedural__career_find_salary__5</v>
      </c>
    </row>
    <row r="736" ht="15.75" customHeight="1">
      <c r="B736" s="77">
        <f t="shared" si="1"/>
        <v>1</v>
      </c>
      <c r="C736" s="67" t="s">
        <v>1526</v>
      </c>
      <c r="D736" s="78" t="s">
        <v>196</v>
      </c>
      <c r="E736" s="78" t="s">
        <v>14</v>
      </c>
      <c r="F736" s="108" t="s">
        <v>138</v>
      </c>
      <c r="G736" s="113" t="s">
        <v>1740</v>
      </c>
      <c r="H736" s="92" t="s">
        <v>1741</v>
      </c>
      <c r="I736" s="115" t="s">
        <v>18</v>
      </c>
      <c r="J736" s="97"/>
      <c r="L736" s="94" t="str">
        <f t="shared" si="2"/>
        <v>No infirmation</v>
      </c>
      <c r="M736" s="94" t="str">
        <f t="shared" si="3"/>
        <v>20251210_snorkel_batch009__llm_step_onlinemind2web_websites__158</v>
      </c>
    </row>
    <row r="737" ht="15.75" customHeight="1">
      <c r="B737" s="77">
        <f t="shared" si="1"/>
        <v>1</v>
      </c>
      <c r="C737" s="67" t="s">
        <v>201</v>
      </c>
      <c r="D737" s="78" t="s">
        <v>202</v>
      </c>
      <c r="E737" s="78" t="s">
        <v>14</v>
      </c>
      <c r="F737" s="108" t="s">
        <v>138</v>
      </c>
      <c r="G737" s="84" t="s">
        <v>1742</v>
      </c>
      <c r="H737" s="85" t="s">
        <v>1743</v>
      </c>
      <c r="I737" s="84" t="s">
        <v>18</v>
      </c>
      <c r="J737" s="117" t="s">
        <v>1744</v>
      </c>
      <c r="L737" s="94" t="str">
        <f t="shared" si="2"/>
        <v>No infirmation</v>
      </c>
      <c r="M737" s="94" t="str">
        <f t="shared" si="3"/>
        <v>20251210_snorkel_batch006__llm_step_webvoyager_websites__97</v>
      </c>
    </row>
    <row r="738" ht="15.75" customHeight="1">
      <c r="B738" s="77">
        <f t="shared" si="1"/>
        <v>1</v>
      </c>
      <c r="C738" s="67" t="s">
        <v>201</v>
      </c>
      <c r="D738" s="78" t="s">
        <v>202</v>
      </c>
      <c r="E738" s="78" t="s">
        <v>14</v>
      </c>
      <c r="F738" s="108" t="s">
        <v>138</v>
      </c>
      <c r="G738" s="86" t="s">
        <v>1745</v>
      </c>
      <c r="H738" s="85" t="s">
        <v>1746</v>
      </c>
      <c r="I738" s="84" t="s">
        <v>18</v>
      </c>
      <c r="J738" s="86"/>
      <c r="L738" s="94" t="str">
        <f t="shared" si="2"/>
        <v>No infirmation</v>
      </c>
      <c r="M738" s="94" t="str">
        <f t="shared" si="3"/>
        <v>20251210_snorkel_batch006__llm_step_webvoyager_websites__79</v>
      </c>
    </row>
    <row r="739" ht="15.75" customHeight="1">
      <c r="B739" s="77">
        <f t="shared" si="1"/>
        <v>1</v>
      </c>
      <c r="C739" s="67" t="s">
        <v>201</v>
      </c>
      <c r="D739" s="78" t="s">
        <v>202</v>
      </c>
      <c r="E739" s="78" t="s">
        <v>14</v>
      </c>
      <c r="F739" s="108" t="s">
        <v>138</v>
      </c>
      <c r="G739" s="84" t="s">
        <v>1747</v>
      </c>
      <c r="H739" s="85" t="s">
        <v>1748</v>
      </c>
      <c r="I739" s="84" t="s">
        <v>18</v>
      </c>
      <c r="J739" s="86"/>
      <c r="L739" s="94" t="str">
        <f t="shared" si="2"/>
        <v>No infirmation</v>
      </c>
      <c r="M739" s="94" t="str">
        <f t="shared" si="3"/>
        <v>20251210_snorkel_batch007__llm_step_webvoyager_websites__19</v>
      </c>
    </row>
    <row r="740" ht="15.75" customHeight="1">
      <c r="B740" s="77">
        <f t="shared" si="1"/>
        <v>1</v>
      </c>
      <c r="C740" s="67" t="s">
        <v>201</v>
      </c>
      <c r="D740" s="78" t="s">
        <v>202</v>
      </c>
      <c r="E740" s="78" t="s">
        <v>14</v>
      </c>
      <c r="F740" s="108" t="s">
        <v>138</v>
      </c>
      <c r="G740" s="84" t="s">
        <v>1749</v>
      </c>
      <c r="H740" s="118" t="s">
        <v>1750</v>
      </c>
      <c r="I740" s="84" t="s">
        <v>18</v>
      </c>
      <c r="J740" s="86"/>
      <c r="L740" s="94" t="str">
        <f t="shared" si="2"/>
        <v>No infirmation</v>
      </c>
      <c r="M740" s="94" t="str">
        <f t="shared" si="3"/>
        <v>20260113_snorkel_batch005_procedural__general_news_nav__8</v>
      </c>
    </row>
    <row r="741" ht="15.75" customHeight="1">
      <c r="B741" s="77">
        <f t="shared" si="1"/>
        <v>1</v>
      </c>
      <c r="C741" s="67" t="s">
        <v>201</v>
      </c>
      <c r="D741" s="78" t="s">
        <v>202</v>
      </c>
      <c r="E741" s="78" t="s">
        <v>14</v>
      </c>
      <c r="F741" s="108" t="s">
        <v>138</v>
      </c>
      <c r="G741" s="84" t="s">
        <v>1751</v>
      </c>
      <c r="H741" s="118" t="s">
        <v>1752</v>
      </c>
      <c r="I741" s="84" t="s">
        <v>18</v>
      </c>
      <c r="J741" s="86" t="s">
        <v>1753</v>
      </c>
      <c r="L741" s="94" t="str">
        <f t="shared" si="2"/>
        <v>No infirmation</v>
      </c>
      <c r="M741" s="94" t="str">
        <f t="shared" si="3"/>
        <v>20260113_snorkel_batch007_procedural__book_event_tickets__103</v>
      </c>
    </row>
    <row r="742" ht="15.75" customHeight="1">
      <c r="B742" s="77">
        <f t="shared" si="1"/>
        <v>1</v>
      </c>
      <c r="C742" s="67" t="s">
        <v>201</v>
      </c>
      <c r="D742" s="78" t="s">
        <v>202</v>
      </c>
      <c r="E742" s="78" t="s">
        <v>14</v>
      </c>
      <c r="F742" s="108" t="s">
        <v>138</v>
      </c>
      <c r="G742" s="86" t="s">
        <v>1754</v>
      </c>
      <c r="H742" s="85" t="s">
        <v>1755</v>
      </c>
      <c r="I742" s="84" t="s">
        <v>18</v>
      </c>
      <c r="J742" s="84" t="s">
        <v>1756</v>
      </c>
      <c r="L742" s="94" t="str">
        <f t="shared" si="2"/>
        <v>No infirmation</v>
      </c>
      <c r="M742" s="94" t="str">
        <f t="shared" si="3"/>
        <v>20260113_snorkel_batch003_procedural__career_job_search__6</v>
      </c>
    </row>
    <row r="743" ht="15.75" customHeight="1">
      <c r="B743" s="77">
        <f t="shared" si="1"/>
        <v>1</v>
      </c>
      <c r="C743" s="67" t="s">
        <v>201</v>
      </c>
      <c r="D743" s="78" t="s">
        <v>202</v>
      </c>
      <c r="E743" s="78" t="s">
        <v>14</v>
      </c>
      <c r="F743" s="108" t="s">
        <v>138</v>
      </c>
      <c r="G743" s="86" t="s">
        <v>1757</v>
      </c>
      <c r="H743" s="85" t="s">
        <v>1758</v>
      </c>
      <c r="I743" s="84" t="s">
        <v>18</v>
      </c>
      <c r="J743" s="86"/>
      <c r="L743" s="94" t="str">
        <f t="shared" si="2"/>
        <v>No infirmation</v>
      </c>
      <c r="M743" s="94" t="str">
        <f t="shared" si="3"/>
        <v>20260107_snorkel_batch002_step_tasks__maps_travel_time__49</v>
      </c>
    </row>
    <row r="744" ht="15.75" customHeight="1">
      <c r="B744" s="77">
        <f t="shared" si="1"/>
        <v>1</v>
      </c>
      <c r="C744" s="67" t="s">
        <v>201</v>
      </c>
      <c r="D744" s="78" t="s">
        <v>202</v>
      </c>
      <c r="E744" s="78" t="s">
        <v>14</v>
      </c>
      <c r="F744" s="108" t="s">
        <v>138</v>
      </c>
      <c r="G744" s="84" t="s">
        <v>1759</v>
      </c>
      <c r="H744" s="85" t="s">
        <v>1760</v>
      </c>
      <c r="I744" s="84" t="s">
        <v>18</v>
      </c>
      <c r="J744" s="86"/>
      <c r="L744" s="94" t="str">
        <f t="shared" si="2"/>
        <v>No infirmation</v>
      </c>
      <c r="M744" s="94" t="str">
        <f t="shared" si="3"/>
        <v>20251126_snorkel_batch013__llm_step_webvoyager_websites__152</v>
      </c>
    </row>
    <row r="745" ht="15.75" customHeight="1">
      <c r="B745" s="77">
        <f t="shared" si="1"/>
        <v>1</v>
      </c>
      <c r="C745" s="67" t="s">
        <v>201</v>
      </c>
      <c r="D745" s="78" t="s">
        <v>202</v>
      </c>
      <c r="E745" s="78" t="s">
        <v>14</v>
      </c>
      <c r="F745" s="108" t="s">
        <v>138</v>
      </c>
      <c r="G745" s="84" t="s">
        <v>1761</v>
      </c>
      <c r="H745" s="118" t="s">
        <v>1762</v>
      </c>
      <c r="I745" s="84" t="s">
        <v>18</v>
      </c>
      <c r="J745" s="84" t="s">
        <v>1763</v>
      </c>
      <c r="L745" s="94" t="str">
        <f t="shared" si="2"/>
        <v>No infirmation</v>
      </c>
      <c r="M745" s="94" t="str">
        <f t="shared" si="3"/>
        <v>20251126_snorkel_batch017__llm_step_popular_websites__74</v>
      </c>
    </row>
    <row r="746" ht="15.75" customHeight="1">
      <c r="B746" s="77">
        <f t="shared" si="1"/>
        <v>1</v>
      </c>
      <c r="C746" s="67" t="s">
        <v>201</v>
      </c>
      <c r="D746" s="78" t="s">
        <v>202</v>
      </c>
      <c r="E746" s="78" t="s">
        <v>14</v>
      </c>
      <c r="F746" s="108" t="s">
        <v>138</v>
      </c>
      <c r="G746" s="84" t="s">
        <v>1764</v>
      </c>
      <c r="H746" s="85" t="s">
        <v>1765</v>
      </c>
      <c r="I746" s="84" t="s">
        <v>18</v>
      </c>
      <c r="J746" s="86"/>
      <c r="L746" s="94" t="str">
        <f t="shared" si="2"/>
        <v>No infirmation</v>
      </c>
      <c r="M746" s="94" t="str">
        <f t="shared" si="3"/>
        <v>20260113_snorkel_batch003_procedural__sports_news_nav__10</v>
      </c>
    </row>
    <row r="747" ht="15.75" customHeight="1">
      <c r="B747" s="77">
        <f t="shared" si="1"/>
        <v>1</v>
      </c>
      <c r="C747" s="67" t="s">
        <v>1671</v>
      </c>
      <c r="D747" s="78" t="s">
        <v>202</v>
      </c>
      <c r="E747" s="78" t="s">
        <v>14</v>
      </c>
      <c r="F747" s="108" t="s">
        <v>138</v>
      </c>
      <c r="G747" s="86" t="s">
        <v>1766</v>
      </c>
      <c r="H747" s="87" t="s">
        <v>1767</v>
      </c>
      <c r="I747" s="84" t="s">
        <v>18</v>
      </c>
      <c r="J747" s="86"/>
      <c r="L747" s="94" t="str">
        <f t="shared" si="2"/>
        <v>No infirmation</v>
      </c>
      <c r="M747" s="94" t="str">
        <f t="shared" si="3"/>
        <v>20251210_snorkel_batch010__llm_step_webvoyager_websites__91</v>
      </c>
    </row>
    <row r="748" ht="15.75" customHeight="1">
      <c r="B748" s="77">
        <f t="shared" si="1"/>
        <v>1</v>
      </c>
      <c r="C748" s="67" t="s">
        <v>1671</v>
      </c>
      <c r="D748" s="78" t="s">
        <v>202</v>
      </c>
      <c r="E748" s="78" t="s">
        <v>14</v>
      </c>
      <c r="F748" s="108" t="s">
        <v>138</v>
      </c>
      <c r="G748" s="86" t="s">
        <v>1768</v>
      </c>
      <c r="H748" s="87" t="s">
        <v>1769</v>
      </c>
      <c r="I748" s="84" t="s">
        <v>18</v>
      </c>
      <c r="J748" s="86"/>
      <c r="L748" s="94" t="str">
        <f t="shared" si="2"/>
        <v>No infirmation</v>
      </c>
      <c r="M748" s="94" t="str">
        <f t="shared" si="3"/>
        <v>20251121_snorkel_batch001__webvoyager_like__239</v>
      </c>
    </row>
    <row r="749" ht="15.75" customHeight="1">
      <c r="B749" s="77">
        <f t="shared" si="1"/>
        <v>1</v>
      </c>
      <c r="C749" s="67" t="s">
        <v>1671</v>
      </c>
      <c r="D749" s="78" t="s">
        <v>202</v>
      </c>
      <c r="E749" s="78" t="s">
        <v>14</v>
      </c>
      <c r="F749" s="108" t="s">
        <v>138</v>
      </c>
      <c r="G749" s="86" t="s">
        <v>1770</v>
      </c>
      <c r="H749" s="87" t="s">
        <v>1771</v>
      </c>
      <c r="I749" s="84" t="s">
        <v>18</v>
      </c>
      <c r="J749" s="86"/>
      <c r="L749" s="94" t="str">
        <f t="shared" si="2"/>
        <v>No infirmation</v>
      </c>
      <c r="M749" s="94" t="str">
        <f t="shared" si="3"/>
        <v>20251210_snorkel_batch007__llm_step_webvoyager_websites__106</v>
      </c>
    </row>
    <row r="750" ht="15.75" customHeight="1">
      <c r="B750" s="77">
        <f t="shared" si="1"/>
        <v>1</v>
      </c>
      <c r="C750" s="67" t="s">
        <v>1671</v>
      </c>
      <c r="D750" s="78" t="s">
        <v>202</v>
      </c>
      <c r="E750" s="78" t="s">
        <v>14</v>
      </c>
      <c r="F750" s="108" t="s">
        <v>138</v>
      </c>
      <c r="G750" s="86" t="s">
        <v>1772</v>
      </c>
      <c r="H750" s="87" t="s">
        <v>1773</v>
      </c>
      <c r="I750" s="84" t="s">
        <v>18</v>
      </c>
      <c r="J750" s="84" t="s">
        <v>1774</v>
      </c>
      <c r="L750" s="94" t="str">
        <f t="shared" si="2"/>
        <v>No infirmation</v>
      </c>
      <c r="M750" s="94" t="str">
        <f t="shared" si="3"/>
        <v>20251210_snorkel_batch006__llm_step_popular_websites__132</v>
      </c>
    </row>
    <row r="751" ht="15.75" customHeight="1">
      <c r="B751" s="77">
        <f t="shared" si="1"/>
        <v>1</v>
      </c>
      <c r="C751" s="67" t="s">
        <v>1671</v>
      </c>
      <c r="D751" s="78" t="s">
        <v>202</v>
      </c>
      <c r="E751" s="78" t="s">
        <v>14</v>
      </c>
      <c r="F751" s="108" t="s">
        <v>138</v>
      </c>
      <c r="G751" s="86" t="s">
        <v>1775</v>
      </c>
      <c r="H751" s="87" t="s">
        <v>1776</v>
      </c>
      <c r="I751" s="84" t="s">
        <v>18</v>
      </c>
      <c r="J751" s="86"/>
      <c r="L751" s="94" t="str">
        <f t="shared" si="2"/>
        <v>No infirmation</v>
      </c>
      <c r="M751" s="94" t="str">
        <f t="shared" si="3"/>
        <v>20251210_snorkel_batch009__llm_step_webvoyager_websites__70</v>
      </c>
    </row>
    <row r="752" ht="15.75" customHeight="1">
      <c r="B752" s="77">
        <f t="shared" si="1"/>
        <v>1</v>
      </c>
      <c r="C752" s="67" t="s">
        <v>1671</v>
      </c>
      <c r="D752" s="78" t="s">
        <v>202</v>
      </c>
      <c r="E752" s="78" t="s">
        <v>14</v>
      </c>
      <c r="F752" s="108" t="s">
        <v>138</v>
      </c>
      <c r="G752" s="86" t="s">
        <v>1777</v>
      </c>
      <c r="H752" s="87" t="s">
        <v>1778</v>
      </c>
      <c r="I752" s="84" t="s">
        <v>18</v>
      </c>
      <c r="J752" s="84" t="s">
        <v>1779</v>
      </c>
      <c r="L752" s="94" t="str">
        <f t="shared" si="2"/>
        <v>No infirmation</v>
      </c>
      <c r="M752" s="94" t="str">
        <f t="shared" si="3"/>
        <v>20251126_snorkel_batch014__llm_step_popular_websites__59</v>
      </c>
    </row>
    <row r="753" ht="15.75" customHeight="1">
      <c r="B753" s="77">
        <f t="shared" si="1"/>
        <v>1</v>
      </c>
      <c r="C753" s="67" t="s">
        <v>1671</v>
      </c>
      <c r="D753" s="78" t="s">
        <v>202</v>
      </c>
      <c r="E753" s="78" t="s">
        <v>14</v>
      </c>
      <c r="F753" s="108" t="s">
        <v>138</v>
      </c>
      <c r="G753" s="86" t="s">
        <v>1780</v>
      </c>
      <c r="H753" s="87" t="s">
        <v>1781</v>
      </c>
      <c r="I753" s="84" t="s">
        <v>18</v>
      </c>
      <c r="J753" s="86"/>
      <c r="L753" s="94" t="str">
        <f t="shared" si="2"/>
        <v>No infirmation</v>
      </c>
      <c r="M753" s="94" t="str">
        <f t="shared" si="3"/>
        <v>20260107_snorkel_batch002_step_tasks__real_estate_search_and_filter__37</v>
      </c>
    </row>
    <row r="754" ht="15.75" customHeight="1">
      <c r="B754" s="77">
        <f t="shared" si="1"/>
        <v>1</v>
      </c>
      <c r="C754" s="67" t="s">
        <v>1671</v>
      </c>
      <c r="D754" s="78" t="s">
        <v>202</v>
      </c>
      <c r="E754" s="78" t="s">
        <v>14</v>
      </c>
      <c r="F754" s="108" t="s">
        <v>138</v>
      </c>
      <c r="G754" s="84" t="s">
        <v>1782</v>
      </c>
      <c r="H754" s="87" t="s">
        <v>1783</v>
      </c>
      <c r="I754" s="84" t="s">
        <v>18</v>
      </c>
      <c r="J754" s="86"/>
      <c r="L754" s="94" t="str">
        <f t="shared" si="2"/>
        <v>No infirmation</v>
      </c>
      <c r="M754" s="94" t="str">
        <f t="shared" si="3"/>
        <v>20251219_snorkel_batch001__llm_navqa_popular_websites__32</v>
      </c>
    </row>
    <row r="755" ht="15.75" customHeight="1">
      <c r="B755" s="77">
        <f t="shared" si="1"/>
        <v>1</v>
      </c>
      <c r="C755" s="67" t="s">
        <v>1671</v>
      </c>
      <c r="D755" s="78" t="s">
        <v>202</v>
      </c>
      <c r="E755" s="78" t="s">
        <v>14</v>
      </c>
      <c r="F755" s="108" t="s">
        <v>138</v>
      </c>
      <c r="G755" s="86" t="s">
        <v>1784</v>
      </c>
      <c r="H755" s="87" t="s">
        <v>1785</v>
      </c>
      <c r="I755" s="84" t="s">
        <v>18</v>
      </c>
      <c r="J755" s="86"/>
      <c r="L755" s="94" t="str">
        <f t="shared" si="2"/>
        <v>No infirmation</v>
      </c>
      <c r="M755" s="94" t="str">
        <f t="shared" si="3"/>
        <v>20260113_snorkel_batch001_procedural__maps_distance__11</v>
      </c>
    </row>
    <row r="756" ht="15.75" customHeight="1">
      <c r="B756" s="77">
        <f t="shared" si="1"/>
        <v>1</v>
      </c>
      <c r="C756" s="67" t="s">
        <v>1671</v>
      </c>
      <c r="D756" s="78" t="s">
        <v>202</v>
      </c>
      <c r="E756" s="78" t="s">
        <v>14</v>
      </c>
      <c r="F756" s="108" t="s">
        <v>138</v>
      </c>
      <c r="G756" s="86" t="s">
        <v>1786</v>
      </c>
      <c r="H756" s="87" t="s">
        <v>1787</v>
      </c>
      <c r="I756" s="84" t="s">
        <v>18</v>
      </c>
      <c r="J756" s="119" t="s">
        <v>1788</v>
      </c>
      <c r="L756" s="94" t="str">
        <f t="shared" si="2"/>
        <v>No infirmation</v>
      </c>
      <c r="M756" s="94" t="str">
        <f t="shared" si="3"/>
        <v>20260107_snorkel_batch003_step_tasks__hotel_search__5</v>
      </c>
    </row>
    <row r="757" ht="15.75" customHeight="1">
      <c r="B757" s="77">
        <f t="shared" si="1"/>
        <v>1</v>
      </c>
      <c r="C757" s="67" t="s">
        <v>199</v>
      </c>
      <c r="D757" s="78" t="s">
        <v>200</v>
      </c>
      <c r="E757" s="78" t="s">
        <v>14</v>
      </c>
      <c r="F757" s="108" t="s">
        <v>170</v>
      </c>
      <c r="G757" s="67" t="s">
        <v>1789</v>
      </c>
      <c r="H757" s="83" t="s">
        <v>1790</v>
      </c>
      <c r="I757" s="98" t="s">
        <v>18</v>
      </c>
      <c r="L757" s="94" t="str">
        <f t="shared" si="2"/>
        <v>No infirmation</v>
      </c>
      <c r="M757" s="94" t="str">
        <f t="shared" si="3"/>
        <v>20260113_snorkel_batch002_procedural__health_diagnosis_search_and_open_first__3</v>
      </c>
    </row>
    <row r="758" ht="15.75" customHeight="1">
      <c r="B758" s="77">
        <f t="shared" si="1"/>
        <v>1</v>
      </c>
      <c r="C758" s="67" t="s">
        <v>199</v>
      </c>
      <c r="D758" s="78" t="s">
        <v>200</v>
      </c>
      <c r="E758" s="78" t="s">
        <v>14</v>
      </c>
      <c r="F758" s="108" t="s">
        <v>170</v>
      </c>
      <c r="G758" s="67" t="s">
        <v>1791</v>
      </c>
      <c r="H758" s="83" t="s">
        <v>1792</v>
      </c>
      <c r="I758" s="98" t="s">
        <v>18</v>
      </c>
      <c r="J758" s="67" t="s">
        <v>1793</v>
      </c>
      <c r="L758" s="94" t="str">
        <f t="shared" si="2"/>
        <v>No infirmation</v>
      </c>
      <c r="M758" s="94" t="str">
        <f t="shared" si="3"/>
        <v>20251126_snorkel_batch013__llm_step_onlinemind2web_websites__55</v>
      </c>
    </row>
    <row r="759" ht="15.75" customHeight="1">
      <c r="B759" s="77">
        <f t="shared" si="1"/>
        <v>1</v>
      </c>
      <c r="C759" s="93" t="s">
        <v>12</v>
      </c>
      <c r="D759" s="101" t="s">
        <v>13</v>
      </c>
      <c r="E759" s="101" t="s">
        <v>14</v>
      </c>
      <c r="F759" s="108" t="s">
        <v>146</v>
      </c>
      <c r="G759" s="81" t="s">
        <v>153</v>
      </c>
      <c r="H759" s="79" t="s">
        <v>154</v>
      </c>
      <c r="I759" s="98" t="s">
        <v>18</v>
      </c>
      <c r="L759" s="94" t="str">
        <f t="shared" si="2"/>
        <v>No infirmation</v>
      </c>
      <c r="M759" s="94" t="str">
        <f t="shared" si="3"/>
        <v>20260113_snorkel_batch003_procedural__maps_distance__11</v>
      </c>
    </row>
    <row r="760" ht="15.75" customHeight="1">
      <c r="B760" s="77">
        <f t="shared" si="1"/>
        <v>1</v>
      </c>
      <c r="C760" s="93" t="s">
        <v>12</v>
      </c>
      <c r="D760" s="101" t="s">
        <v>13</v>
      </c>
      <c r="E760" s="101" t="s">
        <v>14</v>
      </c>
      <c r="F760" s="108" t="s">
        <v>146</v>
      </c>
      <c r="G760" s="81" t="s">
        <v>1794</v>
      </c>
      <c r="H760" s="79" t="s">
        <v>1795</v>
      </c>
      <c r="I760" s="98" t="s">
        <v>18</v>
      </c>
      <c r="L760" s="94" t="str">
        <f t="shared" si="2"/>
        <v>No infirmation</v>
      </c>
      <c r="M760" s="94" t="str">
        <f t="shared" si="3"/>
        <v>20251210_snorkel_batch006__llm_step_onlinemind2web_websites__144</v>
      </c>
    </row>
    <row r="761" ht="15.75" customHeight="1">
      <c r="B761" s="77">
        <f t="shared" si="1"/>
        <v>1</v>
      </c>
      <c r="C761" s="93" t="s">
        <v>12</v>
      </c>
      <c r="D761" s="101" t="s">
        <v>13</v>
      </c>
      <c r="E761" s="101" t="s">
        <v>14</v>
      </c>
      <c r="F761" s="108" t="s">
        <v>146</v>
      </c>
      <c r="G761" s="81" t="s">
        <v>1796</v>
      </c>
      <c r="H761" s="79" t="s">
        <v>1797</v>
      </c>
      <c r="I761" s="98" t="s">
        <v>18</v>
      </c>
      <c r="L761" s="94" t="str">
        <f t="shared" si="2"/>
        <v>No infirmation</v>
      </c>
      <c r="M761" s="94" t="str">
        <f t="shared" si="3"/>
        <v>20260113_snorkel_batch006_procedural__health_diagnosis_search_and_open_first__5</v>
      </c>
    </row>
    <row r="762" ht="15.75" customHeight="1">
      <c r="B762" s="77">
        <f t="shared" si="1"/>
        <v>1</v>
      </c>
      <c r="C762" s="67" t="s">
        <v>193</v>
      </c>
      <c r="D762" s="78" t="s">
        <v>194</v>
      </c>
      <c r="E762" s="78" t="s">
        <v>14</v>
      </c>
      <c r="F762" s="108" t="s">
        <v>146</v>
      </c>
      <c r="G762" s="81" t="s">
        <v>1798</v>
      </c>
      <c r="H762" s="79" t="s">
        <v>1799</v>
      </c>
      <c r="I762" s="98" t="s">
        <v>18</v>
      </c>
      <c r="L762" s="94" t="str">
        <f t="shared" si="2"/>
        <v>No infirmation</v>
      </c>
      <c r="M762" s="94" t="str">
        <f t="shared" si="3"/>
        <v>20251210_snorkel_batch009__llm_step_onlinemind2web_websites__150</v>
      </c>
    </row>
    <row r="763" ht="15.75" customHeight="1">
      <c r="B763" s="77">
        <f t="shared" si="1"/>
        <v>1</v>
      </c>
      <c r="C763" s="67" t="s">
        <v>193</v>
      </c>
      <c r="D763" s="78" t="s">
        <v>194</v>
      </c>
      <c r="E763" s="78" t="s">
        <v>14</v>
      </c>
      <c r="F763" s="108" t="s">
        <v>146</v>
      </c>
      <c r="G763" s="81" t="s">
        <v>1800</v>
      </c>
      <c r="H763" s="79" t="s">
        <v>1801</v>
      </c>
      <c r="I763" s="98" t="s">
        <v>18</v>
      </c>
      <c r="L763" s="94" t="str">
        <f t="shared" si="2"/>
        <v>No infirmation</v>
      </c>
      <c r="M763" s="94" t="str">
        <f t="shared" si="3"/>
        <v>20251210_snorkel_batch008__llm_step_webvoyager_websites__150</v>
      </c>
    </row>
    <row r="764" ht="15.75" customHeight="1">
      <c r="B764" s="77">
        <f t="shared" si="1"/>
        <v>1</v>
      </c>
      <c r="C764" s="93" t="s">
        <v>12</v>
      </c>
      <c r="D764" s="101" t="s">
        <v>13</v>
      </c>
      <c r="E764" s="101" t="s">
        <v>14</v>
      </c>
      <c r="F764" s="108" t="s">
        <v>146</v>
      </c>
      <c r="G764" s="81" t="s">
        <v>1802</v>
      </c>
      <c r="H764" s="79" t="s">
        <v>1803</v>
      </c>
      <c r="I764" s="98" t="s">
        <v>18</v>
      </c>
      <c r="L764" s="94" t="str">
        <f t="shared" si="2"/>
        <v>No infirmation</v>
      </c>
      <c r="M764" s="94" t="str">
        <f t="shared" si="3"/>
        <v>20251126_snorkel_batch013__llm_step_onlinemind2web_websites__18</v>
      </c>
    </row>
    <row r="765" ht="15.75" customHeight="1">
      <c r="B765" s="77">
        <f t="shared" si="1"/>
        <v>0</v>
      </c>
      <c r="C765" s="93" t="s">
        <v>12</v>
      </c>
      <c r="D765" s="101" t="s">
        <v>13</v>
      </c>
      <c r="E765" s="101" t="s">
        <v>14</v>
      </c>
      <c r="F765" s="108" t="s">
        <v>146</v>
      </c>
      <c r="I765" s="98" t="s">
        <v>18</v>
      </c>
      <c r="L765" s="94" t="str">
        <f t="shared" si="2"/>
        <v>No infirmation</v>
      </c>
      <c r="M765" s="94" t="str">
        <f t="shared" si="3"/>
        <v/>
      </c>
    </row>
    <row r="766" ht="15.75" customHeight="1">
      <c r="B766" s="77">
        <f t="shared" si="1"/>
        <v>1</v>
      </c>
      <c r="C766" s="67" t="s">
        <v>201</v>
      </c>
      <c r="D766" s="78" t="s">
        <v>202</v>
      </c>
      <c r="E766" s="101" t="s">
        <v>14</v>
      </c>
      <c r="F766" s="108" t="s">
        <v>171</v>
      </c>
      <c r="G766" s="120" t="s">
        <v>1804</v>
      </c>
      <c r="H766" s="101" t="s">
        <v>1805</v>
      </c>
      <c r="I766" s="93" t="s">
        <v>18</v>
      </c>
      <c r="J766" s="93" t="s">
        <v>1806</v>
      </c>
      <c r="L766" s="94" t="str">
        <f t="shared" si="2"/>
        <v>No infirmation</v>
      </c>
      <c r="M766" s="94" t="str">
        <f t="shared" si="3"/>
        <v>20251210_snorkel_batch009__llm_step_onlinemind2web_websites__160</v>
      </c>
    </row>
    <row r="767" ht="15.75" customHeight="1">
      <c r="B767" s="77">
        <f t="shared" si="1"/>
        <v>1</v>
      </c>
      <c r="C767" s="67" t="s">
        <v>201</v>
      </c>
      <c r="D767" s="78" t="s">
        <v>202</v>
      </c>
      <c r="E767" s="101" t="s">
        <v>14</v>
      </c>
      <c r="F767" s="108" t="s">
        <v>171</v>
      </c>
      <c r="G767" s="120" t="s">
        <v>1807</v>
      </c>
      <c r="H767" s="101" t="s">
        <v>1808</v>
      </c>
      <c r="I767" s="93" t="s">
        <v>18</v>
      </c>
      <c r="J767" s="91"/>
      <c r="L767" s="94" t="str">
        <f t="shared" si="2"/>
        <v>No infirmation</v>
      </c>
      <c r="M767" s="94" t="str">
        <f t="shared" si="3"/>
        <v>20251210_snorkel_batch009__llm_step_webvoyager_websites__92</v>
      </c>
    </row>
    <row r="768" ht="15.75" customHeight="1">
      <c r="B768" s="77">
        <f t="shared" si="1"/>
        <v>1</v>
      </c>
      <c r="C768" s="67" t="s">
        <v>201</v>
      </c>
      <c r="D768" s="78" t="s">
        <v>202</v>
      </c>
      <c r="E768" s="101" t="s">
        <v>14</v>
      </c>
      <c r="F768" s="108" t="s">
        <v>171</v>
      </c>
      <c r="G768" s="120" t="s">
        <v>1809</v>
      </c>
      <c r="H768" s="101" t="s">
        <v>1810</v>
      </c>
      <c r="I768" s="93" t="s">
        <v>18</v>
      </c>
      <c r="J768" s="93" t="s">
        <v>1811</v>
      </c>
      <c r="L768" s="94" t="str">
        <f t="shared" si="2"/>
        <v>No infirmation</v>
      </c>
      <c r="M768" s="94" t="str">
        <f t="shared" si="3"/>
        <v>20251126_snorkel_batch011__llm_step_popular_websites__111</v>
      </c>
    </row>
    <row r="769" ht="15.75" customHeight="1">
      <c r="B769" s="77">
        <f t="shared" si="1"/>
        <v>1</v>
      </c>
      <c r="C769" s="67" t="s">
        <v>201</v>
      </c>
      <c r="D769" s="78" t="s">
        <v>202</v>
      </c>
      <c r="E769" s="101" t="s">
        <v>14</v>
      </c>
      <c r="F769" s="108" t="s">
        <v>171</v>
      </c>
      <c r="G769" s="120" t="s">
        <v>1812</v>
      </c>
      <c r="H769" s="101" t="s">
        <v>1813</v>
      </c>
      <c r="I769" s="93" t="s">
        <v>18</v>
      </c>
      <c r="J769" s="91"/>
      <c r="L769" s="94" t="str">
        <f t="shared" si="2"/>
        <v>No infirmation</v>
      </c>
      <c r="M769" s="94" t="str">
        <f t="shared" si="3"/>
        <v>20260113_snorkel_batch001_procedural__maps_satellite_view__10</v>
      </c>
    </row>
    <row r="770" ht="15.75" customHeight="1">
      <c r="B770" s="77">
        <f t="shared" si="1"/>
        <v>1</v>
      </c>
      <c r="C770" s="67" t="s">
        <v>201</v>
      </c>
      <c r="D770" s="78" t="s">
        <v>202</v>
      </c>
      <c r="E770" s="101" t="s">
        <v>14</v>
      </c>
      <c r="F770" s="108" t="s">
        <v>171</v>
      </c>
      <c r="G770" s="120" t="s">
        <v>1814</v>
      </c>
      <c r="H770" s="101" t="s">
        <v>1815</v>
      </c>
      <c r="I770" s="93" t="s">
        <v>18</v>
      </c>
      <c r="J770" s="91"/>
      <c r="L770" s="94" t="str">
        <f t="shared" si="2"/>
        <v>No infirmation</v>
      </c>
      <c r="M770" s="94" t="str">
        <f t="shared" si="3"/>
        <v>20251210_snorkel_batch004__llm_step_webvoyager_websites__82</v>
      </c>
    </row>
    <row r="771" ht="15.75" customHeight="1">
      <c r="B771" s="77">
        <f t="shared" si="1"/>
        <v>1</v>
      </c>
      <c r="C771" s="67" t="s">
        <v>201</v>
      </c>
      <c r="D771" s="78" t="s">
        <v>202</v>
      </c>
      <c r="E771" s="101" t="s">
        <v>14</v>
      </c>
      <c r="F771" s="108" t="s">
        <v>171</v>
      </c>
      <c r="G771" s="120" t="s">
        <v>1816</v>
      </c>
      <c r="H771" s="101" t="s">
        <v>1817</v>
      </c>
      <c r="I771" s="93" t="s">
        <v>18</v>
      </c>
      <c r="J771" s="91"/>
      <c r="L771" s="94" t="str">
        <f t="shared" si="2"/>
        <v>No infirmation</v>
      </c>
      <c r="M771" s="94" t="str">
        <f t="shared" si="3"/>
        <v>20251126_snorkel_batch012__llm_step_onlinemind2web_websites__106</v>
      </c>
    </row>
    <row r="772" ht="15.75" customHeight="1">
      <c r="B772" s="77">
        <f t="shared" si="1"/>
        <v>1</v>
      </c>
      <c r="C772" s="67" t="s">
        <v>201</v>
      </c>
      <c r="D772" s="78" t="s">
        <v>202</v>
      </c>
      <c r="E772" s="101" t="s">
        <v>14</v>
      </c>
      <c r="F772" s="108" t="s">
        <v>171</v>
      </c>
      <c r="G772" s="120" t="s">
        <v>1818</v>
      </c>
      <c r="H772" s="101" t="s">
        <v>1819</v>
      </c>
      <c r="I772" s="93" t="s">
        <v>18</v>
      </c>
      <c r="J772" s="91"/>
      <c r="L772" s="94" t="str">
        <f t="shared" si="2"/>
        <v>No infirmation</v>
      </c>
      <c r="M772" s="94" t="str">
        <f t="shared" si="3"/>
        <v>20251210_snorkel_batch007__llm_step_webvoyager_websites__28</v>
      </c>
    </row>
    <row r="773" ht="15.75" customHeight="1">
      <c r="B773" s="77">
        <f t="shared" si="1"/>
        <v>1</v>
      </c>
      <c r="C773" s="67" t="s">
        <v>201</v>
      </c>
      <c r="D773" s="78" t="s">
        <v>202</v>
      </c>
      <c r="E773" s="101" t="s">
        <v>14</v>
      </c>
      <c r="F773" s="108" t="s">
        <v>1820</v>
      </c>
      <c r="G773" s="120" t="s">
        <v>1821</v>
      </c>
      <c r="H773" s="101" t="s">
        <v>1822</v>
      </c>
      <c r="I773" s="93" t="s">
        <v>18</v>
      </c>
      <c r="J773" s="93" t="s">
        <v>1823</v>
      </c>
      <c r="L773" s="94" t="str">
        <f t="shared" si="2"/>
        <v>No infirmation</v>
      </c>
      <c r="M773" s="94" t="str">
        <f t="shared" si="3"/>
        <v>20260113_snorkel_batch001_procedural__real_estate_search_and_filter__11</v>
      </c>
    </row>
    <row r="774" ht="15.75" customHeight="1">
      <c r="B774" s="77">
        <f t="shared" si="1"/>
        <v>1</v>
      </c>
      <c r="C774" s="67" t="s">
        <v>201</v>
      </c>
      <c r="D774" s="78" t="s">
        <v>202</v>
      </c>
      <c r="E774" s="101" t="s">
        <v>14</v>
      </c>
      <c r="F774" s="108" t="s">
        <v>1820</v>
      </c>
      <c r="G774" s="120" t="s">
        <v>1824</v>
      </c>
      <c r="H774" s="101" t="s">
        <v>1825</v>
      </c>
      <c r="I774" s="93" t="s">
        <v>18</v>
      </c>
      <c r="J774" s="91"/>
      <c r="L774" s="94" t="str">
        <f t="shared" si="2"/>
        <v>No infirmation</v>
      </c>
      <c r="M774" s="94" t="str">
        <f t="shared" si="3"/>
        <v>20260113_snorkel_batch004_procedural__general_news_nav__9</v>
      </c>
    </row>
    <row r="775" ht="15.75" customHeight="1">
      <c r="B775" s="77">
        <f t="shared" si="1"/>
        <v>1</v>
      </c>
      <c r="C775" s="67" t="s">
        <v>201</v>
      </c>
      <c r="D775" s="78" t="s">
        <v>202</v>
      </c>
      <c r="E775" s="101" t="s">
        <v>14</v>
      </c>
      <c r="F775" s="108" t="s">
        <v>1820</v>
      </c>
      <c r="G775" s="120" t="s">
        <v>1826</v>
      </c>
      <c r="H775" s="101" t="s">
        <v>1827</v>
      </c>
      <c r="I775" s="93" t="s">
        <v>18</v>
      </c>
      <c r="J775" s="91"/>
      <c r="L775" s="94" t="str">
        <f t="shared" si="2"/>
        <v>No infirmation</v>
      </c>
      <c r="M775" s="94" t="str">
        <f t="shared" si="3"/>
        <v>20260113_snorkel_batch001_procedural__games_slow_paced_arcade__8</v>
      </c>
    </row>
    <row r="776" ht="15.75" customHeight="1">
      <c r="B776" s="77">
        <f t="shared" si="1"/>
        <v>1</v>
      </c>
      <c r="C776" s="67" t="s">
        <v>201</v>
      </c>
      <c r="D776" s="78" t="s">
        <v>202</v>
      </c>
      <c r="E776" s="101" t="s">
        <v>14</v>
      </c>
      <c r="F776" s="108" t="s">
        <v>1820</v>
      </c>
      <c r="G776" s="120" t="s">
        <v>1828</v>
      </c>
      <c r="H776" s="101" t="s">
        <v>1829</v>
      </c>
      <c r="I776" s="93" t="s">
        <v>18</v>
      </c>
      <c r="J776" s="91"/>
      <c r="L776" s="94" t="str">
        <f t="shared" si="2"/>
        <v>No infirmation</v>
      </c>
      <c r="M776" s="94" t="str">
        <f t="shared" si="3"/>
        <v>20251210_snorkel_batch007__llm_step_popular_websites__73</v>
      </c>
    </row>
    <row r="777" ht="15.75" customHeight="1">
      <c r="B777" s="77">
        <f t="shared" si="1"/>
        <v>1</v>
      </c>
      <c r="C777" s="67" t="s">
        <v>201</v>
      </c>
      <c r="D777" s="78" t="s">
        <v>202</v>
      </c>
      <c r="E777" s="101" t="s">
        <v>14</v>
      </c>
      <c r="F777" s="108" t="s">
        <v>1820</v>
      </c>
      <c r="G777" s="120" t="s">
        <v>1830</v>
      </c>
      <c r="H777" s="101" t="s">
        <v>1831</v>
      </c>
      <c r="I777" s="93" t="s">
        <v>18</v>
      </c>
      <c r="J777" s="93" t="s">
        <v>1832</v>
      </c>
      <c r="L777" s="94" t="str">
        <f t="shared" si="2"/>
        <v>No infirmation</v>
      </c>
      <c r="M777" s="94" t="str">
        <f t="shared" si="3"/>
        <v>20251126_snorkel_batch018__llm_step_webvoyager_websites__110</v>
      </c>
    </row>
    <row r="778" ht="15.75" customHeight="1">
      <c r="B778" s="77">
        <f t="shared" si="1"/>
        <v>1</v>
      </c>
      <c r="C778" s="67" t="s">
        <v>201</v>
      </c>
      <c r="D778" s="78" t="s">
        <v>202</v>
      </c>
      <c r="E778" s="101" t="s">
        <v>14</v>
      </c>
      <c r="F778" s="108" t="s">
        <v>1820</v>
      </c>
      <c r="G778" s="120" t="s">
        <v>1833</v>
      </c>
      <c r="H778" s="101" t="s">
        <v>1834</v>
      </c>
      <c r="I778" s="93" t="s">
        <v>18</v>
      </c>
      <c r="J778" s="91"/>
      <c r="L778" s="94" t="str">
        <f t="shared" si="2"/>
        <v>No infirmation</v>
      </c>
      <c r="M778" s="94" t="str">
        <f t="shared" si="3"/>
        <v>20260113_snorkel_batch002_procedural__maps_route_planning__2</v>
      </c>
    </row>
    <row r="779" ht="15.75" customHeight="1">
      <c r="B779" s="77">
        <f t="shared" si="1"/>
        <v>1</v>
      </c>
      <c r="C779" s="67" t="s">
        <v>201</v>
      </c>
      <c r="D779" s="78" t="s">
        <v>202</v>
      </c>
      <c r="E779" s="101" t="s">
        <v>14</v>
      </c>
      <c r="F779" s="108" t="s">
        <v>1835</v>
      </c>
      <c r="G779" s="120" t="s">
        <v>1836</v>
      </c>
      <c r="H779" s="101" t="s">
        <v>1837</v>
      </c>
      <c r="I779" s="93" t="s">
        <v>18</v>
      </c>
      <c r="J779" s="91"/>
      <c r="L779" s="94" t="str">
        <f t="shared" si="2"/>
        <v>No infirmation</v>
      </c>
      <c r="M779" s="94" t="str">
        <f t="shared" si="3"/>
        <v>20251210_snorkel_batch003__llm_step_popular_websites__131</v>
      </c>
    </row>
    <row r="780" ht="15.75" customHeight="1">
      <c r="B780" s="77">
        <f t="shared" si="1"/>
        <v>1</v>
      </c>
      <c r="C780" s="67" t="s">
        <v>201</v>
      </c>
      <c r="D780" s="78" t="s">
        <v>202</v>
      </c>
      <c r="E780" s="101" t="s">
        <v>14</v>
      </c>
      <c r="F780" s="108" t="s">
        <v>1835</v>
      </c>
      <c r="G780" s="120" t="s">
        <v>1838</v>
      </c>
      <c r="H780" s="121" t="s">
        <v>1839</v>
      </c>
      <c r="I780" s="93" t="s">
        <v>18</v>
      </c>
      <c r="J780" s="91"/>
      <c r="L780" s="94" t="str">
        <f t="shared" si="2"/>
        <v>No infirmation</v>
      </c>
      <c r="M780" s="94" t="str">
        <f t="shared" si="3"/>
        <v>20251210_snorkel_batch001__llm_step_webvoyager_websites__77</v>
      </c>
    </row>
    <row r="781" ht="15.75" customHeight="1">
      <c r="B781" s="77">
        <f t="shared" si="1"/>
        <v>1</v>
      </c>
      <c r="C781" s="67" t="s">
        <v>201</v>
      </c>
      <c r="D781" s="78" t="s">
        <v>202</v>
      </c>
      <c r="E781" s="101" t="s">
        <v>14</v>
      </c>
      <c r="F781" s="108" t="s">
        <v>1835</v>
      </c>
      <c r="G781" s="120" t="s">
        <v>1840</v>
      </c>
      <c r="H781" s="101" t="s">
        <v>1841</v>
      </c>
      <c r="I781" s="93" t="s">
        <v>18</v>
      </c>
      <c r="J781" s="91"/>
      <c r="L781" s="94" t="str">
        <f t="shared" si="2"/>
        <v>No infirmation</v>
      </c>
      <c r="M781" s="94" t="str">
        <f t="shared" si="3"/>
        <v>20251126_snorkel_batch020__llm_step_webvoyager_websites__138</v>
      </c>
    </row>
    <row r="782" ht="15.75" customHeight="1">
      <c r="B782" s="77">
        <f t="shared" si="1"/>
        <v>1</v>
      </c>
      <c r="C782" s="67" t="s">
        <v>201</v>
      </c>
      <c r="D782" s="78" t="s">
        <v>202</v>
      </c>
      <c r="E782" s="101" t="s">
        <v>14</v>
      </c>
      <c r="F782" s="108" t="s">
        <v>1835</v>
      </c>
      <c r="G782" s="120" t="s">
        <v>1842</v>
      </c>
      <c r="H782" s="101" t="s">
        <v>1843</v>
      </c>
      <c r="I782" s="93" t="s">
        <v>18</v>
      </c>
      <c r="J782" s="91" t="s">
        <v>1844</v>
      </c>
      <c r="L782" s="94" t="str">
        <f t="shared" si="2"/>
        <v>No infirmation</v>
      </c>
      <c r="M782" s="94" t="str">
        <f t="shared" si="3"/>
        <v>20260113_snorkel_batch003_procedural__maps_travel_time__8</v>
      </c>
    </row>
    <row r="783" ht="15.75" customHeight="1">
      <c r="B783" s="77">
        <f t="shared" si="1"/>
        <v>1</v>
      </c>
      <c r="C783" s="67" t="s">
        <v>201</v>
      </c>
      <c r="D783" s="78" t="s">
        <v>202</v>
      </c>
      <c r="E783" s="101" t="s">
        <v>14</v>
      </c>
      <c r="F783" s="108" t="s">
        <v>1835</v>
      </c>
      <c r="G783" s="120" t="s">
        <v>1845</v>
      </c>
      <c r="H783" s="101" t="s">
        <v>1846</v>
      </c>
      <c r="I783" s="93" t="s">
        <v>18</v>
      </c>
      <c r="J783" s="93" t="s">
        <v>1847</v>
      </c>
      <c r="L783" s="94" t="str">
        <f t="shared" si="2"/>
        <v>No infirmation</v>
      </c>
      <c r="M783" s="94" t="str">
        <f t="shared" si="3"/>
        <v>20260113_snorkel_batch002_procedural__career_company_research__2</v>
      </c>
    </row>
    <row r="784" ht="15.75" customHeight="1">
      <c r="B784" s="77">
        <f t="shared" si="1"/>
        <v>1</v>
      </c>
      <c r="C784" s="67" t="s">
        <v>201</v>
      </c>
      <c r="D784" s="78" t="s">
        <v>202</v>
      </c>
      <c r="E784" s="101" t="s">
        <v>14</v>
      </c>
      <c r="F784" s="108" t="s">
        <v>1835</v>
      </c>
      <c r="G784" s="120" t="s">
        <v>1848</v>
      </c>
      <c r="H784" s="101" t="s">
        <v>1849</v>
      </c>
      <c r="I784" s="93" t="s">
        <v>18</v>
      </c>
      <c r="J784" s="91"/>
      <c r="L784" s="94" t="str">
        <f t="shared" si="2"/>
        <v>No infirmation</v>
      </c>
      <c r="M784" s="94" t="str">
        <f t="shared" si="3"/>
        <v>20251210_snorkel_batch002__llm_step_popular_websites__33</v>
      </c>
    </row>
    <row r="785" ht="15.75" customHeight="1">
      <c r="B785" s="77">
        <f t="shared" si="1"/>
        <v>1</v>
      </c>
      <c r="C785" s="67" t="s">
        <v>201</v>
      </c>
      <c r="D785" s="78" t="s">
        <v>202</v>
      </c>
      <c r="E785" s="101" t="s">
        <v>14</v>
      </c>
      <c r="F785" s="108" t="s">
        <v>1835</v>
      </c>
      <c r="G785" s="120" t="s">
        <v>1850</v>
      </c>
      <c r="H785" s="101" t="s">
        <v>1851</v>
      </c>
      <c r="I785" s="93" t="s">
        <v>18</v>
      </c>
      <c r="J785" s="91" t="s">
        <v>1852</v>
      </c>
      <c r="L785" s="94" t="str">
        <f t="shared" si="2"/>
        <v>No infirmation</v>
      </c>
      <c r="M785" s="94" t="str">
        <f t="shared" si="3"/>
        <v>20260113_snorkel_batch007_procedural__find_videos__123</v>
      </c>
    </row>
    <row r="786" ht="15.75" customHeight="1">
      <c r="B786" s="77">
        <f t="shared" si="1"/>
        <v>1</v>
      </c>
      <c r="C786" s="67" t="s">
        <v>201</v>
      </c>
      <c r="D786" s="78" t="s">
        <v>202</v>
      </c>
      <c r="E786" s="101" t="s">
        <v>14</v>
      </c>
      <c r="F786" s="108" t="s">
        <v>1853</v>
      </c>
      <c r="G786" s="98" t="s">
        <v>1854</v>
      </c>
      <c r="H786" s="122" t="s">
        <v>1855</v>
      </c>
      <c r="I786" s="123" t="s">
        <v>18</v>
      </c>
      <c r="J786" s="91"/>
      <c r="L786" s="94" t="str">
        <f t="shared" si="2"/>
        <v>No infirmation</v>
      </c>
      <c r="M786" s="94" t="str">
        <f t="shared" si="3"/>
        <v>20251210_snorkel_batch009__llm_step_webvoyager_websites__10</v>
      </c>
    </row>
    <row r="787" ht="15.75" customHeight="1">
      <c r="B787" s="77">
        <f t="shared" si="1"/>
        <v>1</v>
      </c>
      <c r="C787" s="67" t="s">
        <v>201</v>
      </c>
      <c r="D787" s="78" t="s">
        <v>202</v>
      </c>
      <c r="E787" s="101" t="s">
        <v>14</v>
      </c>
      <c r="F787" s="108" t="s">
        <v>1853</v>
      </c>
      <c r="G787" s="124" t="s">
        <v>1856</v>
      </c>
      <c r="H787" s="122" t="s">
        <v>1857</v>
      </c>
      <c r="I787" s="123" t="s">
        <v>18</v>
      </c>
      <c r="J787" s="91"/>
      <c r="L787" s="94" t="str">
        <f t="shared" si="2"/>
        <v>No infirmation</v>
      </c>
      <c r="M787" s="94" t="str">
        <f t="shared" si="3"/>
        <v>20251219_snorkel_batch004__llm_navqa_onlinemind2web_websites__93</v>
      </c>
    </row>
    <row r="788" ht="15.75" customHeight="1">
      <c r="B788" s="77">
        <f t="shared" si="1"/>
        <v>1</v>
      </c>
      <c r="C788" s="67" t="s">
        <v>1671</v>
      </c>
      <c r="D788" s="78" t="s">
        <v>202</v>
      </c>
      <c r="E788" s="101" t="s">
        <v>14</v>
      </c>
      <c r="F788" s="108" t="s">
        <v>167</v>
      </c>
      <c r="G788" s="90" t="s">
        <v>1858</v>
      </c>
      <c r="H788" s="92" t="s">
        <v>1859</v>
      </c>
      <c r="I788" s="98" t="s">
        <v>18</v>
      </c>
      <c r="J788" s="98" t="s">
        <v>1860</v>
      </c>
      <c r="L788" s="94" t="str">
        <f t="shared" si="2"/>
        <v>No infirmation</v>
      </c>
      <c r="M788" s="94" t="str">
        <f t="shared" si="3"/>
        <v>20260113_snorkel_batch005_procedural__maps_nearby__2</v>
      </c>
    </row>
    <row r="789" ht="15.75" customHeight="1">
      <c r="B789" s="77">
        <f t="shared" si="1"/>
        <v>1</v>
      </c>
      <c r="C789" s="67" t="s">
        <v>1671</v>
      </c>
      <c r="D789" s="78" t="s">
        <v>202</v>
      </c>
      <c r="E789" s="101" t="s">
        <v>14</v>
      </c>
      <c r="F789" s="108" t="s">
        <v>167</v>
      </c>
      <c r="G789" s="90" t="s">
        <v>1861</v>
      </c>
      <c r="H789" s="92" t="s">
        <v>1862</v>
      </c>
      <c r="I789" s="98" t="s">
        <v>18</v>
      </c>
      <c r="J789" s="125"/>
      <c r="L789" s="94" t="str">
        <f t="shared" si="2"/>
        <v>No infirmation</v>
      </c>
      <c r="M789" s="94" t="str">
        <f t="shared" si="3"/>
        <v>20251210_snorkel_batch002__llm_step_webvoyager_websites__92</v>
      </c>
    </row>
    <row r="790" ht="15.75" customHeight="1">
      <c r="B790" s="77">
        <f t="shared" si="1"/>
        <v>1</v>
      </c>
      <c r="C790" s="67" t="s">
        <v>1671</v>
      </c>
      <c r="D790" s="78" t="s">
        <v>202</v>
      </c>
      <c r="E790" s="101" t="s">
        <v>14</v>
      </c>
      <c r="F790" s="108" t="s">
        <v>167</v>
      </c>
      <c r="G790" s="90" t="s">
        <v>1863</v>
      </c>
      <c r="H790" s="92" t="s">
        <v>1864</v>
      </c>
      <c r="I790" s="98" t="s">
        <v>18</v>
      </c>
      <c r="J790" s="126" t="s">
        <v>1865</v>
      </c>
      <c r="L790" s="94" t="str">
        <f t="shared" si="2"/>
        <v>No infirmation</v>
      </c>
      <c r="M790" s="94" t="str">
        <f t="shared" si="3"/>
        <v>20251210_snorkel_batch008__llm_step_popular_websites__2</v>
      </c>
    </row>
    <row r="791" ht="15.75" customHeight="1">
      <c r="B791" s="77">
        <f t="shared" si="1"/>
        <v>1</v>
      </c>
      <c r="C791" s="67" t="s">
        <v>1671</v>
      </c>
      <c r="D791" s="78" t="s">
        <v>202</v>
      </c>
      <c r="E791" s="101" t="s">
        <v>14</v>
      </c>
      <c r="F791" s="108" t="s">
        <v>167</v>
      </c>
      <c r="G791" s="90" t="s">
        <v>1866</v>
      </c>
      <c r="H791" s="92" t="s">
        <v>1867</v>
      </c>
      <c r="I791" s="98" t="s">
        <v>18</v>
      </c>
      <c r="J791" s="125"/>
      <c r="L791" s="94" t="str">
        <f t="shared" si="2"/>
        <v>No infirmation</v>
      </c>
      <c r="M791" s="94" t="str">
        <f t="shared" si="3"/>
        <v>20251126_snorkel_batch011__llm_step_webvoyager_websites__119</v>
      </c>
    </row>
    <row r="792" ht="15.75" customHeight="1">
      <c r="B792" s="77">
        <f t="shared" si="1"/>
        <v>1</v>
      </c>
      <c r="C792" s="67" t="s">
        <v>1671</v>
      </c>
      <c r="D792" s="78" t="s">
        <v>202</v>
      </c>
      <c r="E792" s="101" t="s">
        <v>14</v>
      </c>
      <c r="F792" s="108" t="s">
        <v>167</v>
      </c>
      <c r="G792" s="90" t="s">
        <v>1868</v>
      </c>
      <c r="H792" s="92" t="s">
        <v>1869</v>
      </c>
      <c r="I792" s="98" t="s">
        <v>18</v>
      </c>
      <c r="J792" s="126" t="s">
        <v>1870</v>
      </c>
      <c r="L792" s="94" t="str">
        <f t="shared" si="2"/>
        <v>No infirmation</v>
      </c>
      <c r="M792" s="94" t="str">
        <f t="shared" si="3"/>
        <v>20251126_snorkel_batch012__llm_step_webvoyager_websites__33</v>
      </c>
    </row>
    <row r="793" ht="15.75" customHeight="1">
      <c r="B793" s="77">
        <f t="shared" si="1"/>
        <v>1</v>
      </c>
      <c r="C793" s="67" t="s">
        <v>1671</v>
      </c>
      <c r="D793" s="78" t="s">
        <v>202</v>
      </c>
      <c r="E793" s="101" t="s">
        <v>14</v>
      </c>
      <c r="F793" s="108" t="s">
        <v>167</v>
      </c>
      <c r="G793" s="90" t="s">
        <v>1871</v>
      </c>
      <c r="H793" s="92" t="s">
        <v>1872</v>
      </c>
      <c r="I793" s="98" t="s">
        <v>18</v>
      </c>
      <c r="J793" s="126" t="s">
        <v>1873</v>
      </c>
      <c r="L793" s="94" t="str">
        <f t="shared" si="2"/>
        <v>No infirmation</v>
      </c>
      <c r="M793" s="94" t="str">
        <f t="shared" si="3"/>
        <v>20251210_snorkel_batch009__llm_step_webvoyager_websites__47</v>
      </c>
    </row>
    <row r="794" ht="15.75" customHeight="1">
      <c r="B794" s="77">
        <f t="shared" si="1"/>
        <v>1</v>
      </c>
      <c r="C794" s="67" t="s">
        <v>1671</v>
      </c>
      <c r="D794" s="78" t="s">
        <v>202</v>
      </c>
      <c r="E794" s="101" t="s">
        <v>14</v>
      </c>
      <c r="F794" s="108" t="s">
        <v>167</v>
      </c>
      <c r="G794" s="90" t="s">
        <v>1874</v>
      </c>
      <c r="H794" s="92" t="s">
        <v>1875</v>
      </c>
      <c r="I794" s="98" t="s">
        <v>18</v>
      </c>
      <c r="J794" s="125"/>
      <c r="L794" s="94" t="str">
        <f t="shared" si="2"/>
        <v>No infirmation</v>
      </c>
      <c r="M794" s="94" t="str">
        <f t="shared" si="3"/>
        <v>20251210_snorkel_batch005__llm_step_webvoyager_websites__18</v>
      </c>
    </row>
    <row r="795" ht="15.75" customHeight="1">
      <c r="B795" s="77">
        <f t="shared" si="1"/>
        <v>1</v>
      </c>
      <c r="C795" s="67" t="s">
        <v>1671</v>
      </c>
      <c r="D795" s="78" t="s">
        <v>202</v>
      </c>
      <c r="E795" s="101" t="s">
        <v>14</v>
      </c>
      <c r="F795" s="108" t="s">
        <v>167</v>
      </c>
      <c r="G795" s="90" t="s">
        <v>1876</v>
      </c>
      <c r="H795" s="92" t="s">
        <v>1877</v>
      </c>
      <c r="I795" s="98" t="s">
        <v>18</v>
      </c>
      <c r="J795" s="125"/>
      <c r="L795" s="94" t="str">
        <f t="shared" si="2"/>
        <v>No infirmation</v>
      </c>
      <c r="M795" s="94" t="str">
        <f t="shared" si="3"/>
        <v>20251126_snorkel_batch019__llm_step_onlinemind2web_websites__98</v>
      </c>
    </row>
    <row r="796" ht="15.75" customHeight="1">
      <c r="B796" s="77">
        <f t="shared" si="1"/>
        <v>1</v>
      </c>
      <c r="C796" s="67" t="s">
        <v>1671</v>
      </c>
      <c r="D796" s="78" t="s">
        <v>202</v>
      </c>
      <c r="E796" s="101" t="s">
        <v>14</v>
      </c>
      <c r="F796" s="108" t="s">
        <v>167</v>
      </c>
      <c r="G796" s="90" t="s">
        <v>1878</v>
      </c>
      <c r="H796" s="92" t="s">
        <v>1879</v>
      </c>
      <c r="I796" s="98" t="s">
        <v>18</v>
      </c>
      <c r="J796" s="126" t="s">
        <v>1880</v>
      </c>
      <c r="L796" s="94" t="str">
        <f t="shared" si="2"/>
        <v>No infirmation</v>
      </c>
      <c r="M796" s="94" t="str">
        <f t="shared" si="3"/>
        <v>20251210_snorkel_batch001__llm_step_popular_websites__158</v>
      </c>
    </row>
    <row r="797" ht="15.75" customHeight="1">
      <c r="B797" s="77">
        <f t="shared" si="1"/>
        <v>1</v>
      </c>
      <c r="C797" s="67" t="s">
        <v>1671</v>
      </c>
      <c r="D797" s="78" t="s">
        <v>202</v>
      </c>
      <c r="E797" s="101" t="s">
        <v>14</v>
      </c>
      <c r="F797" s="108" t="s">
        <v>167</v>
      </c>
      <c r="G797" s="90" t="s">
        <v>1881</v>
      </c>
      <c r="H797" s="92" t="s">
        <v>1882</v>
      </c>
      <c r="I797" s="98" t="s">
        <v>18</v>
      </c>
      <c r="J797" s="125"/>
      <c r="L797" s="94" t="str">
        <f t="shared" si="2"/>
        <v>No infirmation</v>
      </c>
      <c r="M797" s="94" t="str">
        <f t="shared" si="3"/>
        <v>20260113_snorkel_batch002_procedural__general_news_nav__7</v>
      </c>
    </row>
    <row r="798" ht="15.75" customHeight="1">
      <c r="B798" s="77">
        <f t="shared" si="1"/>
        <v>1</v>
      </c>
      <c r="C798" s="67" t="s">
        <v>1883</v>
      </c>
      <c r="D798" s="78" t="s">
        <v>198</v>
      </c>
      <c r="E798" s="101" t="s">
        <v>14</v>
      </c>
      <c r="F798" s="108" t="s">
        <v>167</v>
      </c>
      <c r="G798" s="86" t="s">
        <v>1884</v>
      </c>
      <c r="H798" s="92" t="s">
        <v>1885</v>
      </c>
      <c r="I798" s="93" t="s">
        <v>18</v>
      </c>
      <c r="J798" s="127" t="s">
        <v>1886</v>
      </c>
      <c r="L798" s="94" t="str">
        <f t="shared" si="2"/>
        <v>No infirmation</v>
      </c>
      <c r="M798" s="94" t="str">
        <f t="shared" si="3"/>
        <v>20251126_snorkel_batch016__llm_step_popular_websites__131</v>
      </c>
    </row>
    <row r="799" ht="15.75" customHeight="1">
      <c r="B799" s="77">
        <f t="shared" si="1"/>
        <v>1</v>
      </c>
      <c r="C799" s="67" t="s">
        <v>1883</v>
      </c>
      <c r="D799" s="78" t="s">
        <v>198</v>
      </c>
      <c r="E799" s="101" t="s">
        <v>14</v>
      </c>
      <c r="F799" s="108" t="s">
        <v>167</v>
      </c>
      <c r="G799" s="86" t="s">
        <v>1887</v>
      </c>
      <c r="H799" s="92" t="s">
        <v>1888</v>
      </c>
      <c r="I799" s="93" t="s">
        <v>18</v>
      </c>
      <c r="J799" s="91"/>
      <c r="L799" s="94" t="str">
        <f t="shared" si="2"/>
        <v>No infirmation</v>
      </c>
      <c r="M799" s="94" t="str">
        <f t="shared" si="3"/>
        <v>20251210_snorkel_batch002__llm_step_popular_websites__103</v>
      </c>
    </row>
    <row r="800" ht="15.75" customHeight="1">
      <c r="B800" s="77">
        <f t="shared" si="1"/>
        <v>1</v>
      </c>
      <c r="C800" s="67" t="s">
        <v>1671</v>
      </c>
      <c r="D800" s="78" t="s">
        <v>202</v>
      </c>
      <c r="E800" s="101" t="s">
        <v>14</v>
      </c>
      <c r="F800" s="108" t="s">
        <v>168</v>
      </c>
      <c r="G800" s="128" t="s">
        <v>1889</v>
      </c>
      <c r="H800" s="129" t="s">
        <v>1890</v>
      </c>
      <c r="I800" s="130" t="s">
        <v>18</v>
      </c>
      <c r="J800" s="86"/>
      <c r="L800" s="94" t="str">
        <f t="shared" si="2"/>
        <v>No infirmation</v>
      </c>
      <c r="M800" s="94" t="str">
        <f t="shared" si="3"/>
        <v>20251121_snorkel_batch008__webvoyager_like__410</v>
      </c>
    </row>
    <row r="801" ht="15.75" customHeight="1">
      <c r="B801" s="77">
        <f t="shared" si="1"/>
        <v>1</v>
      </c>
      <c r="C801" s="67" t="s">
        <v>1671</v>
      </c>
      <c r="D801" s="78" t="s">
        <v>202</v>
      </c>
      <c r="E801" s="101" t="s">
        <v>14</v>
      </c>
      <c r="F801" s="108" t="s">
        <v>168</v>
      </c>
      <c r="G801" s="128" t="s">
        <v>1891</v>
      </c>
      <c r="H801" s="129" t="s">
        <v>1892</v>
      </c>
      <c r="I801" s="130" t="s">
        <v>18</v>
      </c>
      <c r="J801" s="130" t="s">
        <v>1893</v>
      </c>
      <c r="L801" s="94" t="str">
        <f t="shared" si="2"/>
        <v>No infirmation</v>
      </c>
      <c r="M801" s="94" t="str">
        <f t="shared" si="3"/>
        <v>20251126_snorkel_batch014__llm_step_onlinemind2web_websites__78</v>
      </c>
    </row>
    <row r="802" ht="15.75" customHeight="1">
      <c r="B802" s="77">
        <f t="shared" si="1"/>
        <v>1</v>
      </c>
      <c r="C802" s="67" t="s">
        <v>1671</v>
      </c>
      <c r="D802" s="78" t="s">
        <v>202</v>
      </c>
      <c r="E802" s="101" t="s">
        <v>14</v>
      </c>
      <c r="F802" s="108" t="s">
        <v>168</v>
      </c>
      <c r="G802" s="128" t="s">
        <v>1894</v>
      </c>
      <c r="H802" s="129" t="s">
        <v>1895</v>
      </c>
      <c r="I802" s="130" t="s">
        <v>18</v>
      </c>
      <c r="J802" s="130" t="s">
        <v>1896</v>
      </c>
      <c r="L802" s="94" t="str">
        <f t="shared" si="2"/>
        <v>No infirmation</v>
      </c>
      <c r="M802" s="94" t="str">
        <f t="shared" si="3"/>
        <v>20251219_snorkel_batch001__llm_navqa_popular_websites__50</v>
      </c>
    </row>
    <row r="803" ht="15.75" customHeight="1">
      <c r="B803" s="77">
        <f t="shared" si="1"/>
        <v>1</v>
      </c>
      <c r="C803" s="67" t="s">
        <v>1671</v>
      </c>
      <c r="D803" s="78" t="s">
        <v>202</v>
      </c>
      <c r="E803" s="101" t="s">
        <v>14</v>
      </c>
      <c r="F803" s="108" t="s">
        <v>168</v>
      </c>
      <c r="G803" s="128" t="s">
        <v>1897</v>
      </c>
      <c r="H803" s="129" t="s">
        <v>1898</v>
      </c>
      <c r="I803" s="130" t="s">
        <v>18</v>
      </c>
      <c r="J803" s="130" t="s">
        <v>1899</v>
      </c>
      <c r="L803" s="94" t="str">
        <f t="shared" si="2"/>
        <v>No infirmation</v>
      </c>
      <c r="M803" s="94" t="str">
        <f t="shared" si="3"/>
        <v>20251210_snorkel_batch008__llm_step_onlinemind2web_websites__117</v>
      </c>
    </row>
    <row r="804" ht="15.75" customHeight="1">
      <c r="B804" s="77">
        <f t="shared" si="1"/>
        <v>1</v>
      </c>
      <c r="C804" s="67" t="s">
        <v>1883</v>
      </c>
      <c r="D804" s="78" t="s">
        <v>198</v>
      </c>
      <c r="E804" s="101" t="s">
        <v>14</v>
      </c>
      <c r="F804" s="108" t="s">
        <v>169</v>
      </c>
      <c r="G804" s="86" t="s">
        <v>1900</v>
      </c>
      <c r="H804" s="131" t="s">
        <v>1901</v>
      </c>
      <c r="I804" s="84" t="s">
        <v>18</v>
      </c>
      <c r="J804" s="86" t="s">
        <v>1902</v>
      </c>
      <c r="L804" s="94" t="str">
        <f t="shared" si="2"/>
        <v>No infirmation</v>
      </c>
      <c r="M804" s="94" t="str">
        <f t="shared" si="3"/>
        <v>20251210_snorkel_batch006__llm_step_popular_websites__84</v>
      </c>
    </row>
    <row r="805" ht="15.75" customHeight="1">
      <c r="B805" s="77">
        <f t="shared" si="1"/>
        <v>0</v>
      </c>
      <c r="C805" s="67"/>
      <c r="D805" s="78"/>
      <c r="E805" s="101"/>
      <c r="F805" s="108"/>
      <c r="G805" s="120"/>
      <c r="H805" s="101"/>
      <c r="I805" s="93"/>
      <c r="J805" s="91"/>
      <c r="L805" s="94" t="str">
        <f t="shared" si="2"/>
        <v>No infirmation</v>
      </c>
      <c r="M805" s="94" t="str">
        <f t="shared" si="3"/>
        <v/>
      </c>
    </row>
    <row r="806" ht="15.75" customHeight="1">
      <c r="B806" s="77">
        <f t="shared" si="1"/>
        <v>0</v>
      </c>
      <c r="C806" s="67"/>
      <c r="D806" s="78"/>
      <c r="E806" s="101"/>
      <c r="F806" s="108"/>
      <c r="G806" s="120"/>
      <c r="H806" s="101"/>
      <c r="I806" s="93"/>
      <c r="J806" s="91"/>
      <c r="L806" s="94" t="str">
        <f t="shared" si="2"/>
        <v>No infirmation</v>
      </c>
      <c r="M806" s="94" t="str">
        <f t="shared" si="3"/>
        <v/>
      </c>
    </row>
    <row r="807" ht="15.75" customHeight="1">
      <c r="B807" s="77">
        <f t="shared" si="1"/>
        <v>0</v>
      </c>
      <c r="C807" s="67"/>
      <c r="D807" s="78"/>
      <c r="E807" s="101"/>
      <c r="F807" s="108"/>
      <c r="G807" s="120"/>
      <c r="H807" s="101"/>
      <c r="I807" s="93"/>
      <c r="J807" s="91"/>
      <c r="L807" s="94" t="str">
        <f t="shared" si="2"/>
        <v>No infirmation</v>
      </c>
      <c r="M807" s="94" t="str">
        <f t="shared" si="3"/>
        <v/>
      </c>
    </row>
    <row r="808" ht="15.75" customHeight="1">
      <c r="B808" s="77">
        <f t="shared" si="1"/>
        <v>0</v>
      </c>
      <c r="C808" s="67"/>
      <c r="D808" s="78"/>
      <c r="E808" s="101"/>
      <c r="F808" s="108"/>
      <c r="G808" s="120"/>
      <c r="H808" s="101"/>
      <c r="I808" s="93"/>
      <c r="J808" s="91"/>
      <c r="L808" s="94" t="str">
        <f t="shared" si="2"/>
        <v>No infirmation</v>
      </c>
      <c r="M808" s="94" t="str">
        <f t="shared" si="3"/>
        <v/>
      </c>
    </row>
    <row r="809" ht="15.75" customHeight="1">
      <c r="B809" s="77">
        <f t="shared" si="1"/>
        <v>0</v>
      </c>
      <c r="C809" s="67"/>
      <c r="D809" s="78"/>
      <c r="E809" s="101"/>
      <c r="F809" s="108"/>
      <c r="G809" s="120"/>
      <c r="H809" s="101"/>
      <c r="I809" s="93"/>
      <c r="J809" s="91"/>
      <c r="L809" s="94" t="str">
        <f t="shared" si="2"/>
        <v>No infirmation</v>
      </c>
      <c r="M809" s="94" t="str">
        <f t="shared" si="3"/>
        <v/>
      </c>
    </row>
    <row r="810" ht="15.75" customHeight="1">
      <c r="B810" s="77">
        <f t="shared" si="1"/>
        <v>0</v>
      </c>
      <c r="C810" s="67"/>
      <c r="D810" s="78"/>
      <c r="E810" s="101"/>
      <c r="F810" s="108"/>
      <c r="G810" s="120"/>
      <c r="H810" s="101"/>
      <c r="I810" s="93"/>
      <c r="J810" s="91"/>
      <c r="L810" s="94" t="str">
        <f t="shared" si="2"/>
        <v>No infirmation</v>
      </c>
      <c r="M810" s="94" t="str">
        <f t="shared" si="3"/>
        <v/>
      </c>
    </row>
    <row r="811" ht="15.75" customHeight="1">
      <c r="B811" s="77">
        <f t="shared" si="1"/>
        <v>0</v>
      </c>
      <c r="C811" s="67"/>
      <c r="D811" s="78"/>
      <c r="E811" s="101"/>
      <c r="F811" s="108"/>
      <c r="G811" s="120"/>
      <c r="H811" s="101"/>
      <c r="I811" s="93"/>
      <c r="J811" s="91"/>
      <c r="L811" s="94" t="str">
        <f t="shared" si="2"/>
        <v>No infirmation</v>
      </c>
      <c r="M811" s="94" t="str">
        <f t="shared" si="3"/>
        <v/>
      </c>
    </row>
    <row r="812" ht="15.75" customHeight="1">
      <c r="B812" s="77">
        <f t="shared" si="1"/>
        <v>0</v>
      </c>
      <c r="C812" s="67"/>
      <c r="D812" s="78"/>
      <c r="E812" s="101"/>
      <c r="F812" s="108"/>
      <c r="G812" s="120"/>
      <c r="H812" s="101"/>
      <c r="I812" s="93"/>
      <c r="J812" s="91"/>
      <c r="L812" s="94" t="str">
        <f t="shared" si="2"/>
        <v>No infirmation</v>
      </c>
      <c r="M812" s="94" t="str">
        <f t="shared" si="3"/>
        <v/>
      </c>
    </row>
    <row r="813" ht="15.75" customHeight="1">
      <c r="B813" s="77">
        <f t="shared" si="1"/>
        <v>0</v>
      </c>
      <c r="C813" s="67"/>
      <c r="D813" s="78"/>
      <c r="E813" s="101"/>
      <c r="F813" s="108"/>
      <c r="G813" s="120"/>
      <c r="H813" s="101"/>
      <c r="I813" s="93"/>
      <c r="J813" s="91"/>
      <c r="L813" s="94" t="str">
        <f t="shared" si="2"/>
        <v>No infirmation</v>
      </c>
      <c r="M813" s="94" t="str">
        <f t="shared" si="3"/>
        <v/>
      </c>
    </row>
    <row r="814" ht="15.75" customHeight="1">
      <c r="B814" s="77">
        <f t="shared" si="1"/>
        <v>0</v>
      </c>
      <c r="C814" s="67"/>
      <c r="D814" s="78"/>
      <c r="E814" s="101"/>
      <c r="F814" s="108"/>
      <c r="G814" s="120"/>
      <c r="H814" s="101"/>
      <c r="I814" s="93"/>
      <c r="J814" s="91"/>
      <c r="L814" s="94" t="str">
        <f t="shared" si="2"/>
        <v>No infirmation</v>
      </c>
      <c r="M814" s="94" t="str">
        <f t="shared" si="3"/>
        <v/>
      </c>
    </row>
    <row r="815" ht="15.75" customHeight="1">
      <c r="B815" s="77">
        <f t="shared" si="1"/>
        <v>0</v>
      </c>
      <c r="C815" s="67"/>
      <c r="D815" s="78"/>
      <c r="E815" s="101"/>
      <c r="F815" s="108"/>
      <c r="G815" s="120"/>
      <c r="H815" s="101"/>
      <c r="I815" s="93"/>
      <c r="J815" s="91"/>
      <c r="L815" s="94" t="str">
        <f t="shared" si="2"/>
        <v>No infirmation</v>
      </c>
      <c r="M815" s="94" t="str">
        <f t="shared" si="3"/>
        <v/>
      </c>
    </row>
    <row r="816" ht="15.75" customHeight="1">
      <c r="B816" s="77">
        <f t="shared" si="1"/>
        <v>0</v>
      </c>
      <c r="C816" s="67"/>
      <c r="D816" s="78"/>
      <c r="E816" s="101"/>
      <c r="F816" s="108"/>
      <c r="G816" s="120"/>
      <c r="H816" s="101"/>
      <c r="I816" s="93"/>
      <c r="J816" s="91"/>
      <c r="L816" s="94" t="str">
        <f t="shared" si="2"/>
        <v>No infirmation</v>
      </c>
      <c r="M816" s="94" t="str">
        <f t="shared" si="3"/>
        <v/>
      </c>
    </row>
    <row r="817" ht="15.75" customHeight="1">
      <c r="B817" s="77">
        <f t="shared" si="1"/>
        <v>0</v>
      </c>
      <c r="C817" s="67"/>
      <c r="D817" s="78"/>
      <c r="E817" s="101"/>
      <c r="F817" s="108"/>
      <c r="G817" s="120"/>
      <c r="H817" s="101"/>
      <c r="I817" s="93"/>
      <c r="J817" s="91"/>
      <c r="L817" s="94" t="str">
        <f t="shared" si="2"/>
        <v>No infirmation</v>
      </c>
      <c r="M817" s="94" t="str">
        <f t="shared" si="3"/>
        <v/>
      </c>
    </row>
    <row r="818" ht="15.75" customHeight="1">
      <c r="B818" s="77">
        <f t="shared" si="1"/>
        <v>0</v>
      </c>
      <c r="C818" s="67"/>
      <c r="D818" s="78"/>
      <c r="E818" s="101"/>
      <c r="F818" s="108"/>
      <c r="G818" s="120"/>
      <c r="H818" s="101"/>
      <c r="I818" s="93"/>
      <c r="J818" s="91"/>
      <c r="L818" s="94" t="str">
        <f t="shared" si="2"/>
        <v>No infirmation</v>
      </c>
      <c r="M818" s="94" t="str">
        <f t="shared" si="3"/>
        <v/>
      </c>
    </row>
    <row r="819" ht="15.75" customHeight="1">
      <c r="B819" s="77">
        <f t="shared" si="1"/>
        <v>0</v>
      </c>
      <c r="C819" s="67"/>
      <c r="D819" s="78"/>
      <c r="E819" s="101"/>
      <c r="F819" s="108"/>
      <c r="G819" s="120"/>
      <c r="H819" s="101"/>
      <c r="I819" s="93"/>
      <c r="J819" s="91"/>
      <c r="L819" s="94" t="str">
        <f t="shared" si="2"/>
        <v>No infirmation</v>
      </c>
      <c r="M819" s="94" t="str">
        <f t="shared" si="3"/>
        <v/>
      </c>
    </row>
    <row r="820" ht="15.75" customHeight="1">
      <c r="B820" s="77">
        <f t="shared" si="1"/>
        <v>0</v>
      </c>
      <c r="C820" s="67"/>
      <c r="D820" s="78"/>
      <c r="E820" s="101"/>
      <c r="F820" s="108"/>
      <c r="G820" s="120"/>
      <c r="H820" s="101"/>
      <c r="I820" s="93"/>
      <c r="J820" s="91"/>
      <c r="L820" s="94" t="str">
        <f t="shared" si="2"/>
        <v>No infirmation</v>
      </c>
      <c r="M820" s="94" t="str">
        <f t="shared" si="3"/>
        <v/>
      </c>
    </row>
    <row r="821" ht="15.75" customHeight="1">
      <c r="B821" s="77">
        <f t="shared" si="1"/>
        <v>0</v>
      </c>
      <c r="C821" s="67"/>
      <c r="D821" s="78"/>
      <c r="E821" s="101"/>
      <c r="F821" s="108"/>
      <c r="G821" s="120"/>
      <c r="H821" s="101"/>
      <c r="I821" s="93"/>
      <c r="J821" s="91"/>
      <c r="L821" s="94" t="str">
        <f t="shared" si="2"/>
        <v>No infirmation</v>
      </c>
      <c r="M821" s="94" t="str">
        <f t="shared" si="3"/>
        <v/>
      </c>
    </row>
    <row r="822" ht="15.75" customHeight="1">
      <c r="B822" s="77">
        <f t="shared" si="1"/>
        <v>0</v>
      </c>
      <c r="C822" s="67"/>
      <c r="D822" s="78"/>
      <c r="E822" s="101"/>
      <c r="F822" s="108"/>
      <c r="G822" s="120"/>
      <c r="H822" s="101"/>
      <c r="I822" s="93"/>
      <c r="J822" s="91"/>
      <c r="L822" s="94" t="str">
        <f t="shared" si="2"/>
        <v>No infirmation</v>
      </c>
      <c r="M822" s="94" t="str">
        <f t="shared" si="3"/>
        <v/>
      </c>
    </row>
    <row r="823" ht="15.75" customHeight="1">
      <c r="B823" s="77">
        <f t="shared" si="1"/>
        <v>0</v>
      </c>
      <c r="C823" s="67"/>
      <c r="D823" s="78"/>
      <c r="E823" s="101"/>
      <c r="F823" s="108"/>
      <c r="G823" s="120"/>
      <c r="H823" s="101"/>
      <c r="I823" s="93"/>
      <c r="J823" s="91"/>
      <c r="L823" s="94" t="str">
        <f t="shared" si="2"/>
        <v>No infirmation</v>
      </c>
      <c r="M823" s="94" t="str">
        <f t="shared" si="3"/>
        <v/>
      </c>
    </row>
    <row r="824" ht="15.75" customHeight="1">
      <c r="B824" s="77">
        <f t="shared" si="1"/>
        <v>0</v>
      </c>
      <c r="C824" s="67"/>
      <c r="D824" s="78"/>
      <c r="E824" s="101"/>
      <c r="F824" s="108"/>
      <c r="G824" s="120"/>
      <c r="H824" s="101"/>
      <c r="I824" s="93"/>
      <c r="J824" s="91"/>
      <c r="L824" s="94" t="str">
        <f t="shared" si="2"/>
        <v>No infirmation</v>
      </c>
      <c r="M824" s="94" t="str">
        <f t="shared" si="3"/>
        <v/>
      </c>
    </row>
    <row r="825" ht="15.75" customHeight="1">
      <c r="B825" s="77">
        <f t="shared" si="1"/>
        <v>0</v>
      </c>
      <c r="C825" s="67"/>
      <c r="D825" s="78"/>
      <c r="E825" s="101"/>
      <c r="F825" s="108"/>
      <c r="G825" s="120"/>
      <c r="H825" s="101"/>
      <c r="I825" s="93"/>
      <c r="J825" s="91"/>
      <c r="L825" s="94" t="str">
        <f t="shared" si="2"/>
        <v>No infirmation</v>
      </c>
      <c r="M825" s="94" t="str">
        <f t="shared" si="3"/>
        <v/>
      </c>
    </row>
    <row r="826" ht="15.75" customHeight="1">
      <c r="B826" s="77">
        <f t="shared" si="1"/>
        <v>0</v>
      </c>
      <c r="C826" s="67"/>
      <c r="D826" s="78"/>
      <c r="E826" s="101"/>
      <c r="F826" s="108"/>
      <c r="G826" s="120"/>
      <c r="H826" s="101"/>
      <c r="I826" s="93"/>
      <c r="J826" s="91"/>
      <c r="L826" s="94" t="str">
        <f t="shared" si="2"/>
        <v>No infirmation</v>
      </c>
      <c r="M826" s="94" t="str">
        <f t="shared" si="3"/>
        <v/>
      </c>
    </row>
    <row r="827" ht="15.75" customHeight="1">
      <c r="B827" s="77">
        <f t="shared" si="1"/>
        <v>0</v>
      </c>
      <c r="C827" s="67"/>
      <c r="D827" s="78"/>
      <c r="E827" s="101"/>
      <c r="F827" s="108"/>
      <c r="G827" s="120"/>
      <c r="H827" s="101"/>
      <c r="I827" s="93"/>
      <c r="J827" s="91"/>
      <c r="L827" s="94" t="str">
        <f t="shared" si="2"/>
        <v>No infirmation</v>
      </c>
      <c r="M827" s="94" t="str">
        <f t="shared" si="3"/>
        <v/>
      </c>
    </row>
    <row r="828" ht="15.75" customHeight="1">
      <c r="B828" s="77">
        <f t="shared" si="1"/>
        <v>0</v>
      </c>
      <c r="C828" s="67"/>
      <c r="D828" s="78"/>
      <c r="E828" s="101"/>
      <c r="F828" s="108"/>
      <c r="G828" s="120"/>
      <c r="H828" s="101"/>
      <c r="I828" s="93"/>
      <c r="J828" s="91"/>
      <c r="L828" s="94" t="str">
        <f t="shared" si="2"/>
        <v>No infirmation</v>
      </c>
      <c r="M828" s="94" t="str">
        <f t="shared" si="3"/>
        <v/>
      </c>
    </row>
    <row r="829" ht="15.75" customHeight="1">
      <c r="B829" s="77">
        <f t="shared" si="1"/>
        <v>0</v>
      </c>
      <c r="C829" s="67"/>
      <c r="D829" s="78"/>
      <c r="E829" s="101"/>
      <c r="F829" s="108"/>
      <c r="G829" s="120"/>
      <c r="H829" s="101"/>
      <c r="I829" s="93"/>
      <c r="J829" s="91"/>
      <c r="L829" s="94" t="str">
        <f t="shared" si="2"/>
        <v>No infirmation</v>
      </c>
      <c r="M829" s="94" t="str">
        <f t="shared" si="3"/>
        <v/>
      </c>
    </row>
    <row r="830" ht="15.75" customHeight="1">
      <c r="B830" s="77">
        <f t="shared" si="1"/>
        <v>0</v>
      </c>
      <c r="C830" s="67"/>
      <c r="D830" s="78"/>
      <c r="E830" s="101"/>
      <c r="F830" s="108"/>
      <c r="G830" s="120"/>
      <c r="H830" s="101"/>
      <c r="I830" s="93"/>
      <c r="J830" s="91"/>
      <c r="L830" s="94" t="str">
        <f t="shared" si="2"/>
        <v>No infirmation</v>
      </c>
      <c r="M830" s="94" t="str">
        <f t="shared" si="3"/>
        <v/>
      </c>
    </row>
    <row r="831" ht="15.75" customHeight="1">
      <c r="B831" s="77">
        <f t="shared" si="1"/>
        <v>0</v>
      </c>
      <c r="C831" s="67"/>
      <c r="D831" s="78"/>
      <c r="E831" s="101"/>
      <c r="F831" s="108"/>
      <c r="G831" s="120"/>
      <c r="H831" s="101"/>
      <c r="I831" s="93"/>
      <c r="J831" s="91"/>
      <c r="L831" s="94" t="str">
        <f t="shared" si="2"/>
        <v>No infirmation</v>
      </c>
      <c r="M831" s="94" t="str">
        <f t="shared" si="3"/>
        <v/>
      </c>
    </row>
    <row r="832" ht="15.75" customHeight="1">
      <c r="B832" s="77">
        <f t="shared" si="1"/>
        <v>0</v>
      </c>
      <c r="C832" s="67"/>
      <c r="D832" s="78"/>
      <c r="E832" s="101"/>
      <c r="F832" s="108"/>
      <c r="G832" s="120"/>
      <c r="H832" s="101"/>
      <c r="I832" s="93"/>
      <c r="J832" s="91"/>
      <c r="L832" s="94" t="str">
        <f t="shared" si="2"/>
        <v>No infirmation</v>
      </c>
      <c r="M832" s="94" t="str">
        <f t="shared" si="3"/>
        <v/>
      </c>
    </row>
    <row r="833" ht="15.75" customHeight="1">
      <c r="B833" s="77">
        <f t="shared" si="1"/>
        <v>0</v>
      </c>
      <c r="C833" s="67"/>
      <c r="D833" s="78"/>
      <c r="E833" s="101"/>
      <c r="F833" s="108"/>
      <c r="G833" s="120"/>
      <c r="H833" s="101"/>
      <c r="I833" s="93"/>
      <c r="J833" s="91"/>
      <c r="L833" s="94" t="str">
        <f t="shared" si="2"/>
        <v>No infirmation</v>
      </c>
      <c r="M833" s="94" t="str">
        <f t="shared" si="3"/>
        <v/>
      </c>
    </row>
    <row r="834" ht="15.75" customHeight="1">
      <c r="B834" s="77">
        <f t="shared" si="1"/>
        <v>0</v>
      </c>
      <c r="C834" s="67"/>
      <c r="D834" s="78"/>
      <c r="E834" s="101"/>
      <c r="F834" s="108"/>
      <c r="G834" s="120"/>
      <c r="H834" s="101"/>
      <c r="I834" s="93"/>
      <c r="J834" s="91"/>
      <c r="L834" s="94" t="str">
        <f t="shared" si="2"/>
        <v>No infirmation</v>
      </c>
      <c r="M834" s="94" t="str">
        <f t="shared" si="3"/>
        <v/>
      </c>
    </row>
    <row r="835" ht="15.75" customHeight="1">
      <c r="B835" s="77">
        <f t="shared" si="1"/>
        <v>0</v>
      </c>
      <c r="C835" s="67"/>
      <c r="D835" s="78"/>
      <c r="E835" s="101"/>
      <c r="F835" s="108"/>
      <c r="G835" s="120"/>
      <c r="H835" s="101"/>
      <c r="I835" s="93"/>
      <c r="J835" s="91"/>
      <c r="L835" s="94" t="str">
        <f t="shared" si="2"/>
        <v>No infirmation</v>
      </c>
      <c r="M835" s="94" t="str">
        <f t="shared" si="3"/>
        <v/>
      </c>
    </row>
    <row r="836" ht="15.75" customHeight="1">
      <c r="B836" s="77">
        <f t="shared" si="1"/>
        <v>0</v>
      </c>
      <c r="C836" s="67"/>
      <c r="D836" s="78"/>
      <c r="E836" s="101"/>
      <c r="F836" s="108"/>
      <c r="G836" s="120"/>
      <c r="H836" s="101"/>
      <c r="I836" s="93"/>
      <c r="J836" s="91"/>
      <c r="L836" s="94" t="str">
        <f t="shared" si="2"/>
        <v>No infirmation</v>
      </c>
      <c r="M836" s="94" t="str">
        <f t="shared" si="3"/>
        <v/>
      </c>
    </row>
    <row r="837" ht="15.75" customHeight="1">
      <c r="B837" s="77">
        <f t="shared" si="1"/>
        <v>0</v>
      </c>
      <c r="C837" s="67"/>
      <c r="D837" s="78"/>
      <c r="E837" s="101"/>
      <c r="F837" s="108"/>
      <c r="G837" s="120"/>
      <c r="H837" s="101"/>
      <c r="I837" s="93"/>
      <c r="J837" s="91"/>
      <c r="L837" s="94" t="str">
        <f t="shared" si="2"/>
        <v>No infirmation</v>
      </c>
      <c r="M837" s="94" t="str">
        <f t="shared" si="3"/>
        <v/>
      </c>
    </row>
    <row r="838" ht="15.75" customHeight="1">
      <c r="B838" s="77">
        <f t="shared" si="1"/>
        <v>0</v>
      </c>
      <c r="C838" s="67"/>
      <c r="D838" s="78"/>
      <c r="E838" s="101"/>
      <c r="F838" s="108"/>
      <c r="G838" s="120"/>
      <c r="H838" s="101"/>
      <c r="I838" s="93"/>
      <c r="J838" s="91"/>
      <c r="L838" s="94" t="str">
        <f t="shared" si="2"/>
        <v>No infirmation</v>
      </c>
      <c r="M838" s="94" t="str">
        <f t="shared" si="3"/>
        <v/>
      </c>
    </row>
    <row r="839" ht="15.75" customHeight="1">
      <c r="B839" s="77">
        <f t="shared" si="1"/>
        <v>0</v>
      </c>
      <c r="C839" s="67"/>
      <c r="D839" s="78"/>
      <c r="E839" s="101"/>
      <c r="F839" s="108"/>
      <c r="G839" s="120"/>
      <c r="H839" s="101"/>
      <c r="I839" s="93"/>
      <c r="J839" s="91"/>
      <c r="L839" s="94" t="str">
        <f t="shared" si="2"/>
        <v>No infirmation</v>
      </c>
      <c r="M839" s="94" t="str">
        <f t="shared" si="3"/>
        <v/>
      </c>
    </row>
    <row r="840" ht="15.75" customHeight="1">
      <c r="B840" s="77">
        <f t="shared" si="1"/>
        <v>0</v>
      </c>
      <c r="C840" s="67"/>
      <c r="D840" s="78"/>
      <c r="E840" s="101"/>
      <c r="F840" s="108"/>
      <c r="G840" s="120"/>
      <c r="H840" s="101"/>
      <c r="I840" s="93"/>
      <c r="J840" s="91"/>
      <c r="L840" s="94" t="str">
        <f t="shared" si="2"/>
        <v>No infirmation</v>
      </c>
      <c r="M840" s="94" t="str">
        <f t="shared" si="3"/>
        <v/>
      </c>
    </row>
    <row r="841" ht="15.75" customHeight="1">
      <c r="B841" s="77">
        <f t="shared" si="1"/>
        <v>0</v>
      </c>
      <c r="C841" s="67"/>
      <c r="D841" s="78"/>
      <c r="E841" s="101"/>
      <c r="F841" s="108"/>
      <c r="G841" s="120"/>
      <c r="H841" s="101"/>
      <c r="I841" s="93"/>
      <c r="J841" s="91"/>
      <c r="L841" s="94" t="str">
        <f t="shared" si="2"/>
        <v>No infirmation</v>
      </c>
      <c r="M841" s="94" t="str">
        <f t="shared" si="3"/>
        <v/>
      </c>
    </row>
    <row r="842" ht="15.75" customHeight="1">
      <c r="B842" s="77">
        <f t="shared" si="1"/>
        <v>0</v>
      </c>
      <c r="C842" s="67"/>
      <c r="D842" s="78"/>
      <c r="E842" s="101"/>
      <c r="F842" s="108"/>
      <c r="G842" s="120"/>
      <c r="H842" s="101"/>
      <c r="I842" s="93"/>
      <c r="J842" s="91"/>
      <c r="L842" s="94" t="str">
        <f t="shared" si="2"/>
        <v>No infirmation</v>
      </c>
      <c r="M842" s="94" t="str">
        <f t="shared" si="3"/>
        <v/>
      </c>
    </row>
    <row r="843" ht="15.75" customHeight="1">
      <c r="B843" s="77">
        <f t="shared" si="1"/>
        <v>0</v>
      </c>
      <c r="C843" s="67"/>
      <c r="D843" s="78"/>
      <c r="E843" s="101"/>
      <c r="F843" s="108"/>
      <c r="G843" s="120"/>
      <c r="H843" s="101"/>
      <c r="I843" s="93"/>
      <c r="J843" s="91"/>
      <c r="L843" s="94" t="str">
        <f t="shared" si="2"/>
        <v>No infirmation</v>
      </c>
      <c r="M843" s="94" t="str">
        <f t="shared" si="3"/>
        <v/>
      </c>
    </row>
    <row r="844" ht="15.75" customHeight="1">
      <c r="B844" s="77">
        <f t="shared" si="1"/>
        <v>0</v>
      </c>
      <c r="C844" s="67"/>
      <c r="D844" s="78"/>
      <c r="E844" s="101"/>
      <c r="F844" s="108"/>
      <c r="G844" s="120"/>
      <c r="H844" s="101"/>
      <c r="I844" s="93"/>
      <c r="J844" s="91"/>
      <c r="L844" s="94" t="str">
        <f t="shared" si="2"/>
        <v>No infirmation</v>
      </c>
      <c r="M844" s="94" t="str">
        <f t="shared" si="3"/>
        <v/>
      </c>
    </row>
    <row r="845" ht="15.75" customHeight="1">
      <c r="B845" s="77">
        <f t="shared" si="1"/>
        <v>0</v>
      </c>
      <c r="C845" s="67"/>
      <c r="D845" s="78"/>
      <c r="E845" s="101"/>
      <c r="F845" s="108"/>
      <c r="G845" s="120"/>
      <c r="H845" s="101"/>
      <c r="I845" s="93"/>
      <c r="J845" s="91"/>
      <c r="L845" s="94" t="str">
        <f t="shared" si="2"/>
        <v>No infirmation</v>
      </c>
      <c r="M845" s="94" t="str">
        <f t="shared" si="3"/>
        <v/>
      </c>
    </row>
    <row r="846" ht="15.75" customHeight="1">
      <c r="B846" s="77">
        <f t="shared" si="1"/>
        <v>0</v>
      </c>
      <c r="C846" s="67"/>
      <c r="D846" s="78"/>
      <c r="E846" s="101"/>
      <c r="F846" s="108"/>
      <c r="G846" s="120"/>
      <c r="H846" s="101"/>
      <c r="I846" s="93"/>
      <c r="J846" s="91"/>
      <c r="L846" s="94" t="str">
        <f t="shared" si="2"/>
        <v>No infirmation</v>
      </c>
      <c r="M846" s="94" t="str">
        <f t="shared" si="3"/>
        <v/>
      </c>
    </row>
    <row r="847" ht="15.75" customHeight="1">
      <c r="B847" s="77">
        <f t="shared" si="1"/>
        <v>0</v>
      </c>
      <c r="C847" s="67"/>
      <c r="D847" s="78"/>
      <c r="E847" s="101"/>
      <c r="F847" s="108"/>
      <c r="G847" s="120"/>
      <c r="H847" s="101"/>
      <c r="I847" s="93"/>
      <c r="J847" s="91"/>
      <c r="L847" s="94" t="str">
        <f t="shared" si="2"/>
        <v>No infirmation</v>
      </c>
      <c r="M847" s="94" t="str">
        <f t="shared" si="3"/>
        <v/>
      </c>
    </row>
    <row r="848" ht="15.75" customHeight="1">
      <c r="B848" s="77">
        <f t="shared" si="1"/>
        <v>0</v>
      </c>
      <c r="C848" s="67"/>
      <c r="D848" s="78"/>
      <c r="E848" s="101"/>
      <c r="F848" s="108"/>
      <c r="G848" s="120"/>
      <c r="H848" s="101"/>
      <c r="I848" s="93"/>
      <c r="J848" s="91"/>
      <c r="L848" s="94" t="str">
        <f t="shared" si="2"/>
        <v>No infirmation</v>
      </c>
      <c r="M848" s="94" t="str">
        <f t="shared" si="3"/>
        <v/>
      </c>
    </row>
    <row r="849" ht="15.75" customHeight="1">
      <c r="B849" s="77">
        <f t="shared" si="1"/>
        <v>0</v>
      </c>
      <c r="C849" s="67"/>
      <c r="D849" s="78"/>
      <c r="E849" s="101"/>
      <c r="F849" s="108"/>
      <c r="G849" s="120"/>
      <c r="H849" s="101"/>
      <c r="I849" s="93"/>
      <c r="J849" s="91"/>
      <c r="L849" s="94" t="str">
        <f t="shared" si="2"/>
        <v>No infirmation</v>
      </c>
      <c r="M849" s="94" t="str">
        <f t="shared" si="3"/>
        <v/>
      </c>
    </row>
    <row r="850" ht="15.75" customHeight="1">
      <c r="B850" s="77">
        <f t="shared" si="1"/>
        <v>0</v>
      </c>
      <c r="C850" s="67"/>
      <c r="D850" s="78"/>
      <c r="E850" s="101"/>
      <c r="F850" s="108"/>
      <c r="G850" s="120"/>
      <c r="H850" s="101"/>
      <c r="I850" s="93"/>
      <c r="J850" s="91"/>
      <c r="L850" s="94" t="str">
        <f t="shared" si="2"/>
        <v>No infirmation</v>
      </c>
      <c r="M850" s="94" t="str">
        <f t="shared" si="3"/>
        <v/>
      </c>
    </row>
    <row r="851" ht="15.75" customHeight="1">
      <c r="B851" s="77">
        <f t="shared" si="1"/>
        <v>0</v>
      </c>
      <c r="C851" s="67"/>
      <c r="D851" s="78"/>
      <c r="E851" s="101"/>
      <c r="F851" s="108"/>
      <c r="G851" s="120"/>
      <c r="H851" s="101"/>
      <c r="I851" s="93"/>
      <c r="J851" s="91"/>
      <c r="L851" s="94" t="str">
        <f t="shared" si="2"/>
        <v>No infirmation</v>
      </c>
      <c r="M851" s="94" t="str">
        <f t="shared" si="3"/>
        <v/>
      </c>
    </row>
    <row r="852" ht="15.75" customHeight="1">
      <c r="B852" s="77">
        <f t="shared" si="1"/>
        <v>0</v>
      </c>
      <c r="C852" s="67"/>
      <c r="D852" s="78"/>
      <c r="E852" s="101"/>
      <c r="F852" s="108"/>
      <c r="G852" s="120"/>
      <c r="H852" s="101"/>
      <c r="I852" s="93"/>
      <c r="J852" s="91"/>
      <c r="L852" s="94" t="str">
        <f t="shared" si="2"/>
        <v>No infirmation</v>
      </c>
      <c r="M852" s="94" t="str">
        <f t="shared" si="3"/>
        <v/>
      </c>
    </row>
    <row r="853" ht="15.75" customHeight="1">
      <c r="B853" s="77">
        <f t="shared" si="1"/>
        <v>0</v>
      </c>
      <c r="C853" s="67"/>
      <c r="D853" s="78"/>
      <c r="E853" s="101"/>
      <c r="F853" s="108"/>
      <c r="G853" s="120"/>
      <c r="H853" s="101"/>
      <c r="I853" s="93"/>
      <c r="J853" s="91"/>
      <c r="L853" s="94" t="str">
        <f t="shared" si="2"/>
        <v>No infirmation</v>
      </c>
      <c r="M853" s="94" t="str">
        <f t="shared" si="3"/>
        <v/>
      </c>
    </row>
    <row r="854" ht="15.75" customHeight="1">
      <c r="B854" s="77">
        <f t="shared" si="1"/>
        <v>0</v>
      </c>
      <c r="C854" s="67"/>
      <c r="D854" s="78"/>
      <c r="E854" s="101"/>
      <c r="F854" s="108"/>
      <c r="G854" s="120"/>
      <c r="H854" s="101"/>
      <c r="I854" s="93"/>
      <c r="J854" s="91"/>
      <c r="L854" s="94" t="str">
        <f t="shared" si="2"/>
        <v>No infirmation</v>
      </c>
      <c r="M854" s="94" t="str">
        <f t="shared" si="3"/>
        <v/>
      </c>
    </row>
    <row r="855" ht="15.75" customHeight="1">
      <c r="B855" s="77">
        <f t="shared" si="1"/>
        <v>0</v>
      </c>
      <c r="C855" s="67"/>
      <c r="D855" s="78"/>
      <c r="E855" s="101"/>
      <c r="F855" s="108"/>
      <c r="G855" s="120"/>
      <c r="H855" s="101"/>
      <c r="I855" s="93"/>
      <c r="J855" s="91"/>
      <c r="L855" s="94" t="str">
        <f t="shared" si="2"/>
        <v>No infirmation</v>
      </c>
      <c r="M855" s="94" t="str">
        <f t="shared" si="3"/>
        <v/>
      </c>
    </row>
    <row r="856" ht="15.75" customHeight="1">
      <c r="B856" s="77">
        <f t="shared" si="1"/>
        <v>0</v>
      </c>
      <c r="C856" s="67"/>
      <c r="D856" s="78"/>
      <c r="E856" s="101"/>
      <c r="F856" s="108"/>
      <c r="G856" s="120"/>
      <c r="H856" s="101"/>
      <c r="I856" s="93"/>
      <c r="J856" s="91"/>
      <c r="L856" s="94" t="str">
        <f t="shared" si="2"/>
        <v>No infirmation</v>
      </c>
      <c r="M856" s="94" t="str">
        <f t="shared" si="3"/>
        <v/>
      </c>
    </row>
    <row r="857" ht="15.75" customHeight="1">
      <c r="B857" s="77">
        <f t="shared" si="1"/>
        <v>0</v>
      </c>
      <c r="C857" s="67"/>
      <c r="D857" s="78"/>
      <c r="E857" s="101"/>
      <c r="F857" s="108"/>
      <c r="G857" s="120"/>
      <c r="H857" s="101"/>
      <c r="I857" s="93"/>
      <c r="J857" s="91"/>
      <c r="L857" s="94" t="str">
        <f t="shared" si="2"/>
        <v>No infirmation</v>
      </c>
      <c r="M857" s="94" t="str">
        <f t="shared" si="3"/>
        <v/>
      </c>
    </row>
    <row r="858" ht="15.75" customHeight="1">
      <c r="B858" s="77">
        <f t="shared" si="1"/>
        <v>0</v>
      </c>
      <c r="C858" s="67"/>
      <c r="D858" s="78"/>
      <c r="E858" s="101"/>
      <c r="F858" s="108"/>
      <c r="G858" s="120"/>
      <c r="H858" s="101"/>
      <c r="I858" s="93"/>
      <c r="J858" s="91"/>
      <c r="L858" s="94" t="str">
        <f t="shared" si="2"/>
        <v>No infirmation</v>
      </c>
      <c r="M858" s="94" t="str">
        <f t="shared" si="3"/>
        <v/>
      </c>
    </row>
    <row r="859" ht="15.75" customHeight="1">
      <c r="B859" s="77">
        <f t="shared" si="1"/>
        <v>0</v>
      </c>
      <c r="C859" s="67"/>
      <c r="D859" s="78"/>
      <c r="E859" s="101"/>
      <c r="F859" s="108"/>
      <c r="G859" s="120"/>
      <c r="H859" s="101"/>
      <c r="I859" s="93"/>
      <c r="J859" s="91"/>
      <c r="L859" s="94" t="str">
        <f t="shared" si="2"/>
        <v>No infirmation</v>
      </c>
      <c r="M859" s="94" t="str">
        <f t="shared" si="3"/>
        <v/>
      </c>
    </row>
    <row r="860" ht="15.75" customHeight="1">
      <c r="B860" s="77">
        <f t="shared" si="1"/>
        <v>0</v>
      </c>
      <c r="C860" s="67"/>
      <c r="D860" s="78"/>
      <c r="E860" s="101"/>
      <c r="F860" s="108"/>
      <c r="G860" s="120"/>
      <c r="H860" s="101"/>
      <c r="I860" s="93"/>
      <c r="J860" s="91"/>
      <c r="L860" s="94" t="str">
        <f t="shared" si="2"/>
        <v>No infirmation</v>
      </c>
      <c r="M860" s="94" t="str">
        <f t="shared" si="3"/>
        <v/>
      </c>
    </row>
    <row r="861" ht="15.75" customHeight="1">
      <c r="B861" s="77">
        <f t="shared" si="1"/>
        <v>0</v>
      </c>
      <c r="C861" s="67"/>
      <c r="D861" s="78"/>
      <c r="E861" s="101"/>
      <c r="F861" s="108"/>
      <c r="G861" s="120"/>
      <c r="H861" s="101"/>
      <c r="I861" s="93"/>
      <c r="J861" s="91"/>
      <c r="L861" s="94" t="str">
        <f t="shared" si="2"/>
        <v>No infirmation</v>
      </c>
      <c r="M861" s="94" t="str">
        <f t="shared" si="3"/>
        <v/>
      </c>
    </row>
    <row r="862" ht="15.75" customHeight="1">
      <c r="B862" s="77">
        <f t="shared" si="1"/>
        <v>0</v>
      </c>
      <c r="C862" s="67"/>
      <c r="D862" s="78"/>
      <c r="E862" s="101"/>
      <c r="F862" s="108"/>
      <c r="G862" s="120"/>
      <c r="H862" s="101"/>
      <c r="I862" s="93"/>
      <c r="J862" s="91"/>
      <c r="L862" s="94" t="str">
        <f t="shared" si="2"/>
        <v>No infirmation</v>
      </c>
      <c r="M862" s="94" t="str">
        <f t="shared" si="3"/>
        <v/>
      </c>
    </row>
    <row r="863" ht="15.75" customHeight="1">
      <c r="B863" s="77">
        <f t="shared" si="1"/>
        <v>0</v>
      </c>
      <c r="C863" s="67"/>
      <c r="D863" s="78"/>
      <c r="E863" s="101"/>
      <c r="F863" s="108"/>
      <c r="G863" s="120"/>
      <c r="H863" s="101"/>
      <c r="I863" s="93"/>
      <c r="J863" s="91"/>
      <c r="L863" s="94" t="str">
        <f t="shared" si="2"/>
        <v>No infirmation</v>
      </c>
      <c r="M863" s="94" t="str">
        <f t="shared" si="3"/>
        <v/>
      </c>
    </row>
    <row r="864" ht="15.75" customHeight="1">
      <c r="B864" s="77">
        <f t="shared" si="1"/>
        <v>0</v>
      </c>
      <c r="C864" s="67"/>
      <c r="D864" s="78"/>
      <c r="E864" s="101"/>
      <c r="F864" s="108"/>
      <c r="G864" s="120"/>
      <c r="H864" s="101"/>
      <c r="I864" s="93"/>
      <c r="J864" s="91"/>
      <c r="L864" s="94" t="str">
        <f t="shared" si="2"/>
        <v>No infirmation</v>
      </c>
      <c r="M864" s="94" t="str">
        <f t="shared" si="3"/>
        <v/>
      </c>
    </row>
    <row r="865" ht="15.75" customHeight="1">
      <c r="B865" s="77">
        <f t="shared" si="1"/>
        <v>0</v>
      </c>
      <c r="C865" s="67"/>
      <c r="D865" s="78"/>
      <c r="E865" s="101"/>
      <c r="F865" s="108"/>
      <c r="G865" s="120"/>
      <c r="H865" s="101"/>
      <c r="I865" s="93"/>
      <c r="J865" s="91"/>
      <c r="L865" s="94" t="str">
        <f t="shared" si="2"/>
        <v>No infirmation</v>
      </c>
      <c r="M865" s="94" t="str">
        <f t="shared" si="3"/>
        <v/>
      </c>
    </row>
    <row r="866" ht="15.75" customHeight="1">
      <c r="B866" s="77">
        <f t="shared" si="1"/>
        <v>0</v>
      </c>
      <c r="C866" s="67"/>
      <c r="D866" s="78"/>
      <c r="E866" s="101"/>
      <c r="F866" s="108"/>
      <c r="G866" s="120"/>
      <c r="H866" s="101"/>
      <c r="I866" s="93"/>
      <c r="J866" s="91"/>
      <c r="L866" s="94" t="str">
        <f t="shared" si="2"/>
        <v>No infirmation</v>
      </c>
      <c r="M866" s="94" t="str">
        <f t="shared" si="3"/>
        <v/>
      </c>
    </row>
    <row r="867" ht="15.75" customHeight="1">
      <c r="B867" s="77">
        <f t="shared" si="1"/>
        <v>0</v>
      </c>
      <c r="C867" s="67"/>
      <c r="D867" s="78"/>
      <c r="E867" s="101"/>
      <c r="F867" s="108"/>
      <c r="G867" s="120"/>
      <c r="H867" s="101"/>
      <c r="I867" s="93"/>
      <c r="J867" s="91"/>
      <c r="L867" s="94" t="str">
        <f t="shared" si="2"/>
        <v>No infirmation</v>
      </c>
      <c r="M867" s="94" t="str">
        <f t="shared" si="3"/>
        <v/>
      </c>
    </row>
    <row r="868" ht="15.75" customHeight="1">
      <c r="B868" s="77">
        <f t="shared" si="1"/>
        <v>0</v>
      </c>
      <c r="C868" s="67"/>
      <c r="D868" s="78"/>
      <c r="E868" s="101"/>
      <c r="F868" s="108"/>
      <c r="G868" s="120"/>
      <c r="H868" s="101"/>
      <c r="I868" s="93"/>
      <c r="J868" s="91"/>
      <c r="L868" s="94" t="str">
        <f t="shared" si="2"/>
        <v>No infirmation</v>
      </c>
      <c r="M868" s="94" t="str">
        <f t="shared" si="3"/>
        <v/>
      </c>
    </row>
    <row r="869" ht="15.75" customHeight="1">
      <c r="B869" s="77">
        <f t="shared" si="1"/>
        <v>0</v>
      </c>
      <c r="C869" s="67"/>
      <c r="D869" s="78"/>
      <c r="E869" s="101"/>
      <c r="F869" s="108"/>
      <c r="G869" s="120"/>
      <c r="H869" s="101"/>
      <c r="I869" s="93"/>
      <c r="J869" s="91"/>
      <c r="L869" s="94" t="str">
        <f t="shared" si="2"/>
        <v>No infirmation</v>
      </c>
      <c r="M869" s="94" t="str">
        <f t="shared" si="3"/>
        <v/>
      </c>
    </row>
    <row r="870" ht="15.75" customHeight="1">
      <c r="B870" s="77">
        <f t="shared" si="1"/>
        <v>0</v>
      </c>
      <c r="C870" s="67"/>
      <c r="D870" s="78"/>
      <c r="E870" s="101"/>
      <c r="F870" s="108"/>
      <c r="G870" s="120"/>
      <c r="H870" s="101"/>
      <c r="I870" s="93"/>
      <c r="J870" s="91"/>
      <c r="L870" s="94" t="str">
        <f t="shared" si="2"/>
        <v>No infirmation</v>
      </c>
      <c r="M870" s="94" t="str">
        <f t="shared" si="3"/>
        <v/>
      </c>
    </row>
    <row r="871" ht="15.75" customHeight="1">
      <c r="B871" s="77">
        <f t="shared" si="1"/>
        <v>0</v>
      </c>
      <c r="C871" s="67"/>
      <c r="D871" s="78"/>
      <c r="E871" s="101"/>
      <c r="F871" s="108"/>
      <c r="G871" s="120"/>
      <c r="H871" s="101"/>
      <c r="I871" s="93"/>
      <c r="J871" s="91"/>
      <c r="L871" s="94" t="str">
        <f t="shared" si="2"/>
        <v>No infirmation</v>
      </c>
      <c r="M871" s="94" t="str">
        <f t="shared" si="3"/>
        <v/>
      </c>
    </row>
    <row r="872" ht="15.75" customHeight="1">
      <c r="B872" s="77">
        <f t="shared" si="1"/>
        <v>0</v>
      </c>
      <c r="C872" s="67"/>
      <c r="D872" s="78"/>
      <c r="E872" s="101"/>
      <c r="F872" s="108"/>
      <c r="G872" s="120"/>
      <c r="H872" s="101"/>
      <c r="I872" s="93"/>
      <c r="J872" s="91"/>
      <c r="L872" s="94" t="str">
        <f t="shared" si="2"/>
        <v>No infirmation</v>
      </c>
      <c r="M872" s="94" t="str">
        <f t="shared" si="3"/>
        <v/>
      </c>
    </row>
    <row r="873" ht="15.75" customHeight="1">
      <c r="B873" s="77">
        <f t="shared" si="1"/>
        <v>0</v>
      </c>
      <c r="C873" s="67"/>
      <c r="D873" s="78"/>
      <c r="E873" s="101"/>
      <c r="F873" s="108"/>
      <c r="G873" s="120"/>
      <c r="H873" s="101"/>
      <c r="I873" s="93"/>
      <c r="J873" s="91"/>
      <c r="L873" s="94" t="str">
        <f t="shared" si="2"/>
        <v>No infirmation</v>
      </c>
      <c r="M873" s="94" t="str">
        <f t="shared" si="3"/>
        <v/>
      </c>
    </row>
    <row r="874" ht="15.75" customHeight="1">
      <c r="B874" s="77">
        <f t="shared" si="1"/>
        <v>0</v>
      </c>
      <c r="C874" s="67"/>
      <c r="D874" s="78"/>
      <c r="E874" s="101"/>
      <c r="F874" s="108"/>
      <c r="G874" s="120"/>
      <c r="H874" s="101"/>
      <c r="I874" s="93"/>
      <c r="J874" s="91"/>
      <c r="L874" s="94" t="str">
        <f t="shared" si="2"/>
        <v>No infirmation</v>
      </c>
      <c r="M874" s="94" t="str">
        <f t="shared" si="3"/>
        <v/>
      </c>
    </row>
    <row r="875" ht="15.75" customHeight="1">
      <c r="B875" s="77">
        <f t="shared" si="1"/>
        <v>0</v>
      </c>
      <c r="C875" s="67"/>
      <c r="D875" s="78"/>
      <c r="E875" s="101"/>
      <c r="F875" s="108"/>
      <c r="G875" s="120"/>
      <c r="H875" s="101"/>
      <c r="I875" s="93"/>
      <c r="J875" s="91"/>
      <c r="L875" s="94" t="str">
        <f t="shared" si="2"/>
        <v>No infirmation</v>
      </c>
      <c r="M875" s="94" t="str">
        <f t="shared" si="3"/>
        <v/>
      </c>
    </row>
    <row r="876" ht="15.75" customHeight="1">
      <c r="B876" s="77">
        <f t="shared" si="1"/>
        <v>0</v>
      </c>
      <c r="C876" s="67"/>
      <c r="D876" s="78"/>
      <c r="E876" s="101"/>
      <c r="F876" s="108"/>
      <c r="G876" s="120"/>
      <c r="H876" s="101"/>
      <c r="I876" s="93"/>
      <c r="J876" s="91"/>
      <c r="L876" s="94" t="str">
        <f t="shared" si="2"/>
        <v>No infirmation</v>
      </c>
      <c r="M876" s="94" t="str">
        <f t="shared" si="3"/>
        <v/>
      </c>
    </row>
    <row r="877" ht="15.75" customHeight="1">
      <c r="B877" s="77">
        <f t="shared" si="1"/>
        <v>0</v>
      </c>
      <c r="C877" s="67"/>
      <c r="D877" s="78"/>
      <c r="E877" s="101"/>
      <c r="F877" s="108"/>
      <c r="G877" s="120"/>
      <c r="H877" s="101"/>
      <c r="I877" s="93"/>
      <c r="J877" s="91"/>
      <c r="L877" s="94" t="str">
        <f t="shared" si="2"/>
        <v>No infirmation</v>
      </c>
      <c r="M877" s="94" t="str">
        <f t="shared" si="3"/>
        <v/>
      </c>
    </row>
    <row r="878" ht="15.75" customHeight="1">
      <c r="B878" s="77">
        <f t="shared" si="1"/>
        <v>0</v>
      </c>
      <c r="C878" s="67"/>
      <c r="D878" s="78"/>
      <c r="E878" s="101"/>
      <c r="F878" s="108"/>
      <c r="G878" s="120"/>
      <c r="H878" s="101"/>
      <c r="I878" s="93"/>
      <c r="J878" s="91"/>
      <c r="L878" s="94" t="str">
        <f t="shared" si="2"/>
        <v>No infirmation</v>
      </c>
      <c r="M878" s="94" t="str">
        <f t="shared" si="3"/>
        <v/>
      </c>
    </row>
    <row r="879" ht="15.75" customHeight="1">
      <c r="B879" s="77">
        <f t="shared" si="1"/>
        <v>0</v>
      </c>
      <c r="C879" s="67"/>
      <c r="D879" s="78"/>
      <c r="E879" s="101"/>
      <c r="F879" s="108"/>
      <c r="G879" s="120"/>
      <c r="H879" s="101"/>
      <c r="I879" s="93"/>
      <c r="J879" s="91"/>
      <c r="L879" s="94" t="str">
        <f t="shared" si="2"/>
        <v>No infirmation</v>
      </c>
      <c r="M879" s="94" t="str">
        <f t="shared" si="3"/>
        <v/>
      </c>
    </row>
    <row r="880" ht="15.75" customHeight="1">
      <c r="B880" s="77">
        <f t="shared" si="1"/>
        <v>0</v>
      </c>
      <c r="C880" s="67"/>
      <c r="D880" s="78"/>
      <c r="E880" s="101"/>
      <c r="F880" s="108"/>
      <c r="G880" s="120"/>
      <c r="H880" s="101"/>
      <c r="I880" s="93"/>
      <c r="J880" s="91"/>
      <c r="L880" s="94" t="str">
        <f t="shared" si="2"/>
        <v>No infirmation</v>
      </c>
      <c r="M880" s="94" t="str">
        <f t="shared" si="3"/>
        <v/>
      </c>
    </row>
    <row r="881" ht="15.75" customHeight="1">
      <c r="B881" s="77">
        <f t="shared" si="1"/>
        <v>0</v>
      </c>
      <c r="C881" s="67"/>
      <c r="D881" s="78"/>
      <c r="E881" s="101"/>
      <c r="F881" s="108"/>
      <c r="G881" s="120"/>
      <c r="H881" s="101"/>
      <c r="I881" s="93"/>
      <c r="J881" s="91"/>
      <c r="L881" s="94" t="str">
        <f t="shared" si="2"/>
        <v>No infirmation</v>
      </c>
      <c r="M881" s="94" t="str">
        <f t="shared" si="3"/>
        <v/>
      </c>
    </row>
    <row r="882" ht="15.75" customHeight="1">
      <c r="B882" s="77">
        <f t="shared" si="1"/>
        <v>0</v>
      </c>
      <c r="C882" s="67"/>
      <c r="D882" s="78"/>
      <c r="E882" s="101"/>
      <c r="F882" s="108"/>
      <c r="G882" s="120"/>
      <c r="H882" s="101"/>
      <c r="I882" s="93"/>
      <c r="J882" s="91"/>
      <c r="L882" s="94" t="str">
        <f t="shared" si="2"/>
        <v>No infirmation</v>
      </c>
      <c r="M882" s="94" t="str">
        <f t="shared" si="3"/>
        <v/>
      </c>
    </row>
    <row r="883" ht="15.75" customHeight="1">
      <c r="B883" s="77">
        <f t="shared" si="1"/>
        <v>0</v>
      </c>
      <c r="C883" s="67"/>
      <c r="D883" s="78"/>
      <c r="E883" s="101"/>
      <c r="F883" s="108"/>
      <c r="G883" s="120"/>
      <c r="H883" s="101"/>
      <c r="I883" s="93"/>
      <c r="J883" s="91"/>
      <c r="L883" s="94" t="str">
        <f t="shared" si="2"/>
        <v>No infirmation</v>
      </c>
      <c r="M883" s="94" t="str">
        <f t="shared" si="3"/>
        <v/>
      </c>
    </row>
    <row r="884" ht="15.75" customHeight="1">
      <c r="B884" s="77">
        <f t="shared" si="1"/>
        <v>0</v>
      </c>
      <c r="C884" s="67"/>
      <c r="D884" s="78"/>
      <c r="E884" s="101"/>
      <c r="F884" s="108"/>
      <c r="G884" s="120"/>
      <c r="H884" s="101"/>
      <c r="I884" s="93"/>
      <c r="J884" s="91"/>
      <c r="L884" s="94" t="str">
        <f t="shared" si="2"/>
        <v>No infirmation</v>
      </c>
      <c r="M884" s="94" t="str">
        <f t="shared" si="3"/>
        <v/>
      </c>
    </row>
    <row r="885" ht="15.75" customHeight="1">
      <c r="B885" s="77">
        <f t="shared" si="1"/>
        <v>0</v>
      </c>
      <c r="C885" s="67"/>
      <c r="D885" s="78"/>
      <c r="E885" s="101"/>
      <c r="F885" s="108"/>
      <c r="G885" s="120"/>
      <c r="H885" s="101"/>
      <c r="I885" s="93"/>
      <c r="J885" s="91"/>
      <c r="L885" s="94" t="str">
        <f t="shared" si="2"/>
        <v>No infirmation</v>
      </c>
      <c r="M885" s="94" t="str">
        <f t="shared" si="3"/>
        <v/>
      </c>
    </row>
    <row r="886" ht="15.75" customHeight="1">
      <c r="B886" s="77">
        <f t="shared" si="1"/>
        <v>0</v>
      </c>
      <c r="C886" s="67"/>
      <c r="D886" s="78"/>
      <c r="E886" s="101"/>
      <c r="F886" s="108"/>
      <c r="G886" s="120"/>
      <c r="H886" s="101"/>
      <c r="I886" s="93"/>
      <c r="J886" s="91"/>
      <c r="L886" s="94" t="str">
        <f t="shared" si="2"/>
        <v>No infirmation</v>
      </c>
      <c r="M886" s="94" t="str">
        <f t="shared" si="3"/>
        <v/>
      </c>
    </row>
    <row r="887" ht="15.75" customHeight="1">
      <c r="B887" s="77">
        <f t="shared" si="1"/>
        <v>0</v>
      </c>
      <c r="C887" s="67"/>
      <c r="D887" s="78"/>
      <c r="E887" s="101"/>
      <c r="F887" s="108"/>
      <c r="G887" s="120"/>
      <c r="H887" s="101"/>
      <c r="I887" s="93"/>
      <c r="J887" s="91"/>
      <c r="L887" s="94" t="str">
        <f t="shared" si="2"/>
        <v>No infirmation</v>
      </c>
      <c r="M887" s="94" t="str">
        <f t="shared" si="3"/>
        <v/>
      </c>
    </row>
    <row r="888" ht="15.75" customHeight="1">
      <c r="B888" s="77">
        <f t="shared" si="1"/>
        <v>0</v>
      </c>
      <c r="C888" s="67"/>
      <c r="D888" s="78"/>
      <c r="E888" s="101"/>
      <c r="F888" s="108"/>
      <c r="G888" s="120"/>
      <c r="H888" s="101"/>
      <c r="I888" s="93"/>
      <c r="J888" s="91"/>
      <c r="L888" s="94" t="str">
        <f t="shared" si="2"/>
        <v>No infirmation</v>
      </c>
      <c r="M888" s="94" t="str">
        <f t="shared" si="3"/>
        <v/>
      </c>
    </row>
    <row r="889" ht="15.75" customHeight="1">
      <c r="B889" s="77">
        <f t="shared" si="1"/>
        <v>0</v>
      </c>
      <c r="C889" s="67"/>
      <c r="D889" s="78"/>
      <c r="E889" s="101"/>
      <c r="F889" s="108"/>
      <c r="G889" s="120"/>
      <c r="H889" s="101"/>
      <c r="I889" s="93"/>
      <c r="J889" s="91"/>
      <c r="L889" s="94" t="str">
        <f t="shared" si="2"/>
        <v>No infirmation</v>
      </c>
      <c r="M889" s="94" t="str">
        <f t="shared" si="3"/>
        <v/>
      </c>
    </row>
    <row r="890" ht="15.75" customHeight="1">
      <c r="B890" s="77">
        <f t="shared" si="1"/>
        <v>0</v>
      </c>
      <c r="C890" s="67"/>
      <c r="D890" s="78"/>
      <c r="E890" s="101"/>
      <c r="F890" s="108"/>
      <c r="G890" s="120"/>
      <c r="H890" s="101"/>
      <c r="I890" s="93"/>
      <c r="J890" s="91"/>
      <c r="L890" s="94" t="str">
        <f t="shared" si="2"/>
        <v>No infirmation</v>
      </c>
      <c r="M890" s="94" t="str">
        <f t="shared" si="3"/>
        <v/>
      </c>
    </row>
    <row r="891" ht="15.75" customHeight="1">
      <c r="B891" s="77">
        <f t="shared" si="1"/>
        <v>0</v>
      </c>
      <c r="C891" s="67"/>
      <c r="D891" s="78"/>
      <c r="E891" s="101"/>
      <c r="F891" s="108"/>
      <c r="G891" s="120"/>
      <c r="H891" s="101"/>
      <c r="I891" s="93"/>
      <c r="J891" s="91"/>
      <c r="L891" s="94" t="str">
        <f t="shared" si="2"/>
        <v>No infirmation</v>
      </c>
      <c r="M891" s="94" t="str">
        <f t="shared" si="3"/>
        <v/>
      </c>
    </row>
    <row r="892" ht="15.75" customHeight="1">
      <c r="B892" s="77">
        <f t="shared" si="1"/>
        <v>0</v>
      </c>
      <c r="C892" s="67"/>
      <c r="D892" s="78"/>
      <c r="E892" s="101"/>
      <c r="F892" s="108"/>
      <c r="G892" s="120"/>
      <c r="H892" s="101"/>
      <c r="I892" s="93"/>
      <c r="J892" s="91"/>
      <c r="L892" s="94" t="str">
        <f t="shared" si="2"/>
        <v>No infirmation</v>
      </c>
      <c r="M892" s="94" t="str">
        <f t="shared" si="3"/>
        <v/>
      </c>
    </row>
    <row r="893" ht="15.75" customHeight="1">
      <c r="B893" s="77">
        <f t="shared" si="1"/>
        <v>0</v>
      </c>
      <c r="C893" s="67"/>
      <c r="D893" s="78"/>
      <c r="E893" s="101"/>
      <c r="F893" s="108"/>
      <c r="G893" s="120"/>
      <c r="H893" s="101"/>
      <c r="I893" s="93"/>
      <c r="J893" s="91"/>
      <c r="L893" s="94" t="str">
        <f t="shared" si="2"/>
        <v>No infirmation</v>
      </c>
      <c r="M893" s="94" t="str">
        <f t="shared" si="3"/>
        <v/>
      </c>
    </row>
    <row r="894" ht="15.75" customHeight="1">
      <c r="B894" s="77">
        <f t="shared" si="1"/>
        <v>0</v>
      </c>
      <c r="C894" s="67"/>
      <c r="D894" s="78"/>
      <c r="E894" s="101"/>
      <c r="F894" s="108"/>
      <c r="G894" s="120"/>
      <c r="H894" s="101"/>
      <c r="I894" s="93"/>
      <c r="J894" s="91"/>
      <c r="L894" s="94" t="str">
        <f t="shared" si="2"/>
        <v>No infirmation</v>
      </c>
      <c r="M894" s="94" t="str">
        <f t="shared" si="3"/>
        <v/>
      </c>
    </row>
    <row r="895" ht="15.75" customHeight="1">
      <c r="B895" s="77">
        <f t="shared" si="1"/>
        <v>0</v>
      </c>
      <c r="C895" s="67"/>
      <c r="D895" s="78"/>
      <c r="E895" s="101"/>
      <c r="F895" s="108"/>
      <c r="G895" s="120"/>
      <c r="H895" s="101"/>
      <c r="I895" s="93"/>
      <c r="J895" s="91"/>
      <c r="L895" s="94" t="str">
        <f t="shared" si="2"/>
        <v>No infirmation</v>
      </c>
      <c r="M895" s="94" t="str">
        <f t="shared" si="3"/>
        <v/>
      </c>
    </row>
    <row r="896" ht="15.75" customHeight="1">
      <c r="B896" s="77">
        <f t="shared" si="1"/>
        <v>0</v>
      </c>
      <c r="C896" s="67"/>
      <c r="D896" s="78"/>
      <c r="E896" s="101"/>
      <c r="F896" s="108"/>
      <c r="G896" s="120"/>
      <c r="H896" s="101"/>
      <c r="I896" s="93"/>
      <c r="J896" s="91"/>
      <c r="L896" s="94" t="str">
        <f t="shared" si="2"/>
        <v>No infirmation</v>
      </c>
      <c r="M896" s="94" t="str">
        <f t="shared" si="3"/>
        <v/>
      </c>
    </row>
    <row r="897" ht="15.75" customHeight="1">
      <c r="B897" s="77">
        <f t="shared" si="1"/>
        <v>0</v>
      </c>
      <c r="C897" s="67"/>
      <c r="D897" s="78"/>
      <c r="E897" s="101"/>
      <c r="F897" s="108"/>
      <c r="G897" s="120"/>
      <c r="H897" s="101"/>
      <c r="I897" s="93"/>
      <c r="J897" s="91"/>
      <c r="L897" s="94" t="str">
        <f t="shared" si="2"/>
        <v>No infirmation</v>
      </c>
      <c r="M897" s="94" t="str">
        <f t="shared" si="3"/>
        <v/>
      </c>
    </row>
    <row r="898" ht="15.75" customHeight="1">
      <c r="B898" s="77">
        <f t="shared" si="1"/>
        <v>0</v>
      </c>
      <c r="C898" s="67"/>
      <c r="D898" s="78"/>
      <c r="E898" s="101"/>
      <c r="F898" s="108"/>
      <c r="G898" s="120"/>
      <c r="H898" s="101"/>
      <c r="I898" s="93"/>
      <c r="J898" s="91"/>
      <c r="L898" s="94" t="str">
        <f t="shared" si="2"/>
        <v>No infirmation</v>
      </c>
      <c r="M898" s="94" t="str">
        <f t="shared" si="3"/>
        <v/>
      </c>
    </row>
    <row r="899" ht="15.75" customHeight="1">
      <c r="B899" s="77">
        <f t="shared" si="1"/>
        <v>0</v>
      </c>
      <c r="C899" s="67"/>
      <c r="D899" s="78"/>
      <c r="E899" s="101"/>
      <c r="F899" s="108"/>
      <c r="G899" s="120"/>
      <c r="H899" s="101"/>
      <c r="I899" s="93"/>
      <c r="J899" s="91"/>
      <c r="L899" s="94" t="str">
        <f t="shared" si="2"/>
        <v>No infirmation</v>
      </c>
      <c r="M899" s="94" t="str">
        <f t="shared" si="3"/>
        <v/>
      </c>
    </row>
    <row r="900" ht="15.75" customHeight="1">
      <c r="B900" s="77">
        <f t="shared" si="1"/>
        <v>0</v>
      </c>
      <c r="C900" s="67"/>
      <c r="D900" s="78"/>
      <c r="E900" s="101"/>
      <c r="F900" s="108"/>
      <c r="G900" s="120"/>
      <c r="H900" s="101"/>
      <c r="I900" s="93"/>
      <c r="J900" s="91"/>
      <c r="L900" s="94" t="str">
        <f t="shared" si="2"/>
        <v>No infirmation</v>
      </c>
      <c r="M900" s="94" t="str">
        <f t="shared" si="3"/>
        <v/>
      </c>
    </row>
    <row r="901" ht="15.75" customHeight="1">
      <c r="B901" s="77">
        <f t="shared" si="1"/>
        <v>0</v>
      </c>
      <c r="C901" s="67"/>
      <c r="D901" s="78"/>
      <c r="E901" s="101"/>
      <c r="F901" s="108"/>
      <c r="G901" s="120"/>
      <c r="H901" s="101"/>
      <c r="I901" s="93"/>
      <c r="J901" s="91"/>
      <c r="L901" s="94" t="str">
        <f t="shared" si="2"/>
        <v>No infirmation</v>
      </c>
      <c r="M901" s="94" t="str">
        <f t="shared" si="3"/>
        <v/>
      </c>
    </row>
    <row r="902" ht="15.75" customHeight="1">
      <c r="B902" s="77">
        <f t="shared" si="1"/>
        <v>0</v>
      </c>
      <c r="C902" s="67"/>
      <c r="D902" s="78"/>
      <c r="E902" s="101"/>
      <c r="F902" s="108"/>
      <c r="G902" s="120"/>
      <c r="H902" s="101"/>
      <c r="I902" s="93"/>
      <c r="J902" s="91"/>
      <c r="L902" s="94" t="str">
        <f t="shared" si="2"/>
        <v>No infirmation</v>
      </c>
      <c r="M902" s="94" t="str">
        <f t="shared" si="3"/>
        <v/>
      </c>
    </row>
    <row r="903" ht="15.75" customHeight="1">
      <c r="B903" s="77">
        <f t="shared" si="1"/>
        <v>0</v>
      </c>
      <c r="C903" s="67"/>
      <c r="D903" s="78"/>
      <c r="E903" s="101"/>
      <c r="F903" s="108"/>
      <c r="G903" s="120"/>
      <c r="H903" s="101"/>
      <c r="I903" s="93"/>
      <c r="J903" s="91"/>
      <c r="L903" s="94" t="str">
        <f t="shared" si="2"/>
        <v>No infirmation</v>
      </c>
      <c r="M903" s="94" t="str">
        <f t="shared" si="3"/>
        <v/>
      </c>
    </row>
    <row r="904" ht="15.75" customHeight="1">
      <c r="B904" s="77">
        <f t="shared" si="1"/>
        <v>0</v>
      </c>
      <c r="C904" s="67"/>
      <c r="D904" s="78"/>
      <c r="E904" s="101"/>
      <c r="F904" s="108"/>
      <c r="G904" s="120"/>
      <c r="H904" s="101"/>
      <c r="I904" s="93"/>
      <c r="J904" s="91"/>
      <c r="L904" s="94" t="str">
        <f t="shared" si="2"/>
        <v>No infirmation</v>
      </c>
      <c r="M904" s="94" t="str">
        <f t="shared" si="3"/>
        <v/>
      </c>
    </row>
    <row r="905" ht="15.75" customHeight="1">
      <c r="B905" s="77">
        <f t="shared" si="1"/>
        <v>0</v>
      </c>
      <c r="C905" s="67"/>
      <c r="D905" s="78"/>
      <c r="E905" s="101"/>
      <c r="F905" s="108"/>
      <c r="G905" s="120"/>
      <c r="H905" s="101"/>
      <c r="I905" s="93"/>
      <c r="J905" s="91"/>
      <c r="L905" s="94" t="str">
        <f t="shared" si="2"/>
        <v>No infirmation</v>
      </c>
      <c r="M905" s="94" t="str">
        <f t="shared" si="3"/>
        <v/>
      </c>
    </row>
    <row r="906" ht="15.75" customHeight="1">
      <c r="B906" s="77">
        <f t="shared" si="1"/>
        <v>0</v>
      </c>
      <c r="C906" s="67"/>
      <c r="D906" s="78"/>
      <c r="E906" s="101"/>
      <c r="F906" s="108"/>
      <c r="G906" s="120"/>
      <c r="H906" s="101"/>
      <c r="I906" s="93"/>
      <c r="J906" s="91"/>
      <c r="L906" s="94" t="str">
        <f t="shared" si="2"/>
        <v>No infirmation</v>
      </c>
      <c r="M906" s="94" t="str">
        <f t="shared" si="3"/>
        <v/>
      </c>
    </row>
    <row r="907" ht="15.75" customHeight="1">
      <c r="B907" s="77">
        <f t="shared" si="1"/>
        <v>0</v>
      </c>
      <c r="C907" s="67"/>
      <c r="D907" s="78"/>
      <c r="E907" s="101"/>
      <c r="F907" s="108"/>
      <c r="G907" s="120"/>
      <c r="H907" s="101"/>
      <c r="I907" s="93"/>
      <c r="J907" s="91"/>
      <c r="L907" s="94" t="str">
        <f t="shared" si="2"/>
        <v>No infirmation</v>
      </c>
      <c r="M907" s="94" t="str">
        <f t="shared" si="3"/>
        <v/>
      </c>
    </row>
    <row r="908" ht="15.75" customHeight="1">
      <c r="B908" s="77">
        <f t="shared" si="1"/>
        <v>0</v>
      </c>
      <c r="C908" s="67"/>
      <c r="D908" s="78"/>
      <c r="E908" s="101"/>
      <c r="F908" s="108"/>
      <c r="G908" s="120"/>
      <c r="H908" s="101"/>
      <c r="I908" s="93"/>
      <c r="J908" s="91"/>
      <c r="L908" s="94" t="str">
        <f t="shared" si="2"/>
        <v>No infirmation</v>
      </c>
      <c r="M908" s="94" t="str">
        <f t="shared" si="3"/>
        <v/>
      </c>
    </row>
    <row r="909" ht="15.75" customHeight="1">
      <c r="B909" s="77">
        <f t="shared" si="1"/>
        <v>0</v>
      </c>
      <c r="C909" s="67"/>
      <c r="D909" s="78"/>
      <c r="E909" s="101"/>
      <c r="F909" s="108"/>
      <c r="G909" s="120"/>
      <c r="H909" s="101"/>
      <c r="I909" s="93"/>
      <c r="J909" s="91"/>
      <c r="L909" s="94" t="str">
        <f t="shared" si="2"/>
        <v>No infirmation</v>
      </c>
      <c r="M909" s="94" t="str">
        <f t="shared" si="3"/>
        <v/>
      </c>
    </row>
    <row r="910" ht="15.75" customHeight="1">
      <c r="B910" s="77">
        <f t="shared" si="1"/>
        <v>0</v>
      </c>
      <c r="C910" s="67"/>
      <c r="D910" s="78"/>
      <c r="E910" s="101"/>
      <c r="F910" s="108"/>
      <c r="G910" s="120"/>
      <c r="H910" s="101"/>
      <c r="I910" s="93"/>
      <c r="J910" s="91"/>
      <c r="L910" s="94" t="str">
        <f t="shared" si="2"/>
        <v>No infirmation</v>
      </c>
      <c r="M910" s="94" t="str">
        <f t="shared" si="3"/>
        <v/>
      </c>
    </row>
    <row r="911" ht="15.75" customHeight="1">
      <c r="B911" s="77">
        <f t="shared" si="1"/>
        <v>0</v>
      </c>
      <c r="C911" s="67"/>
      <c r="D911" s="78"/>
      <c r="E911" s="101"/>
      <c r="F911" s="108"/>
      <c r="G911" s="120"/>
      <c r="H911" s="101"/>
      <c r="I911" s="93"/>
      <c r="J911" s="91"/>
      <c r="L911" s="94" t="str">
        <f t="shared" si="2"/>
        <v>No infirmation</v>
      </c>
      <c r="M911" s="94" t="str">
        <f t="shared" si="3"/>
        <v/>
      </c>
    </row>
    <row r="912" ht="15.75" customHeight="1">
      <c r="B912" s="77">
        <f t="shared" si="1"/>
        <v>0</v>
      </c>
      <c r="C912" s="67"/>
      <c r="D912" s="78"/>
      <c r="E912" s="101"/>
      <c r="F912" s="108"/>
      <c r="G912" s="120"/>
      <c r="H912" s="101"/>
      <c r="I912" s="93"/>
      <c r="J912" s="91"/>
      <c r="L912" s="94" t="str">
        <f t="shared" si="2"/>
        <v>No infirmation</v>
      </c>
      <c r="M912" s="94" t="str">
        <f t="shared" si="3"/>
        <v/>
      </c>
    </row>
    <row r="913" ht="15.75" customHeight="1">
      <c r="B913" s="77">
        <f t="shared" si="1"/>
        <v>0</v>
      </c>
      <c r="C913" s="67"/>
      <c r="D913" s="78"/>
      <c r="E913" s="101"/>
      <c r="F913" s="108"/>
      <c r="G913" s="120"/>
      <c r="H913" s="101"/>
      <c r="I913" s="93"/>
      <c r="J913" s="91"/>
      <c r="L913" s="94" t="str">
        <f t="shared" si="2"/>
        <v>No infirmation</v>
      </c>
      <c r="M913" s="94" t="str">
        <f t="shared" si="3"/>
        <v/>
      </c>
    </row>
    <row r="914" ht="15.75" customHeight="1">
      <c r="B914" s="77">
        <f t="shared" si="1"/>
        <v>0</v>
      </c>
      <c r="C914" s="67"/>
      <c r="D914" s="78"/>
      <c r="E914" s="101"/>
      <c r="F914" s="108"/>
      <c r="G914" s="120"/>
      <c r="H914" s="101"/>
      <c r="I914" s="93"/>
      <c r="J914" s="91"/>
      <c r="L914" s="94" t="str">
        <f t="shared" si="2"/>
        <v>No infirmation</v>
      </c>
      <c r="M914" s="94" t="str">
        <f t="shared" si="3"/>
        <v/>
      </c>
    </row>
    <row r="915" ht="15.75" customHeight="1">
      <c r="B915" s="77">
        <f t="shared" si="1"/>
        <v>0</v>
      </c>
      <c r="C915" s="67"/>
      <c r="D915" s="78"/>
      <c r="E915" s="101"/>
      <c r="F915" s="108"/>
      <c r="G915" s="120"/>
      <c r="H915" s="101"/>
      <c r="I915" s="93"/>
      <c r="J915" s="91"/>
      <c r="L915" s="94" t="str">
        <f t="shared" si="2"/>
        <v>No infirmation</v>
      </c>
      <c r="M915" s="94" t="str">
        <f t="shared" si="3"/>
        <v/>
      </c>
    </row>
    <row r="916" ht="15.75" customHeight="1">
      <c r="B916" s="77">
        <f t="shared" si="1"/>
        <v>0</v>
      </c>
      <c r="C916" s="67"/>
      <c r="D916" s="78"/>
      <c r="E916" s="101"/>
      <c r="F916" s="108"/>
      <c r="G916" s="120"/>
      <c r="H916" s="101"/>
      <c r="I916" s="93"/>
      <c r="J916" s="91"/>
      <c r="L916" s="94" t="str">
        <f t="shared" si="2"/>
        <v>No infirmation</v>
      </c>
      <c r="M916" s="94" t="str">
        <f t="shared" si="3"/>
        <v/>
      </c>
    </row>
    <row r="917" ht="15.75" customHeight="1">
      <c r="B917" s="77">
        <f t="shared" si="1"/>
        <v>0</v>
      </c>
      <c r="C917" s="67"/>
      <c r="D917" s="78"/>
      <c r="E917" s="101"/>
      <c r="F917" s="108"/>
      <c r="G917" s="120"/>
      <c r="H917" s="101"/>
      <c r="I917" s="93"/>
      <c r="J917" s="91"/>
      <c r="L917" s="94" t="str">
        <f t="shared" si="2"/>
        <v>No infirmation</v>
      </c>
      <c r="M917" s="94" t="str">
        <f t="shared" si="3"/>
        <v/>
      </c>
    </row>
    <row r="918" ht="15.75" customHeight="1">
      <c r="B918" s="77">
        <f t="shared" si="1"/>
        <v>0</v>
      </c>
      <c r="C918" s="67"/>
      <c r="D918" s="78"/>
      <c r="E918" s="101"/>
      <c r="F918" s="108"/>
      <c r="G918" s="120"/>
      <c r="H918" s="101"/>
      <c r="I918" s="93"/>
      <c r="J918" s="91"/>
      <c r="L918" s="94" t="str">
        <f t="shared" si="2"/>
        <v>No infirmation</v>
      </c>
      <c r="M918" s="94" t="str">
        <f t="shared" si="3"/>
        <v/>
      </c>
    </row>
    <row r="919" ht="15.75" customHeight="1">
      <c r="B919" s="77">
        <f t="shared" si="1"/>
        <v>0</v>
      </c>
      <c r="C919" s="67"/>
      <c r="D919" s="78"/>
      <c r="E919" s="101"/>
      <c r="F919" s="108"/>
      <c r="G919" s="120"/>
      <c r="H919" s="101"/>
      <c r="I919" s="93"/>
      <c r="J919" s="91"/>
      <c r="L919" s="94" t="str">
        <f t="shared" si="2"/>
        <v>No infirmation</v>
      </c>
      <c r="M919" s="94" t="str">
        <f t="shared" si="3"/>
        <v/>
      </c>
    </row>
    <row r="920" ht="15.75" customHeight="1">
      <c r="B920" s="77">
        <f t="shared" si="1"/>
        <v>0</v>
      </c>
      <c r="C920" s="67"/>
      <c r="D920" s="78"/>
      <c r="E920" s="101"/>
      <c r="F920" s="108"/>
      <c r="G920" s="120"/>
      <c r="H920" s="101"/>
      <c r="I920" s="93"/>
      <c r="J920" s="91"/>
      <c r="L920" s="94" t="str">
        <f t="shared" si="2"/>
        <v>No infirmation</v>
      </c>
      <c r="M920" s="94" t="str">
        <f t="shared" si="3"/>
        <v/>
      </c>
    </row>
    <row r="921" ht="15.75" customHeight="1">
      <c r="B921" s="77">
        <f t="shared" si="1"/>
        <v>0</v>
      </c>
      <c r="C921" s="67"/>
      <c r="D921" s="78"/>
      <c r="E921" s="101"/>
      <c r="F921" s="108"/>
      <c r="G921" s="120"/>
      <c r="H921" s="101"/>
      <c r="I921" s="93"/>
      <c r="J921" s="91"/>
      <c r="L921" s="94" t="str">
        <f t="shared" si="2"/>
        <v>No infirmation</v>
      </c>
      <c r="M921" s="94" t="str">
        <f t="shared" si="3"/>
        <v/>
      </c>
    </row>
    <row r="922" ht="15.75" customHeight="1">
      <c r="B922" s="77">
        <f t="shared" si="1"/>
        <v>0</v>
      </c>
      <c r="C922" s="67"/>
      <c r="D922" s="78"/>
      <c r="E922" s="101"/>
      <c r="F922" s="108"/>
      <c r="G922" s="120"/>
      <c r="H922" s="101"/>
      <c r="I922" s="93"/>
      <c r="J922" s="91"/>
      <c r="L922" s="94" t="str">
        <f t="shared" si="2"/>
        <v>No infirmation</v>
      </c>
      <c r="M922" s="94" t="str">
        <f t="shared" si="3"/>
        <v/>
      </c>
    </row>
    <row r="923" ht="15.75" customHeight="1">
      <c r="B923" s="77">
        <f t="shared" si="1"/>
        <v>0</v>
      </c>
      <c r="C923" s="67"/>
      <c r="D923" s="78"/>
      <c r="E923" s="101"/>
      <c r="F923" s="108"/>
      <c r="G923" s="120"/>
      <c r="H923" s="101"/>
      <c r="I923" s="93"/>
      <c r="J923" s="91"/>
      <c r="L923" s="94" t="str">
        <f t="shared" si="2"/>
        <v>No infirmation</v>
      </c>
      <c r="M923" s="94" t="str">
        <f t="shared" si="3"/>
        <v/>
      </c>
    </row>
    <row r="924" ht="15.75" customHeight="1">
      <c r="B924" s="77">
        <f t="shared" si="1"/>
        <v>0</v>
      </c>
      <c r="C924" s="67"/>
      <c r="D924" s="78"/>
      <c r="E924" s="101"/>
      <c r="F924" s="108"/>
      <c r="G924" s="120"/>
      <c r="H924" s="101"/>
      <c r="I924" s="93"/>
      <c r="J924" s="91"/>
      <c r="L924" s="94" t="str">
        <f t="shared" si="2"/>
        <v>No infirmation</v>
      </c>
      <c r="M924" s="94" t="str">
        <f t="shared" si="3"/>
        <v/>
      </c>
    </row>
    <row r="925" ht="15.75" customHeight="1">
      <c r="B925" s="77">
        <f t="shared" si="1"/>
        <v>0</v>
      </c>
      <c r="C925" s="67"/>
      <c r="D925" s="78"/>
      <c r="E925" s="101"/>
      <c r="F925" s="108"/>
      <c r="G925" s="120"/>
      <c r="H925" s="101"/>
      <c r="I925" s="93"/>
      <c r="J925" s="91"/>
      <c r="L925" s="94" t="str">
        <f t="shared" si="2"/>
        <v>No infirmation</v>
      </c>
      <c r="M925" s="94" t="str">
        <f t="shared" si="3"/>
        <v/>
      </c>
    </row>
    <row r="926" ht="15.75" customHeight="1">
      <c r="B926" s="77">
        <f t="shared" si="1"/>
        <v>0</v>
      </c>
      <c r="C926" s="67"/>
      <c r="D926" s="78"/>
      <c r="E926" s="101"/>
      <c r="F926" s="108"/>
      <c r="G926" s="120"/>
      <c r="H926" s="101"/>
      <c r="I926" s="93"/>
      <c r="J926" s="91"/>
      <c r="L926" s="94" t="str">
        <f t="shared" si="2"/>
        <v>No infirmation</v>
      </c>
      <c r="M926" s="94" t="str">
        <f t="shared" si="3"/>
        <v/>
      </c>
    </row>
    <row r="927" ht="15.75" customHeight="1">
      <c r="B927" s="77">
        <f t="shared" si="1"/>
        <v>0</v>
      </c>
      <c r="C927" s="67"/>
      <c r="D927" s="78"/>
      <c r="E927" s="101"/>
      <c r="F927" s="108"/>
      <c r="G927" s="120"/>
      <c r="H927" s="101"/>
      <c r="I927" s="93"/>
      <c r="J927" s="91"/>
      <c r="L927" s="94" t="str">
        <f t="shared" si="2"/>
        <v>No infirmation</v>
      </c>
      <c r="M927" s="94" t="str">
        <f t="shared" si="3"/>
        <v/>
      </c>
    </row>
    <row r="928" ht="15.75" customHeight="1">
      <c r="B928" s="77">
        <f t="shared" si="1"/>
        <v>0</v>
      </c>
      <c r="C928" s="67"/>
      <c r="D928" s="78"/>
      <c r="E928" s="101"/>
      <c r="F928" s="108"/>
      <c r="G928" s="120"/>
      <c r="H928" s="101"/>
      <c r="I928" s="93"/>
      <c r="J928" s="91"/>
      <c r="L928" s="94" t="str">
        <f t="shared" si="2"/>
        <v>No infirmation</v>
      </c>
      <c r="M928" s="94" t="str">
        <f t="shared" si="3"/>
        <v/>
      </c>
    </row>
    <row r="929" ht="15.75" customHeight="1">
      <c r="B929" s="77">
        <f t="shared" si="1"/>
        <v>0</v>
      </c>
      <c r="C929" s="67"/>
      <c r="D929" s="78"/>
      <c r="E929" s="101"/>
      <c r="F929" s="108"/>
      <c r="G929" s="120"/>
      <c r="H929" s="101"/>
      <c r="I929" s="93"/>
      <c r="J929" s="91"/>
      <c r="L929" s="94" t="str">
        <f t="shared" si="2"/>
        <v>No infirmation</v>
      </c>
      <c r="M929" s="94" t="str">
        <f t="shared" si="3"/>
        <v/>
      </c>
    </row>
    <row r="930" ht="15.75" customHeight="1">
      <c r="B930" s="77">
        <f t="shared" si="1"/>
        <v>0</v>
      </c>
      <c r="C930" s="67"/>
      <c r="D930" s="78"/>
      <c r="E930" s="101"/>
      <c r="F930" s="108"/>
      <c r="G930" s="120"/>
      <c r="H930" s="101"/>
      <c r="I930" s="93"/>
      <c r="J930" s="91"/>
      <c r="L930" s="94" t="str">
        <f t="shared" si="2"/>
        <v>No infirmation</v>
      </c>
      <c r="M930" s="94" t="str">
        <f t="shared" si="3"/>
        <v/>
      </c>
    </row>
    <row r="931" ht="15.75" customHeight="1">
      <c r="B931" s="77">
        <f t="shared" si="1"/>
        <v>0</v>
      </c>
      <c r="C931" s="67"/>
      <c r="D931" s="78"/>
      <c r="E931" s="101"/>
      <c r="F931" s="108"/>
      <c r="G931" s="120"/>
      <c r="H931" s="101"/>
      <c r="I931" s="93"/>
      <c r="J931" s="91"/>
      <c r="L931" s="94" t="str">
        <f t="shared" si="2"/>
        <v>No infirmation</v>
      </c>
      <c r="M931" s="94" t="str">
        <f t="shared" si="3"/>
        <v/>
      </c>
    </row>
    <row r="932" ht="15.75" customHeight="1">
      <c r="B932" s="77">
        <f t="shared" si="1"/>
        <v>0</v>
      </c>
      <c r="C932" s="67"/>
      <c r="D932" s="78"/>
      <c r="E932" s="101"/>
      <c r="F932" s="108"/>
      <c r="G932" s="120"/>
      <c r="H932" s="101"/>
      <c r="I932" s="93"/>
      <c r="J932" s="91"/>
      <c r="L932" s="94" t="str">
        <f t="shared" si="2"/>
        <v>No infirmation</v>
      </c>
      <c r="M932" s="94" t="str">
        <f t="shared" si="3"/>
        <v/>
      </c>
    </row>
    <row r="933" ht="15.75" customHeight="1">
      <c r="B933" s="77">
        <f t="shared" si="1"/>
        <v>0</v>
      </c>
      <c r="C933" s="67"/>
      <c r="D933" s="78"/>
      <c r="E933" s="101"/>
      <c r="F933" s="108"/>
      <c r="G933" s="120"/>
      <c r="H933" s="101"/>
      <c r="I933" s="93"/>
      <c r="J933" s="91"/>
      <c r="L933" s="94" t="str">
        <f t="shared" si="2"/>
        <v>No infirmation</v>
      </c>
      <c r="M933" s="94" t="str">
        <f t="shared" si="3"/>
        <v/>
      </c>
    </row>
    <row r="934" ht="15.75" customHeight="1">
      <c r="B934" s="77">
        <f t="shared" si="1"/>
        <v>0</v>
      </c>
      <c r="C934" s="67"/>
      <c r="D934" s="78"/>
      <c r="E934" s="101"/>
      <c r="F934" s="108"/>
      <c r="G934" s="120"/>
      <c r="H934" s="101"/>
      <c r="I934" s="93"/>
      <c r="J934" s="91"/>
      <c r="L934" s="94" t="str">
        <f t="shared" si="2"/>
        <v>No infirmation</v>
      </c>
      <c r="M934" s="94" t="str">
        <f t="shared" si="3"/>
        <v/>
      </c>
    </row>
    <row r="935" ht="15.75" customHeight="1">
      <c r="B935" s="77">
        <f t="shared" si="1"/>
        <v>0</v>
      </c>
      <c r="C935" s="67"/>
      <c r="D935" s="78"/>
      <c r="E935" s="101"/>
      <c r="F935" s="108"/>
      <c r="G935" s="120"/>
      <c r="H935" s="101"/>
      <c r="I935" s="93"/>
      <c r="J935" s="91"/>
      <c r="L935" s="94" t="str">
        <f t="shared" si="2"/>
        <v>No infirmation</v>
      </c>
      <c r="M935" s="94" t="str">
        <f t="shared" si="3"/>
        <v/>
      </c>
    </row>
    <row r="936" ht="15.75" customHeight="1">
      <c r="B936" s="77">
        <f t="shared" si="1"/>
        <v>0</v>
      </c>
      <c r="C936" s="67"/>
      <c r="D936" s="78"/>
      <c r="E936" s="101"/>
      <c r="F936" s="108"/>
      <c r="G936" s="120"/>
      <c r="H936" s="101"/>
      <c r="I936" s="93"/>
      <c r="J936" s="91"/>
      <c r="L936" s="94" t="str">
        <f t="shared" si="2"/>
        <v>No infirmation</v>
      </c>
      <c r="M936" s="94" t="str">
        <f t="shared" si="3"/>
        <v/>
      </c>
    </row>
    <row r="937" ht="15.75" customHeight="1">
      <c r="B937" s="77">
        <f t="shared" si="1"/>
        <v>0</v>
      </c>
      <c r="C937" s="67"/>
      <c r="D937" s="78"/>
      <c r="E937" s="101"/>
      <c r="F937" s="108"/>
      <c r="G937" s="120"/>
      <c r="H937" s="101"/>
      <c r="I937" s="93"/>
      <c r="J937" s="91"/>
      <c r="L937" s="94" t="str">
        <f t="shared" si="2"/>
        <v>No infirmation</v>
      </c>
      <c r="M937" s="94" t="str">
        <f t="shared" si="3"/>
        <v/>
      </c>
    </row>
    <row r="938" ht="15.75" customHeight="1">
      <c r="B938" s="77">
        <f t="shared" si="1"/>
        <v>0</v>
      </c>
      <c r="C938" s="67"/>
      <c r="D938" s="78"/>
      <c r="E938" s="101"/>
      <c r="F938" s="108"/>
      <c r="G938" s="120"/>
      <c r="H938" s="101"/>
      <c r="I938" s="93"/>
      <c r="J938" s="91"/>
      <c r="L938" s="94" t="str">
        <f t="shared" si="2"/>
        <v>No infirmation</v>
      </c>
      <c r="M938" s="94" t="str">
        <f t="shared" si="3"/>
        <v/>
      </c>
    </row>
    <row r="939" ht="15.75" customHeight="1">
      <c r="B939" s="77">
        <f t="shared" si="1"/>
        <v>0</v>
      </c>
      <c r="C939" s="67"/>
      <c r="D939" s="78"/>
      <c r="E939" s="101"/>
      <c r="F939" s="108"/>
      <c r="G939" s="120"/>
      <c r="H939" s="101"/>
      <c r="I939" s="93"/>
      <c r="J939" s="91"/>
      <c r="L939" s="94" t="str">
        <f t="shared" si="2"/>
        <v>No infirmation</v>
      </c>
      <c r="M939" s="94" t="str">
        <f t="shared" si="3"/>
        <v/>
      </c>
    </row>
    <row r="940" ht="15.75" customHeight="1">
      <c r="B940" s="77">
        <f t="shared" si="1"/>
        <v>0</v>
      </c>
      <c r="C940" s="67"/>
      <c r="D940" s="78"/>
      <c r="E940" s="101"/>
      <c r="F940" s="108"/>
      <c r="G940" s="120"/>
      <c r="H940" s="101"/>
      <c r="I940" s="93"/>
      <c r="J940" s="91"/>
      <c r="L940" s="94" t="str">
        <f t="shared" si="2"/>
        <v>No infirmation</v>
      </c>
      <c r="M940" s="94" t="str">
        <f t="shared" si="3"/>
        <v/>
      </c>
    </row>
    <row r="941" ht="15.75" customHeight="1">
      <c r="B941" s="77">
        <f t="shared" si="1"/>
        <v>0</v>
      </c>
      <c r="C941" s="67"/>
      <c r="D941" s="78"/>
      <c r="E941" s="101"/>
      <c r="F941" s="108"/>
      <c r="G941" s="120"/>
      <c r="H941" s="101"/>
      <c r="I941" s="93"/>
      <c r="J941" s="91"/>
      <c r="L941" s="94" t="str">
        <f t="shared" si="2"/>
        <v>No infirmation</v>
      </c>
      <c r="M941" s="94" t="str">
        <f t="shared" si="3"/>
        <v/>
      </c>
    </row>
    <row r="942" ht="15.75" customHeight="1">
      <c r="B942" s="77">
        <f t="shared" si="1"/>
        <v>0</v>
      </c>
      <c r="C942" s="67"/>
      <c r="D942" s="78"/>
      <c r="E942" s="101"/>
      <c r="F942" s="108"/>
      <c r="G942" s="120"/>
      <c r="H942" s="101"/>
      <c r="I942" s="93"/>
      <c r="J942" s="91"/>
      <c r="L942" s="94" t="str">
        <f t="shared" si="2"/>
        <v>No infirmation</v>
      </c>
      <c r="M942" s="94" t="str">
        <f t="shared" si="3"/>
        <v/>
      </c>
    </row>
    <row r="943" ht="15.75" customHeight="1">
      <c r="B943" s="77">
        <f t="shared" si="1"/>
        <v>0</v>
      </c>
      <c r="C943" s="67"/>
      <c r="D943" s="78"/>
      <c r="E943" s="101"/>
      <c r="F943" s="108"/>
      <c r="G943" s="120"/>
      <c r="H943" s="101"/>
      <c r="I943" s="93"/>
      <c r="J943" s="91"/>
      <c r="L943" s="94" t="str">
        <f t="shared" si="2"/>
        <v>No infirmation</v>
      </c>
      <c r="M943" s="94" t="str">
        <f t="shared" si="3"/>
        <v/>
      </c>
    </row>
    <row r="944" ht="15.75" customHeight="1">
      <c r="B944" s="77">
        <f t="shared" si="1"/>
        <v>0</v>
      </c>
      <c r="C944" s="67"/>
      <c r="D944" s="78"/>
      <c r="E944" s="101"/>
      <c r="F944" s="108"/>
      <c r="G944" s="120"/>
      <c r="H944" s="101"/>
      <c r="I944" s="93"/>
      <c r="J944" s="91"/>
      <c r="L944" s="94" t="str">
        <f t="shared" si="2"/>
        <v>No infirmation</v>
      </c>
      <c r="M944" s="94" t="str">
        <f t="shared" si="3"/>
        <v/>
      </c>
    </row>
    <row r="945" ht="15.75" customHeight="1">
      <c r="B945" s="77">
        <f t="shared" si="1"/>
        <v>0</v>
      </c>
      <c r="C945" s="67"/>
      <c r="D945" s="78"/>
      <c r="E945" s="101"/>
      <c r="F945" s="108"/>
      <c r="G945" s="120"/>
      <c r="H945" s="101"/>
      <c r="I945" s="93"/>
      <c r="J945" s="91"/>
      <c r="L945" s="94" t="str">
        <f t="shared" si="2"/>
        <v>No infirmation</v>
      </c>
      <c r="M945" s="94" t="str">
        <f t="shared" si="3"/>
        <v/>
      </c>
    </row>
    <row r="946" ht="15.75" customHeight="1">
      <c r="B946" s="77">
        <f t="shared" si="1"/>
        <v>0</v>
      </c>
      <c r="C946" s="67"/>
      <c r="D946" s="78"/>
      <c r="E946" s="101"/>
      <c r="F946" s="108"/>
      <c r="G946" s="120"/>
      <c r="H946" s="101"/>
      <c r="I946" s="93"/>
      <c r="J946" s="91"/>
      <c r="L946" s="94" t="str">
        <f t="shared" si="2"/>
        <v>No infirmation</v>
      </c>
      <c r="M946" s="94" t="str">
        <f t="shared" si="3"/>
        <v/>
      </c>
    </row>
    <row r="947" ht="15.75" customHeight="1">
      <c r="B947" s="77">
        <f t="shared" si="1"/>
        <v>0</v>
      </c>
      <c r="C947" s="67"/>
      <c r="D947" s="78"/>
      <c r="E947" s="101"/>
      <c r="F947" s="108"/>
      <c r="G947" s="120"/>
      <c r="H947" s="101"/>
      <c r="I947" s="93"/>
      <c r="J947" s="91"/>
      <c r="L947" s="94" t="str">
        <f t="shared" si="2"/>
        <v>No infirmation</v>
      </c>
      <c r="M947" s="94" t="str">
        <f t="shared" si="3"/>
        <v/>
      </c>
    </row>
    <row r="948" ht="15.75" customHeight="1">
      <c r="B948" s="77">
        <f t="shared" si="1"/>
        <v>0</v>
      </c>
      <c r="C948" s="67"/>
      <c r="D948" s="78"/>
      <c r="E948" s="101"/>
      <c r="F948" s="108"/>
      <c r="G948" s="120"/>
      <c r="H948" s="101"/>
      <c r="I948" s="93"/>
      <c r="J948" s="91"/>
      <c r="L948" s="94" t="str">
        <f t="shared" si="2"/>
        <v>No infirmation</v>
      </c>
      <c r="M948" s="94" t="str">
        <f t="shared" si="3"/>
        <v/>
      </c>
    </row>
    <row r="949" ht="15.75" customHeight="1">
      <c r="B949" s="77">
        <f t="shared" si="1"/>
        <v>0</v>
      </c>
      <c r="C949" s="67"/>
      <c r="D949" s="78"/>
      <c r="E949" s="101"/>
      <c r="F949" s="108"/>
      <c r="G949" s="120"/>
      <c r="H949" s="101"/>
      <c r="I949" s="93"/>
      <c r="J949" s="91"/>
      <c r="L949" s="94" t="str">
        <f t="shared" si="2"/>
        <v>No infirmation</v>
      </c>
      <c r="M949" s="94" t="str">
        <f t="shared" si="3"/>
        <v/>
      </c>
    </row>
    <row r="950" ht="15.75" customHeight="1">
      <c r="B950" s="77">
        <f t="shared" si="1"/>
        <v>0</v>
      </c>
      <c r="C950" s="67"/>
      <c r="D950" s="78"/>
      <c r="E950" s="101"/>
      <c r="F950" s="108"/>
      <c r="G950" s="120"/>
      <c r="H950" s="101"/>
      <c r="I950" s="93"/>
      <c r="J950" s="91"/>
      <c r="L950" s="94" t="str">
        <f t="shared" si="2"/>
        <v>No infirmation</v>
      </c>
      <c r="M950" s="94" t="str">
        <f t="shared" si="3"/>
        <v/>
      </c>
    </row>
    <row r="951" ht="15.75" customHeight="1">
      <c r="B951" s="77">
        <f t="shared" si="1"/>
        <v>0</v>
      </c>
      <c r="C951" s="67"/>
      <c r="D951" s="78"/>
      <c r="E951" s="101"/>
      <c r="F951" s="108"/>
      <c r="G951" s="120"/>
      <c r="H951" s="101"/>
      <c r="I951" s="93"/>
      <c r="J951" s="91"/>
      <c r="L951" s="94" t="str">
        <f t="shared" si="2"/>
        <v>No infirmation</v>
      </c>
      <c r="M951" s="94" t="str">
        <f t="shared" si="3"/>
        <v/>
      </c>
    </row>
    <row r="952" ht="15.75" customHeight="1">
      <c r="B952" s="77">
        <f t="shared" si="1"/>
        <v>0</v>
      </c>
      <c r="C952" s="67"/>
      <c r="D952" s="78"/>
      <c r="E952" s="101"/>
      <c r="F952" s="108"/>
      <c r="G952" s="120"/>
      <c r="H952" s="101"/>
      <c r="I952" s="93"/>
      <c r="J952" s="91"/>
      <c r="L952" s="94" t="str">
        <f t="shared" si="2"/>
        <v>No infirmation</v>
      </c>
      <c r="M952" s="94" t="str">
        <f t="shared" si="3"/>
        <v/>
      </c>
    </row>
    <row r="953" ht="15.75" customHeight="1">
      <c r="B953" s="77">
        <f t="shared" si="1"/>
        <v>0</v>
      </c>
      <c r="C953" s="67"/>
      <c r="D953" s="78"/>
      <c r="E953" s="101"/>
      <c r="F953" s="108"/>
      <c r="G953" s="120"/>
      <c r="H953" s="101"/>
      <c r="I953" s="93"/>
      <c r="J953" s="91"/>
      <c r="L953" s="94" t="str">
        <f t="shared" si="2"/>
        <v>No infirmation</v>
      </c>
      <c r="M953" s="94" t="str">
        <f t="shared" si="3"/>
        <v/>
      </c>
    </row>
    <row r="954" ht="15.75" customHeight="1">
      <c r="B954" s="77">
        <f t="shared" si="1"/>
        <v>0</v>
      </c>
      <c r="C954" s="67"/>
      <c r="D954" s="78"/>
      <c r="E954" s="101"/>
      <c r="F954" s="108"/>
      <c r="G954" s="120"/>
      <c r="H954" s="101"/>
      <c r="I954" s="93"/>
      <c r="J954" s="91"/>
      <c r="L954" s="94" t="str">
        <f t="shared" si="2"/>
        <v>No infirmation</v>
      </c>
      <c r="M954" s="94" t="str">
        <f t="shared" si="3"/>
        <v/>
      </c>
    </row>
    <row r="955" ht="15.75" customHeight="1">
      <c r="B955" s="77">
        <f t="shared" si="1"/>
        <v>0</v>
      </c>
      <c r="C955" s="67"/>
      <c r="D955" s="78"/>
      <c r="E955" s="101"/>
      <c r="F955" s="108"/>
      <c r="G955" s="120"/>
      <c r="H955" s="101"/>
      <c r="I955" s="93"/>
      <c r="J955" s="91"/>
      <c r="L955" s="94" t="str">
        <f t="shared" si="2"/>
        <v>No infirmation</v>
      </c>
      <c r="M955" s="94" t="str">
        <f t="shared" si="3"/>
        <v/>
      </c>
    </row>
    <row r="956" ht="15.75" customHeight="1">
      <c r="B956" s="77">
        <f t="shared" si="1"/>
        <v>0</v>
      </c>
      <c r="C956" s="67"/>
      <c r="D956" s="78"/>
      <c r="E956" s="101"/>
      <c r="F956" s="108"/>
      <c r="G956" s="120"/>
      <c r="H956" s="101"/>
      <c r="I956" s="93"/>
      <c r="J956" s="91"/>
      <c r="L956" s="94" t="str">
        <f t="shared" si="2"/>
        <v>No infirmation</v>
      </c>
      <c r="M956" s="94" t="str">
        <f t="shared" si="3"/>
        <v/>
      </c>
    </row>
    <row r="957" ht="15.75" customHeight="1">
      <c r="B957" s="77">
        <f t="shared" si="1"/>
        <v>0</v>
      </c>
      <c r="C957" s="67"/>
      <c r="D957" s="78"/>
      <c r="E957" s="101"/>
      <c r="F957" s="108"/>
      <c r="G957" s="120"/>
      <c r="H957" s="101"/>
      <c r="I957" s="93"/>
      <c r="J957" s="91"/>
      <c r="L957" s="94" t="str">
        <f t="shared" si="2"/>
        <v>No infirmation</v>
      </c>
      <c r="M957" s="94" t="str">
        <f t="shared" si="3"/>
        <v/>
      </c>
    </row>
    <row r="958" ht="15.75" customHeight="1">
      <c r="B958" s="77">
        <f t="shared" si="1"/>
        <v>0</v>
      </c>
      <c r="C958" s="67"/>
      <c r="D958" s="78"/>
      <c r="E958" s="101"/>
      <c r="F958" s="108"/>
      <c r="G958" s="120"/>
      <c r="H958" s="101"/>
      <c r="I958" s="93"/>
      <c r="J958" s="91"/>
      <c r="L958" s="94" t="str">
        <f t="shared" si="2"/>
        <v>No infirmation</v>
      </c>
      <c r="M958" s="94" t="str">
        <f t="shared" si="3"/>
        <v/>
      </c>
    </row>
    <row r="959" ht="15.75" customHeight="1">
      <c r="B959" s="77">
        <f t="shared" si="1"/>
        <v>0</v>
      </c>
      <c r="C959" s="67"/>
      <c r="D959" s="78"/>
      <c r="E959" s="101"/>
      <c r="F959" s="108"/>
      <c r="G959" s="120"/>
      <c r="H959" s="101"/>
      <c r="I959" s="93"/>
      <c r="J959" s="91"/>
      <c r="L959" s="94" t="str">
        <f t="shared" si="2"/>
        <v>No infirmation</v>
      </c>
      <c r="M959" s="94" t="str">
        <f t="shared" si="3"/>
        <v/>
      </c>
    </row>
    <row r="960" ht="15.75" customHeight="1">
      <c r="B960" s="77">
        <f t="shared" si="1"/>
        <v>0</v>
      </c>
      <c r="C960" s="67"/>
      <c r="D960" s="78"/>
      <c r="E960" s="101"/>
      <c r="F960" s="108"/>
      <c r="G960" s="120"/>
      <c r="H960" s="101"/>
      <c r="I960" s="93"/>
      <c r="J960" s="91"/>
      <c r="L960" s="94" t="str">
        <f t="shared" si="2"/>
        <v>No infirmation</v>
      </c>
      <c r="M960" s="94" t="str">
        <f t="shared" si="3"/>
        <v/>
      </c>
    </row>
    <row r="961" ht="15.75" customHeight="1">
      <c r="B961" s="77">
        <f t="shared" si="1"/>
        <v>0</v>
      </c>
      <c r="C961" s="67"/>
      <c r="D961" s="78"/>
      <c r="E961" s="101"/>
      <c r="F961" s="108"/>
      <c r="G961" s="120"/>
      <c r="H961" s="101"/>
      <c r="I961" s="93"/>
      <c r="J961" s="91"/>
      <c r="L961" s="94" t="str">
        <f t="shared" si="2"/>
        <v>No infirmation</v>
      </c>
      <c r="M961" s="94" t="str">
        <f t="shared" si="3"/>
        <v/>
      </c>
    </row>
    <row r="962" ht="15.75" customHeight="1">
      <c r="B962" s="77">
        <f t="shared" si="1"/>
        <v>0</v>
      </c>
      <c r="C962" s="67"/>
      <c r="D962" s="78"/>
      <c r="E962" s="101"/>
      <c r="F962" s="108"/>
      <c r="G962" s="120"/>
      <c r="H962" s="101"/>
      <c r="I962" s="93"/>
      <c r="J962" s="91"/>
      <c r="L962" s="94" t="str">
        <f t="shared" si="2"/>
        <v>No infirmation</v>
      </c>
      <c r="M962" s="94" t="str">
        <f t="shared" si="3"/>
        <v/>
      </c>
    </row>
    <row r="963" ht="15.75" customHeight="1">
      <c r="B963" s="77">
        <f t="shared" si="1"/>
        <v>0</v>
      </c>
      <c r="C963" s="67"/>
      <c r="D963" s="78"/>
      <c r="E963" s="101"/>
      <c r="F963" s="108"/>
      <c r="G963" s="120"/>
      <c r="H963" s="101"/>
      <c r="I963" s="93"/>
      <c r="J963" s="91"/>
      <c r="L963" s="94" t="str">
        <f t="shared" si="2"/>
        <v>No infirmation</v>
      </c>
      <c r="M963" s="94" t="str">
        <f t="shared" si="3"/>
        <v/>
      </c>
    </row>
    <row r="964" ht="15.75" customHeight="1">
      <c r="B964" s="77">
        <f t="shared" si="1"/>
        <v>0</v>
      </c>
      <c r="C964" s="67"/>
      <c r="D964" s="78"/>
      <c r="E964" s="101"/>
      <c r="F964" s="108"/>
      <c r="G964" s="120"/>
      <c r="H964" s="101"/>
      <c r="I964" s="93"/>
      <c r="J964" s="91"/>
      <c r="L964" s="94" t="str">
        <f t="shared" si="2"/>
        <v>No infirmation</v>
      </c>
      <c r="M964" s="94" t="str">
        <f t="shared" si="3"/>
        <v/>
      </c>
    </row>
    <row r="965" ht="15.75" customHeight="1">
      <c r="B965" s="77">
        <f t="shared" si="1"/>
        <v>0</v>
      </c>
      <c r="C965" s="67"/>
      <c r="D965" s="78"/>
      <c r="E965" s="101"/>
      <c r="F965" s="108"/>
      <c r="G965" s="120"/>
      <c r="H965" s="101"/>
      <c r="I965" s="93"/>
      <c r="J965" s="91"/>
      <c r="L965" s="94" t="str">
        <f t="shared" si="2"/>
        <v>No infirmation</v>
      </c>
      <c r="M965" s="94" t="str">
        <f t="shared" si="3"/>
        <v/>
      </c>
    </row>
    <row r="966" ht="15.75" customHeight="1">
      <c r="B966" s="77">
        <f t="shared" si="1"/>
        <v>0</v>
      </c>
      <c r="C966" s="67"/>
      <c r="D966" s="78"/>
      <c r="E966" s="101"/>
      <c r="F966" s="108"/>
      <c r="G966" s="120"/>
      <c r="H966" s="101"/>
      <c r="I966" s="93"/>
      <c r="J966" s="91"/>
      <c r="L966" s="94" t="str">
        <f t="shared" si="2"/>
        <v>No infirmation</v>
      </c>
      <c r="M966" s="94" t="str">
        <f t="shared" si="3"/>
        <v/>
      </c>
    </row>
    <row r="967" ht="15.75" customHeight="1">
      <c r="B967" s="77">
        <f t="shared" si="1"/>
        <v>0</v>
      </c>
      <c r="C967" s="67"/>
      <c r="D967" s="78"/>
      <c r="E967" s="101"/>
      <c r="F967" s="108"/>
      <c r="G967" s="120"/>
      <c r="H967" s="101"/>
      <c r="I967" s="93"/>
      <c r="J967" s="91"/>
      <c r="L967" s="94" t="str">
        <f t="shared" si="2"/>
        <v>No infirmation</v>
      </c>
      <c r="M967" s="94" t="str">
        <f t="shared" si="3"/>
        <v/>
      </c>
    </row>
    <row r="968" ht="15.75" customHeight="1">
      <c r="B968" s="77">
        <f t="shared" si="1"/>
        <v>0</v>
      </c>
      <c r="C968" s="67"/>
      <c r="D968" s="78"/>
      <c r="E968" s="101"/>
      <c r="F968" s="108"/>
      <c r="G968" s="120"/>
      <c r="H968" s="101"/>
      <c r="I968" s="93"/>
      <c r="J968" s="91"/>
      <c r="L968" s="94" t="str">
        <f t="shared" si="2"/>
        <v>No infirmation</v>
      </c>
      <c r="M968" s="94" t="str">
        <f t="shared" si="3"/>
        <v/>
      </c>
    </row>
    <row r="969" ht="15.75" customHeight="1">
      <c r="B969" s="77">
        <f t="shared" si="1"/>
        <v>0</v>
      </c>
      <c r="C969" s="67"/>
      <c r="D969" s="78"/>
      <c r="E969" s="101"/>
      <c r="F969" s="108"/>
      <c r="G969" s="120"/>
      <c r="H969" s="101"/>
      <c r="I969" s="93"/>
      <c r="J969" s="91"/>
      <c r="L969" s="94" t="str">
        <f t="shared" si="2"/>
        <v>No infirmation</v>
      </c>
      <c r="M969" s="94" t="str">
        <f t="shared" si="3"/>
        <v/>
      </c>
    </row>
    <row r="970" ht="15.75" customHeight="1">
      <c r="B970" s="77">
        <f t="shared" si="1"/>
        <v>0</v>
      </c>
      <c r="C970" s="67"/>
      <c r="D970" s="78"/>
      <c r="E970" s="101"/>
      <c r="F970" s="108"/>
      <c r="G970" s="120"/>
      <c r="H970" s="101"/>
      <c r="I970" s="93"/>
      <c r="J970" s="91"/>
      <c r="L970" s="94" t="str">
        <f t="shared" si="2"/>
        <v>No infirmation</v>
      </c>
      <c r="M970" s="94" t="str">
        <f t="shared" si="3"/>
        <v/>
      </c>
    </row>
    <row r="971" ht="15.75" customHeight="1">
      <c r="B971" s="77">
        <f t="shared" si="1"/>
        <v>0</v>
      </c>
      <c r="C971" s="67"/>
      <c r="D971" s="78"/>
      <c r="E971" s="101"/>
      <c r="F971" s="108"/>
      <c r="G971" s="120"/>
      <c r="H971" s="101"/>
      <c r="I971" s="93"/>
      <c r="J971" s="91"/>
      <c r="L971" s="94" t="str">
        <f t="shared" si="2"/>
        <v>No infirmation</v>
      </c>
      <c r="M971" s="94" t="str">
        <f t="shared" si="3"/>
        <v/>
      </c>
    </row>
    <row r="972" ht="15.75" customHeight="1">
      <c r="B972" s="77">
        <f t="shared" si="1"/>
        <v>0</v>
      </c>
      <c r="C972" s="67"/>
      <c r="D972" s="78"/>
      <c r="E972" s="101"/>
      <c r="F972" s="108"/>
      <c r="G972" s="120"/>
      <c r="H972" s="101"/>
      <c r="I972" s="93"/>
      <c r="J972" s="91"/>
      <c r="L972" s="94" t="str">
        <f t="shared" si="2"/>
        <v>No infirmation</v>
      </c>
      <c r="M972" s="94" t="str">
        <f t="shared" si="3"/>
        <v/>
      </c>
    </row>
    <row r="973" ht="15.75" customHeight="1">
      <c r="B973" s="77">
        <f t="shared" si="1"/>
        <v>0</v>
      </c>
      <c r="C973" s="67"/>
      <c r="D973" s="78"/>
      <c r="E973" s="101"/>
      <c r="F973" s="108"/>
      <c r="G973" s="120"/>
      <c r="H973" s="101"/>
      <c r="I973" s="93"/>
      <c r="J973" s="91"/>
      <c r="L973" s="94" t="str">
        <f t="shared" si="2"/>
        <v>No infirmation</v>
      </c>
      <c r="M973" s="94" t="str">
        <f t="shared" si="3"/>
        <v/>
      </c>
    </row>
    <row r="974" ht="15.75" customHeight="1">
      <c r="B974" s="77">
        <f t="shared" si="1"/>
        <v>0</v>
      </c>
      <c r="C974" s="67"/>
      <c r="D974" s="78"/>
      <c r="E974" s="101"/>
      <c r="F974" s="108"/>
      <c r="G974" s="120"/>
      <c r="H974" s="101"/>
      <c r="I974" s="93"/>
      <c r="J974" s="91"/>
      <c r="L974" s="94" t="str">
        <f t="shared" si="2"/>
        <v>No infirmation</v>
      </c>
      <c r="M974" s="94" t="str">
        <f t="shared" si="3"/>
        <v/>
      </c>
    </row>
    <row r="975" ht="15.75" customHeight="1">
      <c r="B975" s="77">
        <f t="shared" si="1"/>
        <v>0</v>
      </c>
      <c r="C975" s="67"/>
      <c r="D975" s="78"/>
      <c r="E975" s="101"/>
      <c r="F975" s="108"/>
      <c r="G975" s="120"/>
      <c r="H975" s="101"/>
      <c r="I975" s="93"/>
      <c r="J975" s="91"/>
      <c r="L975" s="94" t="str">
        <f t="shared" si="2"/>
        <v>No infirmation</v>
      </c>
      <c r="M975" s="94" t="str">
        <f t="shared" si="3"/>
        <v/>
      </c>
    </row>
    <row r="976" ht="15.75" customHeight="1">
      <c r="B976" s="77">
        <f t="shared" si="1"/>
        <v>0</v>
      </c>
      <c r="C976" s="67"/>
      <c r="D976" s="78"/>
      <c r="E976" s="101"/>
      <c r="F976" s="108"/>
      <c r="G976" s="120"/>
      <c r="H976" s="101"/>
      <c r="I976" s="93"/>
      <c r="J976" s="91"/>
      <c r="L976" s="94" t="str">
        <f t="shared" si="2"/>
        <v>No infirmation</v>
      </c>
      <c r="M976" s="94" t="str">
        <f t="shared" si="3"/>
        <v/>
      </c>
    </row>
    <row r="977" ht="15.75" customHeight="1">
      <c r="B977" s="77">
        <f t="shared" si="1"/>
        <v>0</v>
      </c>
      <c r="C977" s="67"/>
      <c r="D977" s="78"/>
      <c r="E977" s="101"/>
      <c r="F977" s="108"/>
      <c r="G977" s="120"/>
      <c r="H977" s="101"/>
      <c r="I977" s="93"/>
      <c r="J977" s="91"/>
      <c r="L977" s="94" t="str">
        <f t="shared" si="2"/>
        <v>No infirmation</v>
      </c>
      <c r="M977" s="94" t="str">
        <f t="shared" si="3"/>
        <v/>
      </c>
    </row>
    <row r="978" ht="15.75" customHeight="1">
      <c r="B978" s="77">
        <f t="shared" si="1"/>
        <v>0</v>
      </c>
      <c r="C978" s="67"/>
      <c r="D978" s="78"/>
      <c r="E978" s="101"/>
      <c r="F978" s="108"/>
      <c r="G978" s="120"/>
      <c r="H978" s="101"/>
      <c r="I978" s="93"/>
      <c r="J978" s="91"/>
      <c r="L978" s="94" t="str">
        <f t="shared" si="2"/>
        <v>No infirmation</v>
      </c>
      <c r="M978" s="94" t="str">
        <f t="shared" si="3"/>
        <v/>
      </c>
    </row>
    <row r="979" ht="15.75" customHeight="1">
      <c r="B979" s="77">
        <f t="shared" si="1"/>
        <v>0</v>
      </c>
      <c r="C979" s="67"/>
      <c r="D979" s="78"/>
      <c r="E979" s="101"/>
      <c r="F979" s="108"/>
      <c r="G979" s="120"/>
      <c r="H979" s="101"/>
      <c r="I979" s="93"/>
      <c r="J979" s="91"/>
      <c r="L979" s="94" t="str">
        <f t="shared" si="2"/>
        <v>No infirmation</v>
      </c>
      <c r="M979" s="94" t="str">
        <f t="shared" si="3"/>
        <v/>
      </c>
    </row>
    <row r="980" ht="15.75" customHeight="1">
      <c r="B980" s="77">
        <f t="shared" si="1"/>
        <v>0</v>
      </c>
      <c r="C980" s="67"/>
      <c r="D980" s="78"/>
      <c r="E980" s="101"/>
      <c r="F980" s="108"/>
      <c r="G980" s="120"/>
      <c r="H980" s="101"/>
      <c r="I980" s="93"/>
      <c r="J980" s="91"/>
      <c r="L980" s="94" t="str">
        <f t="shared" si="2"/>
        <v>No infirmation</v>
      </c>
      <c r="M980" s="94" t="str">
        <f t="shared" si="3"/>
        <v/>
      </c>
    </row>
    <row r="981" ht="15.75" customHeight="1">
      <c r="B981" s="77">
        <f t="shared" si="1"/>
        <v>0</v>
      </c>
      <c r="C981" s="67"/>
      <c r="D981" s="78"/>
      <c r="E981" s="101"/>
      <c r="F981" s="108"/>
      <c r="G981" s="120"/>
      <c r="H981" s="101"/>
      <c r="I981" s="93"/>
      <c r="J981" s="91"/>
      <c r="L981" s="94" t="str">
        <f t="shared" si="2"/>
        <v>No infirmation</v>
      </c>
      <c r="M981" s="94" t="str">
        <f t="shared" si="3"/>
        <v/>
      </c>
    </row>
    <row r="982" ht="15.75" customHeight="1">
      <c r="B982" s="77">
        <f t="shared" si="1"/>
        <v>0</v>
      </c>
      <c r="C982" s="67"/>
      <c r="D982" s="78"/>
      <c r="E982" s="101"/>
      <c r="F982" s="108"/>
      <c r="G982" s="120"/>
      <c r="H982" s="101"/>
      <c r="I982" s="93"/>
      <c r="J982" s="91"/>
      <c r="L982" s="94" t="str">
        <f t="shared" si="2"/>
        <v>No infirmation</v>
      </c>
      <c r="M982" s="94" t="str">
        <f t="shared" si="3"/>
        <v/>
      </c>
    </row>
    <row r="983" ht="15.75" customHeight="1">
      <c r="B983" s="77">
        <f t="shared" si="1"/>
        <v>0</v>
      </c>
      <c r="C983" s="67"/>
      <c r="D983" s="78"/>
      <c r="E983" s="101"/>
      <c r="F983" s="108"/>
      <c r="G983" s="120"/>
      <c r="H983" s="101"/>
      <c r="I983" s="93"/>
      <c r="J983" s="91"/>
      <c r="L983" s="94" t="str">
        <f t="shared" si="2"/>
        <v>No infirmation</v>
      </c>
      <c r="M983" s="94" t="str">
        <f t="shared" si="3"/>
        <v/>
      </c>
    </row>
    <row r="984" ht="15.75" customHeight="1">
      <c r="B984" s="77">
        <f t="shared" si="1"/>
        <v>0</v>
      </c>
      <c r="C984" s="67"/>
      <c r="D984" s="78"/>
      <c r="E984" s="101"/>
      <c r="F984" s="108"/>
      <c r="G984" s="120"/>
      <c r="H984" s="101"/>
      <c r="I984" s="93"/>
      <c r="J984" s="91"/>
      <c r="L984" s="94" t="str">
        <f t="shared" si="2"/>
        <v>No infirmation</v>
      </c>
      <c r="M984" s="94" t="str">
        <f t="shared" si="3"/>
        <v/>
      </c>
    </row>
    <row r="985" ht="15.75" customHeight="1">
      <c r="B985" s="77">
        <f t="shared" si="1"/>
        <v>0</v>
      </c>
      <c r="C985" s="67"/>
      <c r="D985" s="78"/>
      <c r="E985" s="101"/>
      <c r="F985" s="108"/>
      <c r="G985" s="120"/>
      <c r="H985" s="101"/>
      <c r="I985" s="93"/>
      <c r="J985" s="91"/>
      <c r="L985" s="94" t="str">
        <f t="shared" si="2"/>
        <v>No infirmation</v>
      </c>
      <c r="M985" s="94" t="str">
        <f t="shared" si="3"/>
        <v/>
      </c>
    </row>
    <row r="986" ht="15.75" customHeight="1">
      <c r="B986" s="77">
        <f t="shared" si="1"/>
        <v>0</v>
      </c>
      <c r="C986" s="67"/>
      <c r="D986" s="78"/>
      <c r="E986" s="101"/>
      <c r="F986" s="108"/>
      <c r="G986" s="120"/>
      <c r="H986" s="101"/>
      <c r="I986" s="93"/>
      <c r="J986" s="91"/>
      <c r="L986" s="94" t="str">
        <f t="shared" si="2"/>
        <v>No infirmation</v>
      </c>
      <c r="M986" s="94" t="str">
        <f t="shared" si="3"/>
        <v/>
      </c>
    </row>
    <row r="987" ht="15.75" customHeight="1">
      <c r="B987" s="77">
        <f t="shared" si="1"/>
        <v>0</v>
      </c>
      <c r="C987" s="67"/>
      <c r="D987" s="78"/>
      <c r="E987" s="101"/>
      <c r="F987" s="108"/>
      <c r="G987" s="120"/>
      <c r="H987" s="101"/>
      <c r="I987" s="93"/>
      <c r="J987" s="91"/>
      <c r="L987" s="94" t="str">
        <f t="shared" si="2"/>
        <v>No infirmation</v>
      </c>
      <c r="M987" s="94" t="str">
        <f t="shared" si="3"/>
        <v/>
      </c>
    </row>
    <row r="988" ht="15.75" customHeight="1">
      <c r="B988" s="77">
        <f t="shared" si="1"/>
        <v>0</v>
      </c>
      <c r="C988" s="67"/>
      <c r="D988" s="78"/>
      <c r="E988" s="101"/>
      <c r="F988" s="108"/>
      <c r="G988" s="120"/>
      <c r="H988" s="101"/>
      <c r="I988" s="93"/>
      <c r="J988" s="91"/>
      <c r="L988" s="94" t="str">
        <f t="shared" si="2"/>
        <v>No infirmation</v>
      </c>
      <c r="M988" s="94" t="str">
        <f t="shared" si="3"/>
        <v/>
      </c>
    </row>
    <row r="989" ht="15.75" customHeight="1">
      <c r="B989" s="77">
        <f t="shared" si="1"/>
        <v>0</v>
      </c>
      <c r="C989" s="67"/>
      <c r="D989" s="78"/>
      <c r="E989" s="101"/>
      <c r="F989" s="108"/>
      <c r="G989" s="120"/>
      <c r="H989" s="101"/>
      <c r="I989" s="93"/>
      <c r="J989" s="91"/>
      <c r="L989" s="94" t="str">
        <f t="shared" si="2"/>
        <v>No infirmation</v>
      </c>
      <c r="M989" s="94" t="str">
        <f t="shared" si="3"/>
        <v/>
      </c>
    </row>
    <row r="990" ht="15.75" customHeight="1">
      <c r="B990" s="77">
        <f t="shared" si="1"/>
        <v>0</v>
      </c>
      <c r="C990" s="67"/>
      <c r="D990" s="78"/>
      <c r="E990" s="101"/>
      <c r="F990" s="108"/>
      <c r="G990" s="120"/>
      <c r="H990" s="101"/>
      <c r="I990" s="93"/>
      <c r="J990" s="91"/>
      <c r="L990" s="94" t="str">
        <f t="shared" si="2"/>
        <v>No infirmation</v>
      </c>
      <c r="M990" s="94" t="str">
        <f t="shared" si="3"/>
        <v/>
      </c>
    </row>
    <row r="991" ht="15.75" customHeight="1">
      <c r="B991" s="77">
        <f t="shared" si="1"/>
        <v>0</v>
      </c>
      <c r="C991" s="67"/>
      <c r="D991" s="78"/>
      <c r="E991" s="101"/>
      <c r="F991" s="108"/>
      <c r="G991" s="120"/>
      <c r="H991" s="101"/>
      <c r="I991" s="93"/>
      <c r="J991" s="91"/>
      <c r="L991" s="94" t="str">
        <f t="shared" si="2"/>
        <v>No infirmation</v>
      </c>
      <c r="M991" s="94" t="str">
        <f t="shared" si="3"/>
        <v/>
      </c>
    </row>
    <row r="992" ht="15.75" customHeight="1">
      <c r="B992" s="77">
        <f t="shared" si="1"/>
        <v>0</v>
      </c>
      <c r="C992" s="67"/>
      <c r="D992" s="78"/>
      <c r="E992" s="101"/>
      <c r="F992" s="108"/>
      <c r="G992" s="120"/>
      <c r="H992" s="101"/>
      <c r="I992" s="93"/>
      <c r="J992" s="91"/>
      <c r="L992" s="94" t="str">
        <f t="shared" si="2"/>
        <v>No infirmation</v>
      </c>
      <c r="M992" s="94" t="str">
        <f t="shared" si="3"/>
        <v/>
      </c>
    </row>
    <row r="993" ht="15.75" customHeight="1">
      <c r="B993" s="77">
        <f t="shared" si="1"/>
        <v>0</v>
      </c>
      <c r="C993" s="67"/>
      <c r="D993" s="78"/>
      <c r="E993" s="101"/>
      <c r="F993" s="108"/>
      <c r="G993" s="120"/>
      <c r="H993" s="101"/>
      <c r="I993" s="93"/>
      <c r="J993" s="91"/>
      <c r="L993" s="94" t="str">
        <f t="shared" si="2"/>
        <v>No infirmation</v>
      </c>
      <c r="M993" s="94" t="str">
        <f t="shared" si="3"/>
        <v/>
      </c>
    </row>
    <row r="994" ht="15.75" customHeight="1">
      <c r="B994" s="77">
        <f t="shared" si="1"/>
        <v>0</v>
      </c>
      <c r="C994" s="67"/>
      <c r="D994" s="78"/>
      <c r="E994" s="101"/>
      <c r="F994" s="108"/>
      <c r="G994" s="120"/>
      <c r="H994" s="101"/>
      <c r="I994" s="93"/>
      <c r="J994" s="91"/>
      <c r="L994" s="94" t="str">
        <f t="shared" si="2"/>
        <v>No infirmation</v>
      </c>
      <c r="M994" s="94" t="str">
        <f t="shared" si="3"/>
        <v/>
      </c>
    </row>
    <row r="995" ht="15.75" customHeight="1">
      <c r="B995" s="77">
        <f t="shared" si="1"/>
        <v>0</v>
      </c>
      <c r="C995" s="67"/>
      <c r="D995" s="78"/>
      <c r="E995" s="101"/>
      <c r="F995" s="108"/>
      <c r="G995" s="120"/>
      <c r="H995" s="101"/>
      <c r="I995" s="93"/>
      <c r="J995" s="91"/>
      <c r="L995" s="94" t="str">
        <f t="shared" si="2"/>
        <v>No infirmation</v>
      </c>
      <c r="M995" s="94" t="str">
        <f t="shared" si="3"/>
        <v/>
      </c>
    </row>
    <row r="996" ht="15.75" customHeight="1">
      <c r="B996" s="77">
        <f t="shared" si="1"/>
        <v>0</v>
      </c>
      <c r="C996" s="67"/>
      <c r="D996" s="78"/>
      <c r="E996" s="101"/>
      <c r="F996" s="108"/>
      <c r="G996" s="120"/>
      <c r="H996" s="101"/>
      <c r="I996" s="93"/>
      <c r="J996" s="91"/>
      <c r="L996" s="94" t="str">
        <f t="shared" si="2"/>
        <v>No infirmation</v>
      </c>
      <c r="M996" s="94" t="str">
        <f t="shared" si="3"/>
        <v/>
      </c>
    </row>
    <row r="997" ht="15.75" customHeight="1">
      <c r="B997" s="77">
        <f t="shared" si="1"/>
        <v>0</v>
      </c>
      <c r="C997" s="67"/>
      <c r="D997" s="78"/>
      <c r="E997" s="101"/>
      <c r="F997" s="108"/>
      <c r="G997" s="120"/>
      <c r="H997" s="101"/>
      <c r="I997" s="93"/>
      <c r="J997" s="91"/>
      <c r="L997" s="94" t="str">
        <f t="shared" si="2"/>
        <v>No infirmation</v>
      </c>
      <c r="M997" s="94" t="str">
        <f t="shared" si="3"/>
        <v/>
      </c>
    </row>
    <row r="998" ht="15.75" customHeight="1">
      <c r="B998" s="77">
        <f t="shared" si="1"/>
        <v>0</v>
      </c>
      <c r="C998" s="67"/>
      <c r="D998" s="78"/>
      <c r="E998" s="101"/>
      <c r="F998" s="108"/>
      <c r="G998" s="120"/>
      <c r="H998" s="101"/>
      <c r="I998" s="93"/>
      <c r="J998" s="91"/>
      <c r="L998" s="94" t="str">
        <f t="shared" si="2"/>
        <v>No infirmation</v>
      </c>
      <c r="M998" s="94" t="str">
        <f t="shared" si="3"/>
        <v/>
      </c>
    </row>
    <row r="999" ht="15.75" customHeight="1">
      <c r="B999" s="77">
        <f t="shared" si="1"/>
        <v>0</v>
      </c>
      <c r="C999" s="67"/>
      <c r="D999" s="78"/>
      <c r="E999" s="101"/>
      <c r="F999" s="108"/>
      <c r="G999" s="120"/>
      <c r="H999" s="101"/>
      <c r="I999" s="93"/>
      <c r="J999" s="91"/>
      <c r="L999" s="94" t="str">
        <f t="shared" si="2"/>
        <v>No infirmation</v>
      </c>
      <c r="M999" s="94" t="str">
        <f t="shared" si="3"/>
        <v/>
      </c>
    </row>
    <row r="1000" ht="15.75" customHeight="1">
      <c r="B1000" s="77">
        <f t="shared" si="1"/>
        <v>0</v>
      </c>
      <c r="C1000" s="67"/>
      <c r="D1000" s="78"/>
      <c r="E1000" s="101"/>
      <c r="F1000" s="108"/>
      <c r="G1000" s="120"/>
      <c r="H1000" s="101"/>
      <c r="I1000" s="93"/>
      <c r="J1000" s="91"/>
      <c r="L1000" s="94" t="str">
        <f t="shared" si="2"/>
        <v>No infirmation</v>
      </c>
      <c r="M1000" s="94" t="str">
        <f t="shared" si="3"/>
        <v/>
      </c>
    </row>
    <row r="1001" ht="15.75" customHeight="1">
      <c r="B1001" s="77">
        <f t="shared" si="1"/>
        <v>0</v>
      </c>
      <c r="C1001" s="67"/>
      <c r="D1001" s="78"/>
      <c r="E1001" s="101"/>
      <c r="F1001" s="108"/>
      <c r="G1001" s="120"/>
      <c r="H1001" s="101"/>
      <c r="I1001" s="93"/>
      <c r="J1001" s="91"/>
      <c r="L1001" s="94" t="str">
        <f t="shared" si="2"/>
        <v>No infirmation</v>
      </c>
      <c r="M1001" s="94" t="str">
        <f t="shared" si="3"/>
        <v/>
      </c>
    </row>
    <row r="1002" ht="15.75" customHeight="1">
      <c r="B1002" s="77">
        <f t="shared" si="1"/>
        <v>0</v>
      </c>
      <c r="C1002" s="67"/>
      <c r="D1002" s="78"/>
      <c r="E1002" s="101"/>
      <c r="F1002" s="108"/>
      <c r="G1002" s="120"/>
      <c r="H1002" s="101"/>
      <c r="I1002" s="93"/>
      <c r="J1002" s="91"/>
      <c r="L1002" s="94" t="str">
        <f t="shared" si="2"/>
        <v>No infirmation</v>
      </c>
      <c r="M1002" s="94" t="str">
        <f t="shared" si="3"/>
        <v/>
      </c>
    </row>
    <row r="1003" ht="15.75" customHeight="1">
      <c r="B1003" s="77">
        <f t="shared" si="1"/>
        <v>0</v>
      </c>
      <c r="C1003" s="67"/>
      <c r="D1003" s="78"/>
      <c r="E1003" s="101"/>
      <c r="F1003" s="108"/>
      <c r="G1003" s="120"/>
      <c r="H1003" s="101"/>
      <c r="I1003" s="93"/>
      <c r="J1003" s="91"/>
      <c r="L1003" s="94" t="str">
        <f t="shared" si="2"/>
        <v>No infirmation</v>
      </c>
      <c r="M1003" s="94" t="str">
        <f t="shared" si="3"/>
        <v/>
      </c>
    </row>
    <row r="1004" ht="15.75" customHeight="1">
      <c r="B1004" s="77">
        <f t="shared" si="1"/>
        <v>0</v>
      </c>
      <c r="C1004" s="67"/>
      <c r="D1004" s="78"/>
      <c r="E1004" s="101"/>
      <c r="F1004" s="108"/>
      <c r="G1004" s="120"/>
      <c r="H1004" s="101"/>
      <c r="I1004" s="93"/>
      <c r="J1004" s="91"/>
      <c r="L1004" s="94" t="str">
        <f t="shared" si="2"/>
        <v>No infirmation</v>
      </c>
      <c r="M1004" s="94" t="str">
        <f t="shared" si="3"/>
        <v/>
      </c>
    </row>
    <row r="1005" ht="15.75" customHeight="1">
      <c r="B1005" s="77">
        <f t="shared" si="1"/>
        <v>0</v>
      </c>
      <c r="C1005" s="67"/>
      <c r="D1005" s="78"/>
      <c r="E1005" s="101"/>
      <c r="F1005" s="108"/>
      <c r="G1005" s="120"/>
      <c r="H1005" s="101"/>
      <c r="I1005" s="93"/>
      <c r="J1005" s="91"/>
      <c r="L1005" s="94" t="str">
        <f t="shared" si="2"/>
        <v>No infirmation</v>
      </c>
      <c r="M1005" s="94" t="str">
        <f t="shared" si="3"/>
        <v/>
      </c>
    </row>
    <row r="1006" ht="15.75" customHeight="1">
      <c r="B1006" s="77">
        <f t="shared" si="1"/>
        <v>0</v>
      </c>
      <c r="C1006" s="67"/>
      <c r="D1006" s="78"/>
      <c r="E1006" s="101"/>
      <c r="F1006" s="108"/>
      <c r="G1006" s="120"/>
      <c r="H1006" s="101"/>
      <c r="I1006" s="93"/>
      <c r="J1006" s="91"/>
      <c r="L1006" s="94" t="str">
        <f t="shared" si="2"/>
        <v>No infirmation</v>
      </c>
      <c r="M1006" s="94" t="str">
        <f t="shared" si="3"/>
        <v/>
      </c>
    </row>
    <row r="1007" ht="15.75" customHeight="1">
      <c r="B1007" s="77">
        <f t="shared" si="1"/>
        <v>0</v>
      </c>
      <c r="C1007" s="67"/>
      <c r="D1007" s="78"/>
      <c r="E1007" s="101"/>
      <c r="F1007" s="108"/>
      <c r="G1007" s="120"/>
      <c r="H1007" s="101"/>
      <c r="I1007" s="93"/>
      <c r="J1007" s="91"/>
      <c r="L1007" s="94" t="str">
        <f t="shared" si="2"/>
        <v>No infirmation</v>
      </c>
      <c r="M1007" s="94" t="str">
        <f t="shared" si="3"/>
        <v/>
      </c>
    </row>
    <row r="1008" ht="15.75" customHeight="1">
      <c r="B1008" s="77">
        <f t="shared" si="1"/>
        <v>0</v>
      </c>
      <c r="C1008" s="67"/>
      <c r="D1008" s="78"/>
      <c r="E1008" s="101"/>
      <c r="F1008" s="108"/>
      <c r="G1008" s="120"/>
      <c r="H1008" s="101"/>
      <c r="I1008" s="93"/>
      <c r="J1008" s="91"/>
      <c r="L1008" s="94" t="str">
        <f t="shared" si="2"/>
        <v>No infirmation</v>
      </c>
      <c r="M1008" s="94" t="str">
        <f t="shared" si="3"/>
        <v/>
      </c>
    </row>
    <row r="1009" ht="15.75" customHeight="1">
      <c r="B1009" s="77">
        <f t="shared" si="1"/>
        <v>0</v>
      </c>
      <c r="C1009" s="67"/>
      <c r="D1009" s="78"/>
      <c r="E1009" s="101"/>
      <c r="F1009" s="108"/>
      <c r="G1009" s="120"/>
      <c r="H1009" s="101"/>
      <c r="I1009" s="93"/>
      <c r="J1009" s="91"/>
      <c r="L1009" s="94" t="str">
        <f t="shared" si="2"/>
        <v>No infirmation</v>
      </c>
      <c r="M1009" s="94" t="str">
        <f t="shared" si="3"/>
        <v/>
      </c>
    </row>
    <row r="1010" ht="15.75" customHeight="1">
      <c r="B1010" s="77">
        <f t="shared" si="1"/>
        <v>0</v>
      </c>
      <c r="C1010" s="67"/>
      <c r="D1010" s="78"/>
      <c r="E1010" s="101"/>
      <c r="F1010" s="108"/>
      <c r="G1010" s="120"/>
      <c r="H1010" s="101"/>
      <c r="I1010" s="93"/>
      <c r="J1010" s="91"/>
      <c r="L1010" s="94" t="str">
        <f t="shared" si="2"/>
        <v>No infirmation</v>
      </c>
      <c r="M1010" s="94" t="str">
        <f t="shared" si="3"/>
        <v/>
      </c>
    </row>
    <row r="1011" ht="15.75" customHeight="1">
      <c r="B1011" s="77">
        <f t="shared" si="1"/>
        <v>0</v>
      </c>
      <c r="C1011" s="67"/>
      <c r="D1011" s="78"/>
      <c r="E1011" s="101"/>
      <c r="F1011" s="108"/>
      <c r="G1011" s="120"/>
      <c r="H1011" s="101"/>
      <c r="I1011" s="93"/>
      <c r="J1011" s="91"/>
      <c r="L1011" s="94" t="str">
        <f t="shared" si="2"/>
        <v>No infirmation</v>
      </c>
      <c r="M1011" s="94" t="str">
        <f t="shared" si="3"/>
        <v/>
      </c>
    </row>
    <row r="1012" ht="15.75" customHeight="1">
      <c r="B1012" s="77">
        <f t="shared" si="1"/>
        <v>0</v>
      </c>
      <c r="C1012" s="67"/>
      <c r="D1012" s="78"/>
      <c r="E1012" s="101"/>
      <c r="F1012" s="108"/>
      <c r="G1012" s="120"/>
      <c r="H1012" s="101"/>
      <c r="I1012" s="93"/>
      <c r="J1012" s="91"/>
      <c r="L1012" s="94" t="str">
        <f t="shared" si="2"/>
        <v>No infirmation</v>
      </c>
      <c r="M1012" s="94" t="str">
        <f t="shared" si="3"/>
        <v/>
      </c>
    </row>
    <row r="1013" ht="15.75" customHeight="1">
      <c r="B1013" s="77">
        <f t="shared" si="1"/>
        <v>0</v>
      </c>
      <c r="C1013" s="67"/>
      <c r="D1013" s="78"/>
      <c r="E1013" s="101"/>
      <c r="F1013" s="108"/>
      <c r="G1013" s="120"/>
      <c r="H1013" s="101"/>
      <c r="I1013" s="93"/>
      <c r="J1013" s="91"/>
      <c r="L1013" s="94" t="str">
        <f t="shared" si="2"/>
        <v>No infirmation</v>
      </c>
      <c r="M1013" s="94" t="str">
        <f t="shared" si="3"/>
        <v/>
      </c>
    </row>
    <row r="1014" ht="15.75" customHeight="1">
      <c r="B1014" s="77">
        <f t="shared" si="1"/>
        <v>0</v>
      </c>
      <c r="C1014" s="67"/>
      <c r="D1014" s="78"/>
      <c r="E1014" s="101"/>
      <c r="F1014" s="108"/>
      <c r="G1014" s="120"/>
      <c r="H1014" s="101"/>
      <c r="I1014" s="93"/>
      <c r="J1014" s="91"/>
      <c r="L1014" s="94" t="str">
        <f t="shared" si="2"/>
        <v>No infirmation</v>
      </c>
      <c r="M1014" s="94" t="str">
        <f t="shared" si="3"/>
        <v/>
      </c>
    </row>
    <row r="1015" ht="15.75" customHeight="1">
      <c r="B1015" s="77">
        <f t="shared" si="1"/>
        <v>0</v>
      </c>
      <c r="C1015" s="67"/>
      <c r="D1015" s="78"/>
      <c r="E1015" s="101"/>
      <c r="F1015" s="108"/>
      <c r="G1015" s="120"/>
      <c r="H1015" s="101"/>
      <c r="I1015" s="93"/>
      <c r="J1015" s="91"/>
      <c r="L1015" s="94" t="str">
        <f t="shared" si="2"/>
        <v>No infirmation</v>
      </c>
      <c r="M1015" s="94" t="str">
        <f t="shared" si="3"/>
        <v/>
      </c>
    </row>
    <row r="1016" ht="15.75" customHeight="1">
      <c r="B1016" s="77">
        <f t="shared" si="1"/>
        <v>0</v>
      </c>
      <c r="C1016" s="67"/>
      <c r="D1016" s="78"/>
      <c r="E1016" s="101"/>
      <c r="F1016" s="108"/>
      <c r="G1016" s="120"/>
      <c r="H1016" s="101"/>
      <c r="I1016" s="93"/>
      <c r="J1016" s="91"/>
      <c r="L1016" s="94" t="str">
        <f t="shared" si="2"/>
        <v>No infirmation</v>
      </c>
      <c r="M1016" s="94" t="str">
        <f t="shared" si="3"/>
        <v/>
      </c>
    </row>
    <row r="1017" ht="15.75" customHeight="1">
      <c r="B1017" s="77">
        <f t="shared" si="1"/>
        <v>0</v>
      </c>
      <c r="C1017" s="67"/>
      <c r="D1017" s="78"/>
      <c r="E1017" s="101"/>
      <c r="F1017" s="108"/>
      <c r="G1017" s="120"/>
      <c r="H1017" s="101"/>
      <c r="I1017" s="93"/>
      <c r="J1017" s="91"/>
      <c r="L1017" s="94" t="str">
        <f t="shared" si="2"/>
        <v>No infirmation</v>
      </c>
      <c r="M1017" s="94" t="str">
        <f t="shared" si="3"/>
        <v/>
      </c>
    </row>
    <row r="1018" ht="15.75" customHeight="1">
      <c r="B1018" s="77">
        <f t="shared" si="1"/>
        <v>0</v>
      </c>
      <c r="C1018" s="67"/>
      <c r="D1018" s="78"/>
      <c r="E1018" s="101"/>
      <c r="F1018" s="108"/>
      <c r="G1018" s="120"/>
      <c r="H1018" s="101"/>
      <c r="I1018" s="93"/>
      <c r="J1018" s="91"/>
      <c r="L1018" s="94" t="str">
        <f t="shared" si="2"/>
        <v>No infirmation</v>
      </c>
      <c r="M1018" s="94" t="str">
        <f t="shared" si="3"/>
        <v/>
      </c>
    </row>
    <row r="1019" ht="15.75" customHeight="1">
      <c r="B1019" s="77">
        <f t="shared" si="1"/>
        <v>0</v>
      </c>
      <c r="C1019" s="67"/>
      <c r="D1019" s="78"/>
      <c r="E1019" s="101"/>
      <c r="F1019" s="108"/>
      <c r="G1019" s="120"/>
      <c r="H1019" s="101"/>
      <c r="I1019" s="93"/>
      <c r="J1019" s="91"/>
      <c r="L1019" s="94" t="str">
        <f t="shared" si="2"/>
        <v>No infirmation</v>
      </c>
      <c r="M1019" s="94" t="str">
        <f t="shared" si="3"/>
        <v/>
      </c>
    </row>
    <row r="1020" ht="15.75" customHeight="1">
      <c r="B1020" s="77">
        <f t="shared" si="1"/>
        <v>0</v>
      </c>
      <c r="C1020" s="67"/>
      <c r="D1020" s="78"/>
      <c r="E1020" s="101"/>
      <c r="F1020" s="108"/>
      <c r="G1020" s="120"/>
      <c r="H1020" s="101"/>
      <c r="I1020" s="93"/>
      <c r="J1020" s="91"/>
      <c r="L1020" s="94" t="str">
        <f t="shared" si="2"/>
        <v>No infirmation</v>
      </c>
      <c r="M1020" s="94" t="str">
        <f t="shared" si="3"/>
        <v/>
      </c>
    </row>
    <row r="1021" ht="15.75" customHeight="1">
      <c r="B1021" s="77">
        <f t="shared" si="1"/>
        <v>0</v>
      </c>
      <c r="C1021" s="67"/>
      <c r="D1021" s="78"/>
      <c r="E1021" s="101"/>
      <c r="F1021" s="108"/>
      <c r="G1021" s="120"/>
      <c r="H1021" s="101"/>
      <c r="I1021" s="93"/>
      <c r="J1021" s="91"/>
      <c r="L1021" s="94" t="str">
        <f t="shared" si="2"/>
        <v>No infirmation</v>
      </c>
      <c r="M1021" s="94" t="str">
        <f t="shared" si="3"/>
        <v/>
      </c>
    </row>
    <row r="1022" ht="15.75" customHeight="1">
      <c r="B1022" s="77">
        <f t="shared" si="1"/>
        <v>0</v>
      </c>
      <c r="C1022" s="67"/>
      <c r="D1022" s="78"/>
      <c r="E1022" s="101"/>
      <c r="F1022" s="108"/>
      <c r="G1022" s="120"/>
      <c r="H1022" s="101"/>
      <c r="I1022" s="93"/>
      <c r="J1022" s="91"/>
      <c r="L1022" s="94" t="str">
        <f t="shared" si="2"/>
        <v>No infirmation</v>
      </c>
      <c r="M1022" s="94" t="str">
        <f t="shared" si="3"/>
        <v/>
      </c>
    </row>
    <row r="1023" ht="15.75" customHeight="1">
      <c r="B1023" s="77">
        <f t="shared" si="1"/>
        <v>0</v>
      </c>
      <c r="C1023" s="67"/>
      <c r="D1023" s="78"/>
      <c r="E1023" s="101"/>
      <c r="F1023" s="108"/>
      <c r="G1023" s="120"/>
      <c r="H1023" s="101"/>
      <c r="I1023" s="93"/>
      <c r="J1023" s="91"/>
      <c r="L1023" s="94" t="str">
        <f t="shared" si="2"/>
        <v>No infirmation</v>
      </c>
      <c r="M1023" s="94" t="str">
        <f t="shared" si="3"/>
        <v/>
      </c>
    </row>
    <row r="1024" ht="15.75" customHeight="1">
      <c r="B1024" s="77">
        <f t="shared" si="1"/>
        <v>0</v>
      </c>
      <c r="C1024" s="67"/>
      <c r="D1024" s="78"/>
      <c r="E1024" s="101"/>
      <c r="F1024" s="108"/>
      <c r="G1024" s="120"/>
      <c r="H1024" s="101"/>
      <c r="I1024" s="93"/>
      <c r="J1024" s="91"/>
      <c r="L1024" s="94" t="str">
        <f t="shared" si="2"/>
        <v>No infirmation</v>
      </c>
      <c r="M1024" s="94" t="str">
        <f t="shared" si="3"/>
        <v/>
      </c>
    </row>
    <row r="1025" ht="15.75" customHeight="1">
      <c r="B1025" s="77">
        <f t="shared" si="1"/>
        <v>0</v>
      </c>
      <c r="C1025" s="67"/>
      <c r="D1025" s="78"/>
      <c r="E1025" s="101"/>
      <c r="F1025" s="108"/>
      <c r="G1025" s="120"/>
      <c r="H1025" s="101"/>
      <c r="I1025" s="93"/>
      <c r="J1025" s="91"/>
      <c r="L1025" s="94" t="str">
        <f t="shared" si="2"/>
        <v>No infirmation</v>
      </c>
      <c r="M1025" s="94" t="str">
        <f t="shared" si="3"/>
        <v/>
      </c>
    </row>
    <row r="1026" ht="15.75" customHeight="1">
      <c r="B1026" s="77">
        <f t="shared" si="1"/>
        <v>0</v>
      </c>
      <c r="C1026" s="67"/>
      <c r="D1026" s="78"/>
      <c r="E1026" s="101"/>
      <c r="F1026" s="108"/>
      <c r="G1026" s="120"/>
      <c r="H1026" s="101"/>
      <c r="I1026" s="93"/>
      <c r="J1026" s="91"/>
      <c r="L1026" s="94" t="str">
        <f t="shared" si="2"/>
        <v>No infirmation</v>
      </c>
      <c r="M1026" s="94" t="str">
        <f t="shared" si="3"/>
        <v/>
      </c>
    </row>
    <row r="1027" ht="15.75" customHeight="1">
      <c r="B1027" s="77">
        <f t="shared" si="1"/>
        <v>0</v>
      </c>
      <c r="C1027" s="67"/>
      <c r="D1027" s="78"/>
      <c r="E1027" s="101"/>
      <c r="F1027" s="108"/>
      <c r="G1027" s="120"/>
      <c r="H1027" s="101"/>
      <c r="I1027" s="93"/>
      <c r="J1027" s="91"/>
      <c r="L1027" s="94" t="str">
        <f t="shared" si="2"/>
        <v>No infirmation</v>
      </c>
      <c r="M1027" s="94" t="str">
        <f t="shared" si="3"/>
        <v/>
      </c>
    </row>
    <row r="1028" ht="15.75" customHeight="1">
      <c r="B1028" s="77">
        <f t="shared" si="1"/>
        <v>0</v>
      </c>
      <c r="C1028" s="67"/>
      <c r="D1028" s="78"/>
      <c r="E1028" s="101"/>
      <c r="F1028" s="108"/>
      <c r="G1028" s="120"/>
      <c r="H1028" s="101"/>
      <c r="I1028" s="93"/>
      <c r="J1028" s="91"/>
      <c r="L1028" s="94" t="str">
        <f t="shared" si="2"/>
        <v>No infirmation</v>
      </c>
      <c r="M1028" s="94" t="str">
        <f t="shared" si="3"/>
        <v/>
      </c>
    </row>
    <row r="1029" ht="15.75" customHeight="1">
      <c r="B1029" s="77">
        <f t="shared" si="1"/>
        <v>0</v>
      </c>
      <c r="C1029" s="67"/>
      <c r="D1029" s="78"/>
      <c r="E1029" s="101"/>
      <c r="F1029" s="108"/>
      <c r="G1029" s="120"/>
      <c r="H1029" s="101"/>
      <c r="I1029" s="93"/>
      <c r="J1029" s="91"/>
      <c r="L1029" s="94" t="str">
        <f t="shared" si="2"/>
        <v>No infirmation</v>
      </c>
      <c r="M1029" s="94" t="str">
        <f t="shared" si="3"/>
        <v/>
      </c>
    </row>
    <row r="1030" ht="15.75" customHeight="1">
      <c r="B1030" s="77">
        <f t="shared" si="1"/>
        <v>0</v>
      </c>
      <c r="C1030" s="67"/>
      <c r="D1030" s="78"/>
      <c r="E1030" s="101"/>
      <c r="F1030" s="108"/>
      <c r="G1030" s="120"/>
      <c r="H1030" s="101"/>
      <c r="I1030" s="93"/>
      <c r="J1030" s="91"/>
      <c r="L1030" s="94" t="str">
        <f t="shared" si="2"/>
        <v>No infirmation</v>
      </c>
      <c r="M1030" s="94" t="str">
        <f t="shared" si="3"/>
        <v/>
      </c>
    </row>
    <row r="1031" ht="15.75" customHeight="1">
      <c r="B1031" s="77">
        <f t="shared" si="1"/>
        <v>0</v>
      </c>
      <c r="C1031" s="67"/>
      <c r="D1031" s="78"/>
      <c r="E1031" s="101"/>
      <c r="F1031" s="108"/>
      <c r="G1031" s="120"/>
      <c r="H1031" s="101"/>
      <c r="I1031" s="93"/>
      <c r="J1031" s="91"/>
      <c r="L1031" s="94" t="str">
        <f t="shared" si="2"/>
        <v>No infirmation</v>
      </c>
      <c r="M1031" s="94" t="str">
        <f t="shared" si="3"/>
        <v/>
      </c>
    </row>
    <row r="1032" ht="15.75" customHeight="1">
      <c r="B1032" s="77">
        <f t="shared" si="1"/>
        <v>0</v>
      </c>
      <c r="C1032" s="67"/>
      <c r="D1032" s="78"/>
      <c r="E1032" s="101"/>
      <c r="F1032" s="108"/>
      <c r="G1032" s="120"/>
      <c r="H1032" s="101"/>
      <c r="I1032" s="93"/>
      <c r="J1032" s="91"/>
      <c r="L1032" s="94" t="str">
        <f t="shared" si="2"/>
        <v>No infirmation</v>
      </c>
      <c r="M1032" s="94" t="str">
        <f t="shared" si="3"/>
        <v/>
      </c>
    </row>
    <row r="1033" ht="15.75" customHeight="1">
      <c r="B1033" s="77">
        <f t="shared" si="1"/>
        <v>0</v>
      </c>
      <c r="C1033" s="67"/>
      <c r="D1033" s="78"/>
      <c r="E1033" s="101"/>
      <c r="F1033" s="108"/>
      <c r="G1033" s="120"/>
      <c r="H1033" s="101"/>
      <c r="I1033" s="93"/>
      <c r="J1033" s="91"/>
      <c r="L1033" s="94" t="str">
        <f t="shared" si="2"/>
        <v>No infirmation</v>
      </c>
      <c r="M1033" s="94" t="str">
        <f t="shared" si="3"/>
        <v/>
      </c>
    </row>
    <row r="1034" ht="15.75" customHeight="1">
      <c r="B1034" s="77">
        <f t="shared" si="1"/>
        <v>0</v>
      </c>
      <c r="C1034" s="67"/>
      <c r="D1034" s="78"/>
      <c r="E1034" s="101"/>
      <c r="F1034" s="108"/>
      <c r="G1034" s="120"/>
      <c r="H1034" s="101"/>
      <c r="I1034" s="93"/>
      <c r="J1034" s="91"/>
      <c r="L1034" s="94" t="str">
        <f t="shared" si="2"/>
        <v>No infirmation</v>
      </c>
      <c r="M1034" s="94" t="str">
        <f t="shared" si="3"/>
        <v/>
      </c>
    </row>
    <row r="1035" ht="15.75" customHeight="1">
      <c r="B1035" s="77">
        <f t="shared" si="1"/>
        <v>0</v>
      </c>
      <c r="C1035" s="67"/>
      <c r="D1035" s="78"/>
      <c r="E1035" s="101"/>
      <c r="F1035" s="108"/>
      <c r="G1035" s="120"/>
      <c r="H1035" s="101"/>
      <c r="I1035" s="93"/>
      <c r="J1035" s="91"/>
      <c r="L1035" s="94" t="str">
        <f t="shared" si="2"/>
        <v>No infirmation</v>
      </c>
      <c r="M1035" s="94" t="str">
        <f t="shared" si="3"/>
        <v/>
      </c>
    </row>
    <row r="1036" ht="15.75" customHeight="1">
      <c r="B1036" s="77">
        <f t="shared" si="1"/>
        <v>0</v>
      </c>
      <c r="C1036" s="67"/>
      <c r="D1036" s="78"/>
      <c r="E1036" s="101"/>
      <c r="F1036" s="108"/>
      <c r="G1036" s="120"/>
      <c r="H1036" s="101"/>
      <c r="I1036" s="93"/>
      <c r="J1036" s="91"/>
      <c r="L1036" s="94" t="str">
        <f t="shared" si="2"/>
        <v>No infirmation</v>
      </c>
      <c r="M1036" s="94" t="str">
        <f t="shared" si="3"/>
        <v/>
      </c>
    </row>
    <row r="1037" ht="15.75" customHeight="1">
      <c r="B1037" s="77">
        <f t="shared" si="1"/>
        <v>0</v>
      </c>
      <c r="C1037" s="67"/>
      <c r="D1037" s="78"/>
      <c r="E1037" s="101"/>
      <c r="F1037" s="108"/>
      <c r="G1037" s="120"/>
      <c r="H1037" s="101"/>
      <c r="I1037" s="93"/>
      <c r="J1037" s="91"/>
      <c r="L1037" s="94" t="str">
        <f t="shared" si="2"/>
        <v>No infirmation</v>
      </c>
      <c r="M1037" s="94" t="str">
        <f t="shared" si="3"/>
        <v/>
      </c>
    </row>
    <row r="1038" ht="15.75" customHeight="1">
      <c r="B1038" s="77">
        <f t="shared" si="1"/>
        <v>0</v>
      </c>
      <c r="C1038" s="67"/>
      <c r="D1038" s="78"/>
      <c r="E1038" s="101"/>
      <c r="F1038" s="108"/>
      <c r="G1038" s="120"/>
      <c r="H1038" s="101"/>
      <c r="I1038" s="93"/>
      <c r="J1038" s="91"/>
      <c r="L1038" s="94" t="str">
        <f t="shared" si="2"/>
        <v>No infirmation</v>
      </c>
      <c r="M1038" s="94" t="str">
        <f t="shared" si="3"/>
        <v/>
      </c>
    </row>
    <row r="1039" ht="15.75" customHeight="1">
      <c r="B1039" s="77">
        <f t="shared" si="1"/>
        <v>0</v>
      </c>
      <c r="C1039" s="67"/>
      <c r="D1039" s="78"/>
      <c r="E1039" s="101"/>
      <c r="F1039" s="108"/>
      <c r="G1039" s="120"/>
      <c r="H1039" s="101"/>
      <c r="I1039" s="93"/>
      <c r="J1039" s="91"/>
      <c r="L1039" s="94" t="str">
        <f t="shared" si="2"/>
        <v>No infirmation</v>
      </c>
      <c r="M1039" s="94" t="str">
        <f t="shared" si="3"/>
        <v/>
      </c>
    </row>
    <row r="1040" ht="15.75" customHeight="1">
      <c r="B1040" s="77">
        <f t="shared" si="1"/>
        <v>0</v>
      </c>
      <c r="C1040" s="67"/>
      <c r="D1040" s="78"/>
      <c r="E1040" s="101"/>
      <c r="F1040" s="108"/>
      <c r="G1040" s="120"/>
      <c r="H1040" s="101"/>
      <c r="I1040" s="93"/>
      <c r="J1040" s="91"/>
      <c r="L1040" s="94" t="str">
        <f t="shared" si="2"/>
        <v>No infirmation</v>
      </c>
      <c r="M1040" s="94" t="str">
        <f t="shared" si="3"/>
        <v/>
      </c>
    </row>
    <row r="1041" ht="15.75" customHeight="1">
      <c r="B1041" s="77">
        <f t="shared" si="1"/>
        <v>0</v>
      </c>
      <c r="C1041" s="67"/>
      <c r="D1041" s="78"/>
      <c r="E1041" s="101"/>
      <c r="F1041" s="108"/>
      <c r="G1041" s="120"/>
      <c r="H1041" s="101"/>
      <c r="I1041" s="93"/>
      <c r="J1041" s="91"/>
      <c r="L1041" s="94" t="str">
        <f t="shared" si="2"/>
        <v>No infirmation</v>
      </c>
      <c r="M1041" s="94" t="str">
        <f t="shared" si="3"/>
        <v/>
      </c>
    </row>
    <row r="1042" ht="15.75" customHeight="1">
      <c r="B1042" s="77">
        <f t="shared" si="1"/>
        <v>0</v>
      </c>
      <c r="C1042" s="67"/>
      <c r="D1042" s="78"/>
      <c r="E1042" s="101"/>
      <c r="F1042" s="108"/>
      <c r="G1042" s="120"/>
      <c r="H1042" s="101"/>
      <c r="I1042" s="93"/>
      <c r="J1042" s="91"/>
      <c r="L1042" s="94" t="str">
        <f t="shared" si="2"/>
        <v>No infirmation</v>
      </c>
      <c r="M1042" s="94" t="str">
        <f t="shared" si="3"/>
        <v/>
      </c>
    </row>
    <row r="1043" ht="15.75" customHeight="1">
      <c r="B1043" s="77">
        <f t="shared" si="1"/>
        <v>0</v>
      </c>
      <c r="C1043" s="67"/>
      <c r="D1043" s="78"/>
      <c r="E1043" s="101"/>
      <c r="F1043" s="108"/>
      <c r="G1043" s="120"/>
      <c r="H1043" s="101"/>
      <c r="I1043" s="93"/>
      <c r="J1043" s="91"/>
      <c r="L1043" s="94" t="str">
        <f t="shared" si="2"/>
        <v>No infirmation</v>
      </c>
      <c r="M1043" s="94" t="str">
        <f t="shared" si="3"/>
        <v/>
      </c>
    </row>
    <row r="1044" ht="15.75" customHeight="1">
      <c r="B1044" s="77">
        <f t="shared" si="1"/>
        <v>0</v>
      </c>
      <c r="C1044" s="67"/>
      <c r="D1044" s="78"/>
      <c r="E1044" s="101"/>
      <c r="F1044" s="108"/>
      <c r="G1044" s="120"/>
      <c r="H1044" s="101"/>
      <c r="I1044" s="93"/>
      <c r="J1044" s="91"/>
      <c r="L1044" s="94" t="str">
        <f t="shared" si="2"/>
        <v>No infirmation</v>
      </c>
      <c r="M1044" s="94" t="str">
        <f t="shared" si="3"/>
        <v/>
      </c>
    </row>
    <row r="1045" ht="15.75" customHeight="1">
      <c r="B1045" s="77">
        <f t="shared" si="1"/>
        <v>0</v>
      </c>
      <c r="C1045" s="67"/>
      <c r="D1045" s="78"/>
      <c r="E1045" s="101"/>
      <c r="F1045" s="108"/>
      <c r="G1045" s="120"/>
      <c r="H1045" s="101"/>
      <c r="I1045" s="93"/>
      <c r="J1045" s="91"/>
      <c r="L1045" s="94" t="str">
        <f t="shared" si="2"/>
        <v>No infirmation</v>
      </c>
      <c r="M1045" s="94" t="str">
        <f t="shared" si="3"/>
        <v/>
      </c>
    </row>
    <row r="1046" ht="15.75" customHeight="1">
      <c r="B1046" s="77">
        <f t="shared" si="1"/>
        <v>0</v>
      </c>
      <c r="C1046" s="67"/>
      <c r="D1046" s="78"/>
      <c r="E1046" s="101"/>
      <c r="F1046" s="108"/>
      <c r="G1046" s="120"/>
      <c r="H1046" s="101"/>
      <c r="I1046" s="93"/>
      <c r="J1046" s="91"/>
      <c r="L1046" s="94" t="str">
        <f t="shared" si="2"/>
        <v>No infirmation</v>
      </c>
      <c r="M1046" s="94" t="str">
        <f t="shared" si="3"/>
        <v/>
      </c>
    </row>
    <row r="1047" ht="15.75" customHeight="1">
      <c r="B1047" s="77">
        <f t="shared" si="1"/>
        <v>0</v>
      </c>
      <c r="C1047" s="67"/>
      <c r="D1047" s="78"/>
      <c r="E1047" s="101"/>
      <c r="F1047" s="108"/>
      <c r="G1047" s="120"/>
      <c r="H1047" s="101"/>
      <c r="I1047" s="93"/>
      <c r="J1047" s="91"/>
      <c r="L1047" s="94" t="str">
        <f t="shared" si="2"/>
        <v>No infirmation</v>
      </c>
      <c r="M1047" s="94" t="str">
        <f t="shared" si="3"/>
        <v/>
      </c>
    </row>
    <row r="1048" ht="15.75" customHeight="1">
      <c r="B1048" s="77">
        <f t="shared" si="1"/>
        <v>0</v>
      </c>
      <c r="C1048" s="67"/>
      <c r="D1048" s="78"/>
      <c r="E1048" s="101"/>
      <c r="F1048" s="108"/>
      <c r="G1048" s="120"/>
      <c r="H1048" s="101"/>
      <c r="I1048" s="93"/>
      <c r="J1048" s="91"/>
      <c r="L1048" s="94" t="str">
        <f t="shared" si="2"/>
        <v>No infirmation</v>
      </c>
      <c r="M1048" s="94" t="str">
        <f t="shared" si="3"/>
        <v/>
      </c>
    </row>
    <row r="1049" ht="15.75" customHeight="1">
      <c r="B1049" s="77">
        <f t="shared" si="1"/>
        <v>0</v>
      </c>
      <c r="C1049" s="67"/>
      <c r="D1049" s="78"/>
      <c r="E1049" s="101"/>
      <c r="F1049" s="108"/>
      <c r="G1049" s="120"/>
      <c r="H1049" s="101"/>
      <c r="I1049" s="93"/>
      <c r="J1049" s="91"/>
      <c r="L1049" s="94" t="str">
        <f t="shared" si="2"/>
        <v>No infirmation</v>
      </c>
      <c r="M1049" s="94" t="str">
        <f t="shared" si="3"/>
        <v/>
      </c>
    </row>
    <row r="1050" ht="15.75" customHeight="1">
      <c r="B1050" s="77">
        <f t="shared" si="1"/>
        <v>0</v>
      </c>
      <c r="C1050" s="67"/>
      <c r="D1050" s="78"/>
      <c r="E1050" s="101"/>
      <c r="F1050" s="108"/>
      <c r="G1050" s="120"/>
      <c r="H1050" s="101"/>
      <c r="I1050" s="93"/>
      <c r="J1050" s="91"/>
      <c r="L1050" s="94" t="str">
        <f t="shared" si="2"/>
        <v>No infirmation</v>
      </c>
      <c r="M1050" s="94" t="str">
        <f t="shared" si="3"/>
        <v/>
      </c>
    </row>
    <row r="1051" ht="15.75" customHeight="1">
      <c r="B1051" s="77">
        <f t="shared" si="1"/>
        <v>0</v>
      </c>
      <c r="C1051" s="67"/>
      <c r="D1051" s="78"/>
      <c r="E1051" s="101"/>
      <c r="F1051" s="108"/>
      <c r="G1051" s="120"/>
      <c r="H1051" s="101"/>
      <c r="I1051" s="93"/>
      <c r="J1051" s="91"/>
      <c r="L1051" s="94" t="str">
        <f t="shared" si="2"/>
        <v>No infirmation</v>
      </c>
      <c r="M1051" s="94" t="str">
        <f t="shared" si="3"/>
        <v/>
      </c>
    </row>
    <row r="1052" ht="15.75" customHeight="1">
      <c r="B1052" s="77">
        <f t="shared" si="1"/>
        <v>0</v>
      </c>
      <c r="C1052" s="67"/>
      <c r="D1052" s="78"/>
      <c r="E1052" s="101"/>
      <c r="F1052" s="108"/>
      <c r="G1052" s="120"/>
      <c r="H1052" s="101"/>
      <c r="I1052" s="93"/>
      <c r="J1052" s="91"/>
      <c r="L1052" s="94" t="str">
        <f t="shared" si="2"/>
        <v>No infirmation</v>
      </c>
      <c r="M1052" s="94" t="str">
        <f t="shared" si="3"/>
        <v/>
      </c>
    </row>
    <row r="1053" ht="15.75" customHeight="1">
      <c r="B1053" s="77">
        <f t="shared" si="1"/>
        <v>0</v>
      </c>
      <c r="C1053" s="67"/>
      <c r="D1053" s="78"/>
      <c r="E1053" s="101"/>
      <c r="F1053" s="108"/>
      <c r="G1053" s="120"/>
      <c r="H1053" s="101"/>
      <c r="I1053" s="93"/>
      <c r="J1053" s="91"/>
      <c r="L1053" s="94" t="str">
        <f t="shared" si="2"/>
        <v>No infirmation</v>
      </c>
      <c r="M1053" s="94" t="str">
        <f t="shared" si="3"/>
        <v/>
      </c>
    </row>
    <row r="1054" ht="15.75" customHeight="1">
      <c r="B1054" s="77">
        <f t="shared" si="1"/>
        <v>0</v>
      </c>
      <c r="C1054" s="67"/>
      <c r="D1054" s="78"/>
      <c r="E1054" s="101"/>
      <c r="F1054" s="108"/>
      <c r="G1054" s="120"/>
      <c r="H1054" s="101"/>
      <c r="I1054" s="93"/>
      <c r="J1054" s="91"/>
      <c r="L1054" s="94" t="str">
        <f t="shared" si="2"/>
        <v>No infirmation</v>
      </c>
      <c r="M1054" s="94" t="str">
        <f t="shared" si="3"/>
        <v/>
      </c>
    </row>
    <row r="1055" ht="15.75" customHeight="1">
      <c r="B1055" s="77">
        <f t="shared" si="1"/>
        <v>0</v>
      </c>
      <c r="C1055" s="67"/>
      <c r="D1055" s="78"/>
      <c r="E1055" s="101"/>
      <c r="F1055" s="108"/>
      <c r="G1055" s="120"/>
      <c r="H1055" s="101"/>
      <c r="I1055" s="93"/>
      <c r="J1055" s="91"/>
      <c r="L1055" s="94" t="str">
        <f t="shared" si="2"/>
        <v>No infirmation</v>
      </c>
      <c r="M1055" s="94" t="str">
        <f t="shared" si="3"/>
        <v/>
      </c>
    </row>
    <row r="1056" ht="15.75" customHeight="1">
      <c r="B1056" s="77">
        <f t="shared" si="1"/>
        <v>0</v>
      </c>
      <c r="C1056" s="67"/>
      <c r="D1056" s="78"/>
      <c r="E1056" s="101"/>
      <c r="F1056" s="108"/>
      <c r="G1056" s="120"/>
      <c r="H1056" s="101"/>
      <c r="I1056" s="93"/>
      <c r="J1056" s="91"/>
      <c r="L1056" s="94" t="str">
        <f t="shared" si="2"/>
        <v>No infirmation</v>
      </c>
      <c r="M1056" s="94" t="str">
        <f t="shared" si="3"/>
        <v/>
      </c>
    </row>
    <row r="1057" ht="15.75" customHeight="1">
      <c r="B1057" s="77">
        <f t="shared" si="1"/>
        <v>0</v>
      </c>
      <c r="C1057" s="67"/>
      <c r="D1057" s="78"/>
      <c r="E1057" s="101"/>
      <c r="F1057" s="108"/>
      <c r="G1057" s="120"/>
      <c r="H1057" s="101"/>
      <c r="I1057" s="93"/>
      <c r="J1057" s="91"/>
      <c r="L1057" s="94" t="str">
        <f t="shared" si="2"/>
        <v>No infirmation</v>
      </c>
      <c r="M1057" s="94" t="str">
        <f t="shared" si="3"/>
        <v/>
      </c>
    </row>
    <row r="1058" ht="15.75" customHeight="1">
      <c r="B1058" s="77">
        <f t="shared" si="1"/>
        <v>0</v>
      </c>
      <c r="C1058" s="67"/>
      <c r="D1058" s="78"/>
      <c r="E1058" s="101"/>
      <c r="F1058" s="108"/>
      <c r="G1058" s="120"/>
      <c r="H1058" s="101"/>
      <c r="I1058" s="93"/>
      <c r="J1058" s="91"/>
      <c r="L1058" s="94" t="str">
        <f t="shared" si="2"/>
        <v>No infirmation</v>
      </c>
      <c r="M1058" s="94" t="str">
        <f t="shared" si="3"/>
        <v/>
      </c>
    </row>
    <row r="1059" ht="15.75" customHeight="1">
      <c r="B1059" s="77">
        <f t="shared" si="1"/>
        <v>0</v>
      </c>
      <c r="C1059" s="67"/>
      <c r="D1059" s="78"/>
      <c r="E1059" s="101"/>
      <c r="F1059" s="108"/>
      <c r="G1059" s="120"/>
      <c r="H1059" s="101"/>
      <c r="I1059" s="93"/>
      <c r="J1059" s="91"/>
      <c r="L1059" s="94" t="str">
        <f t="shared" si="2"/>
        <v>No infirmation</v>
      </c>
      <c r="M1059" s="94" t="str">
        <f t="shared" si="3"/>
        <v/>
      </c>
    </row>
    <row r="1060" ht="15.75" customHeight="1">
      <c r="B1060" s="77">
        <f t="shared" si="1"/>
        <v>0</v>
      </c>
      <c r="C1060" s="67"/>
      <c r="D1060" s="78"/>
      <c r="E1060" s="101"/>
      <c r="F1060" s="108"/>
      <c r="G1060" s="120"/>
      <c r="H1060" s="101"/>
      <c r="I1060" s="93"/>
      <c r="J1060" s="91"/>
      <c r="L1060" s="94" t="str">
        <f t="shared" si="2"/>
        <v>No infirmation</v>
      </c>
      <c r="M1060" s="94" t="str">
        <f t="shared" si="3"/>
        <v/>
      </c>
    </row>
    <row r="1061" ht="15.75" customHeight="1">
      <c r="B1061" s="77">
        <f t="shared" si="1"/>
        <v>0</v>
      </c>
      <c r="C1061" s="67"/>
      <c r="D1061" s="78"/>
      <c r="E1061" s="101"/>
      <c r="F1061" s="108"/>
      <c r="G1061" s="120"/>
      <c r="H1061" s="101"/>
      <c r="I1061" s="93"/>
      <c r="J1061" s="91"/>
      <c r="L1061" s="94" t="str">
        <f t="shared" si="2"/>
        <v>No infirmation</v>
      </c>
      <c r="M1061" s="94" t="str">
        <f t="shared" si="3"/>
        <v/>
      </c>
    </row>
    <row r="1062" ht="15.75" customHeight="1">
      <c r="B1062" s="77">
        <f t="shared" si="1"/>
        <v>0</v>
      </c>
      <c r="C1062" s="67"/>
      <c r="D1062" s="78"/>
      <c r="E1062" s="101"/>
      <c r="F1062" s="108"/>
      <c r="G1062" s="120"/>
      <c r="H1062" s="101"/>
      <c r="I1062" s="93"/>
      <c r="J1062" s="91"/>
      <c r="L1062" s="94" t="str">
        <f t="shared" si="2"/>
        <v>No infirmation</v>
      </c>
      <c r="M1062" s="94" t="str">
        <f t="shared" si="3"/>
        <v/>
      </c>
    </row>
    <row r="1063" ht="15.75" customHeight="1">
      <c r="B1063" s="77">
        <f t="shared" si="1"/>
        <v>0</v>
      </c>
      <c r="C1063" s="67"/>
      <c r="D1063" s="78"/>
      <c r="E1063" s="101"/>
      <c r="F1063" s="108"/>
      <c r="G1063" s="120"/>
      <c r="H1063" s="101"/>
      <c r="I1063" s="93"/>
      <c r="J1063" s="91"/>
      <c r="L1063" s="94" t="str">
        <f t="shared" si="2"/>
        <v>No infirmation</v>
      </c>
      <c r="M1063" s="94" t="str">
        <f t="shared" si="3"/>
        <v/>
      </c>
    </row>
    <row r="1064" ht="15.75" customHeight="1">
      <c r="B1064" s="77">
        <f t="shared" si="1"/>
        <v>0</v>
      </c>
      <c r="C1064" s="67"/>
      <c r="D1064" s="78"/>
      <c r="E1064" s="101"/>
      <c r="F1064" s="108"/>
      <c r="G1064" s="120"/>
      <c r="H1064" s="101"/>
      <c r="I1064" s="93"/>
      <c r="J1064" s="91"/>
      <c r="L1064" s="94" t="str">
        <f t="shared" si="2"/>
        <v>No infirmation</v>
      </c>
      <c r="M1064" s="94" t="str">
        <f t="shared" si="3"/>
        <v/>
      </c>
    </row>
    <row r="1065" ht="15.75" customHeight="1">
      <c r="B1065" s="77">
        <f t="shared" si="1"/>
        <v>0</v>
      </c>
      <c r="C1065" s="67"/>
      <c r="D1065" s="78"/>
      <c r="E1065" s="101"/>
      <c r="F1065" s="108"/>
      <c r="G1065" s="120"/>
      <c r="H1065" s="101"/>
      <c r="I1065" s="93"/>
      <c r="J1065" s="91"/>
      <c r="L1065" s="94" t="str">
        <f t="shared" si="2"/>
        <v>No infirmation</v>
      </c>
      <c r="M1065" s="94" t="str">
        <f t="shared" si="3"/>
        <v/>
      </c>
    </row>
    <row r="1066" ht="15.75" customHeight="1">
      <c r="B1066" s="77">
        <f t="shared" si="1"/>
        <v>0</v>
      </c>
      <c r="C1066" s="67"/>
      <c r="D1066" s="78"/>
      <c r="E1066" s="101"/>
      <c r="F1066" s="108"/>
      <c r="G1066" s="120"/>
      <c r="H1066" s="101"/>
      <c r="I1066" s="93"/>
      <c r="J1066" s="91"/>
      <c r="L1066" s="94" t="str">
        <f t="shared" si="2"/>
        <v>No infirmation</v>
      </c>
      <c r="M1066" s="94" t="str">
        <f t="shared" si="3"/>
        <v/>
      </c>
    </row>
    <row r="1067" ht="15.75" customHeight="1">
      <c r="B1067" s="77">
        <f t="shared" si="1"/>
        <v>0</v>
      </c>
      <c r="C1067" s="67"/>
      <c r="D1067" s="78"/>
      <c r="E1067" s="101"/>
      <c r="F1067" s="108"/>
      <c r="G1067" s="120"/>
      <c r="H1067" s="101"/>
      <c r="I1067" s="93"/>
      <c r="J1067" s="91"/>
      <c r="L1067" s="94" t="str">
        <f t="shared" si="2"/>
        <v>No infirmation</v>
      </c>
      <c r="M1067" s="94" t="str">
        <f t="shared" si="3"/>
        <v/>
      </c>
    </row>
    <row r="1068" ht="15.75" customHeight="1">
      <c r="B1068" s="77">
        <f t="shared" si="1"/>
        <v>0</v>
      </c>
      <c r="C1068" s="67"/>
      <c r="D1068" s="78"/>
      <c r="E1068" s="101"/>
      <c r="F1068" s="108"/>
      <c r="G1068" s="120"/>
      <c r="H1068" s="101"/>
      <c r="I1068" s="93"/>
      <c r="J1068" s="91"/>
      <c r="L1068" s="94" t="str">
        <f t="shared" si="2"/>
        <v>No infirmation</v>
      </c>
      <c r="M1068" s="94" t="str">
        <f t="shared" si="3"/>
        <v/>
      </c>
    </row>
    <row r="1069" ht="15.75" customHeight="1">
      <c r="B1069" s="77">
        <f t="shared" si="1"/>
        <v>0</v>
      </c>
      <c r="C1069" s="67"/>
      <c r="D1069" s="78"/>
      <c r="E1069" s="101"/>
      <c r="F1069" s="108"/>
      <c r="G1069" s="120"/>
      <c r="H1069" s="101"/>
      <c r="I1069" s="93"/>
      <c r="J1069" s="91"/>
      <c r="L1069" s="94" t="str">
        <f t="shared" si="2"/>
        <v>No infirmation</v>
      </c>
      <c r="M1069" s="94" t="str">
        <f t="shared" si="3"/>
        <v/>
      </c>
    </row>
    <row r="1070" ht="15.75" customHeight="1">
      <c r="B1070" s="77">
        <f t="shared" si="1"/>
        <v>0</v>
      </c>
      <c r="C1070" s="67"/>
      <c r="D1070" s="78"/>
      <c r="E1070" s="101"/>
      <c r="F1070" s="108"/>
      <c r="G1070" s="120"/>
      <c r="H1070" s="101"/>
      <c r="I1070" s="93"/>
      <c r="J1070" s="91"/>
      <c r="L1070" s="94" t="str">
        <f t="shared" si="2"/>
        <v>No infirmation</v>
      </c>
      <c r="M1070" s="94" t="str">
        <f t="shared" si="3"/>
        <v/>
      </c>
    </row>
    <row r="1071" ht="15.75" customHeight="1">
      <c r="B1071" s="77">
        <f t="shared" si="1"/>
        <v>0</v>
      </c>
      <c r="C1071" s="67"/>
      <c r="D1071" s="78"/>
      <c r="E1071" s="101"/>
      <c r="F1071" s="108"/>
      <c r="G1071" s="120"/>
      <c r="H1071" s="101"/>
      <c r="I1071" s="93"/>
      <c r="J1071" s="91"/>
      <c r="L1071" s="94" t="str">
        <f t="shared" si="2"/>
        <v>No infirmation</v>
      </c>
      <c r="M1071" s="94" t="str">
        <f t="shared" si="3"/>
        <v/>
      </c>
    </row>
    <row r="1072" ht="15.75" customHeight="1">
      <c r="B1072" s="77">
        <f t="shared" si="1"/>
        <v>0</v>
      </c>
      <c r="C1072" s="67"/>
      <c r="D1072" s="78"/>
      <c r="E1072" s="101"/>
      <c r="F1072" s="108"/>
      <c r="G1072" s="120"/>
      <c r="H1072" s="101"/>
      <c r="I1072" s="93"/>
      <c r="J1072" s="91"/>
      <c r="L1072" s="94" t="str">
        <f t="shared" si="2"/>
        <v>No infirmation</v>
      </c>
      <c r="M1072" s="94" t="str">
        <f t="shared" si="3"/>
        <v/>
      </c>
    </row>
    <row r="1073" ht="15.75" customHeight="1">
      <c r="B1073" s="77">
        <f t="shared" si="1"/>
        <v>0</v>
      </c>
      <c r="C1073" s="67"/>
      <c r="D1073" s="78"/>
      <c r="E1073" s="101"/>
      <c r="F1073" s="108"/>
      <c r="G1073" s="120"/>
      <c r="H1073" s="101"/>
      <c r="I1073" s="93"/>
      <c r="J1073" s="91"/>
      <c r="L1073" s="94" t="str">
        <f t="shared" si="2"/>
        <v>No infirmation</v>
      </c>
      <c r="M1073" s="94" t="str">
        <f t="shared" si="3"/>
        <v/>
      </c>
    </row>
    <row r="1074" ht="15.75" customHeight="1">
      <c r="B1074" s="77">
        <f t="shared" si="1"/>
        <v>0</v>
      </c>
      <c r="C1074" s="67"/>
      <c r="D1074" s="78"/>
      <c r="E1074" s="101"/>
      <c r="F1074" s="108"/>
      <c r="G1074" s="120"/>
      <c r="H1074" s="101"/>
      <c r="I1074" s="93"/>
      <c r="J1074" s="91"/>
      <c r="L1074" s="94" t="str">
        <f t="shared" si="2"/>
        <v>No infirmation</v>
      </c>
      <c r="M1074" s="94" t="str">
        <f t="shared" si="3"/>
        <v/>
      </c>
    </row>
    <row r="1075" ht="15.75" customHeight="1">
      <c r="B1075" s="77">
        <f t="shared" si="1"/>
        <v>0</v>
      </c>
      <c r="C1075" s="67"/>
      <c r="D1075" s="78"/>
      <c r="E1075" s="101"/>
      <c r="F1075" s="108"/>
      <c r="G1075" s="120"/>
      <c r="H1075" s="101"/>
      <c r="I1075" s="93"/>
      <c r="J1075" s="91"/>
      <c r="L1075" s="94" t="str">
        <f t="shared" si="2"/>
        <v>No infirmation</v>
      </c>
      <c r="M1075" s="94" t="str">
        <f t="shared" si="3"/>
        <v/>
      </c>
    </row>
    <row r="1076" ht="15.75" customHeight="1">
      <c r="B1076" s="77">
        <f t="shared" si="1"/>
        <v>0</v>
      </c>
      <c r="C1076" s="67"/>
      <c r="D1076" s="78"/>
      <c r="E1076" s="101"/>
      <c r="F1076" s="108"/>
      <c r="G1076" s="120"/>
      <c r="H1076" s="101"/>
      <c r="I1076" s="93"/>
      <c r="J1076" s="91"/>
      <c r="L1076" s="94" t="str">
        <f t="shared" si="2"/>
        <v>No infirmation</v>
      </c>
      <c r="M1076" s="94" t="str">
        <f t="shared" si="3"/>
        <v/>
      </c>
    </row>
    <row r="1077" ht="15.75" customHeight="1">
      <c r="B1077" s="77">
        <f t="shared" si="1"/>
        <v>0</v>
      </c>
      <c r="C1077" s="67"/>
      <c r="D1077" s="78"/>
      <c r="E1077" s="101"/>
      <c r="F1077" s="108"/>
      <c r="G1077" s="120"/>
      <c r="H1077" s="101"/>
      <c r="I1077" s="93"/>
      <c r="J1077" s="91"/>
      <c r="L1077" s="94" t="str">
        <f t="shared" si="2"/>
        <v>No infirmation</v>
      </c>
      <c r="M1077" s="94" t="str">
        <f t="shared" si="3"/>
        <v/>
      </c>
    </row>
    <row r="1078" ht="15.75" customHeight="1">
      <c r="B1078" s="77">
        <f t="shared" si="1"/>
        <v>0</v>
      </c>
      <c r="C1078" s="67"/>
      <c r="D1078" s="78"/>
      <c r="E1078" s="101"/>
      <c r="F1078" s="108"/>
      <c r="G1078" s="120"/>
      <c r="H1078" s="101"/>
      <c r="I1078" s="93"/>
      <c r="J1078" s="91"/>
      <c r="L1078" s="94" t="str">
        <f t="shared" si="2"/>
        <v>No infirmation</v>
      </c>
      <c r="M1078" s="94" t="str">
        <f t="shared" si="3"/>
        <v/>
      </c>
    </row>
    <row r="1079" ht="15.75" customHeight="1">
      <c r="B1079" s="77">
        <f t="shared" si="1"/>
        <v>0</v>
      </c>
      <c r="C1079" s="67"/>
      <c r="D1079" s="78"/>
      <c r="E1079" s="101"/>
      <c r="F1079" s="108"/>
      <c r="G1079" s="120"/>
      <c r="H1079" s="101"/>
      <c r="I1079" s="93"/>
      <c r="J1079" s="91"/>
      <c r="L1079" s="94" t="str">
        <f t="shared" si="2"/>
        <v>No infirmation</v>
      </c>
      <c r="M1079" s="94" t="str">
        <f t="shared" si="3"/>
        <v/>
      </c>
    </row>
    <row r="1080" ht="15.75" customHeight="1">
      <c r="B1080" s="77">
        <f t="shared" si="1"/>
        <v>0</v>
      </c>
      <c r="C1080" s="67"/>
      <c r="D1080" s="78"/>
      <c r="E1080" s="101"/>
      <c r="F1080" s="108"/>
      <c r="G1080" s="120"/>
      <c r="H1080" s="101"/>
      <c r="I1080" s="93"/>
      <c r="J1080" s="91"/>
      <c r="L1080" s="94" t="str">
        <f t="shared" si="2"/>
        <v>No infirmation</v>
      </c>
      <c r="M1080" s="94" t="str">
        <f t="shared" si="3"/>
        <v/>
      </c>
    </row>
    <row r="1081" ht="15.75" customHeight="1">
      <c r="B1081" s="77">
        <f t="shared" si="1"/>
        <v>0</v>
      </c>
      <c r="C1081" s="67"/>
      <c r="D1081" s="78"/>
      <c r="E1081" s="101"/>
      <c r="F1081" s="108"/>
      <c r="G1081" s="120"/>
      <c r="H1081" s="101"/>
      <c r="I1081" s="93"/>
      <c r="J1081" s="91"/>
      <c r="L1081" s="94" t="str">
        <f t="shared" si="2"/>
        <v>No infirmation</v>
      </c>
      <c r="M1081" s="94" t="str">
        <f t="shared" si="3"/>
        <v/>
      </c>
    </row>
    <row r="1082" ht="15.75" customHeight="1">
      <c r="B1082" s="77">
        <f t="shared" si="1"/>
        <v>0</v>
      </c>
      <c r="C1082" s="67"/>
      <c r="D1082" s="78"/>
      <c r="E1082" s="101"/>
      <c r="F1082" s="108"/>
      <c r="G1082" s="120"/>
      <c r="H1082" s="101"/>
      <c r="I1082" s="93"/>
      <c r="J1082" s="91"/>
      <c r="L1082" s="94" t="str">
        <f t="shared" si="2"/>
        <v>No infirmation</v>
      </c>
      <c r="M1082" s="94" t="str">
        <f t="shared" si="3"/>
        <v/>
      </c>
    </row>
    <row r="1083" ht="15.75" customHeight="1">
      <c r="B1083" s="77">
        <f t="shared" si="1"/>
        <v>0</v>
      </c>
      <c r="C1083" s="67"/>
      <c r="D1083" s="78"/>
      <c r="E1083" s="101"/>
      <c r="F1083" s="108"/>
      <c r="G1083" s="120"/>
      <c r="H1083" s="101"/>
      <c r="I1083" s="93"/>
      <c r="J1083" s="91"/>
      <c r="L1083" s="94" t="str">
        <f t="shared" si="2"/>
        <v>No infirmation</v>
      </c>
      <c r="M1083" s="94" t="str">
        <f t="shared" si="3"/>
        <v/>
      </c>
    </row>
    <row r="1084" ht="15.75" customHeight="1">
      <c r="B1084" s="77">
        <f t="shared" si="1"/>
        <v>0</v>
      </c>
      <c r="C1084" s="67"/>
      <c r="D1084" s="78"/>
      <c r="E1084" s="101"/>
      <c r="F1084" s="108"/>
      <c r="G1084" s="120"/>
      <c r="H1084" s="101"/>
      <c r="I1084" s="93"/>
      <c r="J1084" s="91"/>
      <c r="L1084" s="94" t="str">
        <f t="shared" si="2"/>
        <v>No infirmation</v>
      </c>
      <c r="M1084" s="94" t="str">
        <f t="shared" si="3"/>
        <v/>
      </c>
    </row>
    <row r="1085" ht="15.75" customHeight="1">
      <c r="B1085" s="77">
        <f t="shared" si="1"/>
        <v>0</v>
      </c>
      <c r="C1085" s="67"/>
      <c r="D1085" s="78"/>
      <c r="E1085" s="101"/>
      <c r="F1085" s="108"/>
      <c r="G1085" s="120"/>
      <c r="H1085" s="101"/>
      <c r="I1085" s="93"/>
      <c r="J1085" s="91"/>
      <c r="L1085" s="94" t="str">
        <f t="shared" si="2"/>
        <v>No infirmation</v>
      </c>
      <c r="M1085" s="94" t="str">
        <f t="shared" si="3"/>
        <v/>
      </c>
    </row>
    <row r="1086" ht="15.75" customHeight="1">
      <c r="B1086" s="77">
        <f t="shared" si="1"/>
        <v>0</v>
      </c>
      <c r="C1086" s="67"/>
      <c r="D1086" s="78"/>
      <c r="E1086" s="101"/>
      <c r="F1086" s="108"/>
      <c r="G1086" s="120"/>
      <c r="H1086" s="101"/>
      <c r="I1086" s="93"/>
      <c r="J1086" s="91"/>
      <c r="L1086" s="94" t="str">
        <f t="shared" si="2"/>
        <v>No infirmation</v>
      </c>
      <c r="M1086" s="94" t="str">
        <f t="shared" si="3"/>
        <v/>
      </c>
    </row>
    <row r="1087" ht="15.75" customHeight="1">
      <c r="B1087" s="77">
        <f t="shared" si="1"/>
        <v>0</v>
      </c>
      <c r="C1087" s="67"/>
      <c r="D1087" s="78"/>
      <c r="E1087" s="101"/>
      <c r="F1087" s="108"/>
      <c r="G1087" s="120"/>
      <c r="H1087" s="101"/>
      <c r="I1087" s="93"/>
      <c r="J1087" s="91"/>
      <c r="L1087" s="94" t="str">
        <f t="shared" si="2"/>
        <v>No infirmation</v>
      </c>
      <c r="M1087" s="94" t="str">
        <f t="shared" si="3"/>
        <v/>
      </c>
    </row>
    <row r="1088" ht="15.75" customHeight="1">
      <c r="B1088" s="77">
        <f t="shared" si="1"/>
        <v>0</v>
      </c>
      <c r="C1088" s="67"/>
      <c r="D1088" s="78"/>
      <c r="E1088" s="101"/>
      <c r="F1088" s="108"/>
      <c r="G1088" s="120"/>
      <c r="H1088" s="101"/>
      <c r="I1088" s="93"/>
      <c r="J1088" s="91"/>
      <c r="L1088" s="94" t="str">
        <f t="shared" si="2"/>
        <v>No infirmation</v>
      </c>
      <c r="M1088" s="94" t="str">
        <f t="shared" si="3"/>
        <v/>
      </c>
    </row>
    <row r="1089" ht="15.75" customHeight="1">
      <c r="B1089" s="77">
        <f t="shared" si="1"/>
        <v>0</v>
      </c>
      <c r="C1089" s="67"/>
      <c r="D1089" s="78"/>
      <c r="E1089" s="101"/>
      <c r="F1089" s="108"/>
      <c r="G1089" s="120"/>
      <c r="H1089" s="101"/>
      <c r="I1089" s="93"/>
      <c r="J1089" s="91"/>
      <c r="L1089" s="94" t="str">
        <f t="shared" si="2"/>
        <v>No infirmation</v>
      </c>
      <c r="M1089" s="94" t="str">
        <f t="shared" si="3"/>
        <v/>
      </c>
    </row>
    <row r="1090" ht="15.75" customHeight="1">
      <c r="B1090" s="77">
        <f t="shared" si="1"/>
        <v>0</v>
      </c>
      <c r="C1090" s="67"/>
      <c r="D1090" s="78"/>
      <c r="E1090" s="101"/>
      <c r="F1090" s="108"/>
      <c r="G1090" s="120"/>
      <c r="H1090" s="101"/>
      <c r="I1090" s="93"/>
      <c r="J1090" s="91"/>
      <c r="L1090" s="94" t="str">
        <f t="shared" si="2"/>
        <v>No infirmation</v>
      </c>
      <c r="M1090" s="94" t="str">
        <f t="shared" si="3"/>
        <v/>
      </c>
    </row>
    <row r="1091" ht="15.75" customHeight="1">
      <c r="B1091" s="77">
        <f t="shared" si="1"/>
        <v>0</v>
      </c>
      <c r="C1091" s="67"/>
      <c r="D1091" s="78"/>
      <c r="E1091" s="101"/>
      <c r="F1091" s="108"/>
      <c r="G1091" s="120"/>
      <c r="H1091" s="101"/>
      <c r="I1091" s="93"/>
      <c r="J1091" s="91"/>
      <c r="L1091" s="94" t="str">
        <f t="shared" si="2"/>
        <v>No infirmation</v>
      </c>
      <c r="M1091" s="94" t="str">
        <f t="shared" si="3"/>
        <v/>
      </c>
    </row>
    <row r="1092" ht="15.75" customHeight="1">
      <c r="B1092" s="77">
        <f t="shared" si="1"/>
        <v>0</v>
      </c>
      <c r="C1092" s="67"/>
      <c r="D1092" s="78"/>
      <c r="E1092" s="101"/>
      <c r="F1092" s="108"/>
      <c r="G1092" s="120"/>
      <c r="H1092" s="101"/>
      <c r="I1092" s="93"/>
      <c r="J1092" s="91"/>
      <c r="L1092" s="94" t="str">
        <f t="shared" si="2"/>
        <v>No infirmation</v>
      </c>
      <c r="M1092" s="94" t="str">
        <f t="shared" si="3"/>
        <v/>
      </c>
    </row>
    <row r="1093" ht="15.75" customHeight="1">
      <c r="B1093" s="77">
        <f t="shared" si="1"/>
        <v>0</v>
      </c>
      <c r="C1093" s="67"/>
      <c r="D1093" s="78"/>
      <c r="E1093" s="101"/>
      <c r="F1093" s="108"/>
      <c r="G1093" s="120"/>
      <c r="H1093" s="101"/>
      <c r="I1093" s="93"/>
      <c r="J1093" s="91"/>
      <c r="L1093" s="94" t="str">
        <f t="shared" si="2"/>
        <v>No infirmation</v>
      </c>
      <c r="M1093" s="94" t="str">
        <f t="shared" si="3"/>
        <v/>
      </c>
    </row>
    <row r="1094" ht="15.75" customHeight="1">
      <c r="B1094" s="77">
        <f t="shared" si="1"/>
        <v>0</v>
      </c>
      <c r="C1094" s="67"/>
      <c r="D1094" s="78"/>
      <c r="E1094" s="101"/>
      <c r="F1094" s="108"/>
      <c r="G1094" s="120"/>
      <c r="H1094" s="101"/>
      <c r="I1094" s="93"/>
      <c r="J1094" s="91"/>
      <c r="L1094" s="94" t="str">
        <f t="shared" si="2"/>
        <v>No infirmation</v>
      </c>
      <c r="M1094" s="94" t="str">
        <f t="shared" si="3"/>
        <v/>
      </c>
    </row>
    <row r="1095" ht="15.75" customHeight="1">
      <c r="B1095" s="77">
        <f t="shared" si="1"/>
        <v>0</v>
      </c>
      <c r="C1095" s="67"/>
      <c r="D1095" s="78"/>
      <c r="E1095" s="101"/>
      <c r="F1095" s="108"/>
      <c r="G1095" s="120"/>
      <c r="H1095" s="101"/>
      <c r="I1095" s="93"/>
      <c r="J1095" s="91"/>
      <c r="L1095" s="94" t="str">
        <f t="shared" si="2"/>
        <v>No infirmation</v>
      </c>
      <c r="M1095" s="94" t="str">
        <f t="shared" si="3"/>
        <v/>
      </c>
    </row>
    <row r="1096" ht="15.75" customHeight="1">
      <c r="B1096" s="77">
        <f t="shared" si="1"/>
        <v>0</v>
      </c>
      <c r="C1096" s="67"/>
      <c r="D1096" s="78"/>
      <c r="E1096" s="101"/>
      <c r="F1096" s="108"/>
      <c r="G1096" s="120"/>
      <c r="H1096" s="101"/>
      <c r="I1096" s="93"/>
      <c r="J1096" s="91"/>
      <c r="L1096" s="94" t="str">
        <f t="shared" si="2"/>
        <v>No infirmation</v>
      </c>
      <c r="M1096" s="94" t="str">
        <f t="shared" si="3"/>
        <v/>
      </c>
    </row>
    <row r="1097" ht="15.75" customHeight="1">
      <c r="B1097" s="77">
        <f t="shared" si="1"/>
        <v>0</v>
      </c>
      <c r="C1097" s="67"/>
      <c r="D1097" s="78"/>
      <c r="E1097" s="101"/>
      <c r="F1097" s="108"/>
      <c r="G1097" s="120"/>
      <c r="H1097" s="101"/>
      <c r="I1097" s="93"/>
      <c r="J1097" s="91"/>
      <c r="L1097" s="94" t="str">
        <f t="shared" si="2"/>
        <v>No infirmation</v>
      </c>
      <c r="M1097" s="94" t="str">
        <f t="shared" si="3"/>
        <v/>
      </c>
    </row>
    <row r="1098" ht="15.75" customHeight="1">
      <c r="B1098" s="77">
        <f t="shared" si="1"/>
        <v>0</v>
      </c>
      <c r="C1098" s="67"/>
      <c r="D1098" s="78"/>
      <c r="E1098" s="101"/>
      <c r="F1098" s="108"/>
      <c r="G1098" s="120"/>
      <c r="H1098" s="101"/>
      <c r="I1098" s="93"/>
      <c r="J1098" s="91"/>
      <c r="L1098" s="94" t="str">
        <f t="shared" si="2"/>
        <v>No infirmation</v>
      </c>
      <c r="M1098" s="94" t="str">
        <f t="shared" si="3"/>
        <v/>
      </c>
    </row>
    <row r="1099" ht="15.75" customHeight="1">
      <c r="B1099" s="77">
        <f t="shared" si="1"/>
        <v>0</v>
      </c>
      <c r="C1099" s="67"/>
      <c r="D1099" s="78"/>
      <c r="E1099" s="101"/>
      <c r="F1099" s="108"/>
      <c r="G1099" s="120"/>
      <c r="H1099" s="101"/>
      <c r="I1099" s="93"/>
      <c r="J1099" s="91"/>
      <c r="L1099" s="94" t="str">
        <f t="shared" si="2"/>
        <v>No infirmation</v>
      </c>
      <c r="M1099" s="94" t="str">
        <f t="shared" si="3"/>
        <v/>
      </c>
    </row>
    <row r="1100" ht="15.75" customHeight="1">
      <c r="B1100" s="77">
        <f t="shared" si="1"/>
        <v>0</v>
      </c>
      <c r="C1100" s="67"/>
      <c r="D1100" s="78"/>
      <c r="E1100" s="101"/>
      <c r="F1100" s="108"/>
      <c r="G1100" s="120"/>
      <c r="H1100" s="101"/>
      <c r="I1100" s="93"/>
      <c r="J1100" s="91"/>
      <c r="L1100" s="94" t="str">
        <f t="shared" si="2"/>
        <v>No infirmation</v>
      </c>
      <c r="M1100" s="94" t="str">
        <f t="shared" si="3"/>
        <v/>
      </c>
    </row>
    <row r="1101" ht="15.75" customHeight="1">
      <c r="B1101" s="77">
        <f t="shared" si="1"/>
        <v>0</v>
      </c>
      <c r="C1101" s="67"/>
      <c r="D1101" s="78"/>
      <c r="E1101" s="101"/>
      <c r="F1101" s="108"/>
      <c r="G1101" s="120"/>
      <c r="H1101" s="101"/>
      <c r="I1101" s="93"/>
      <c r="J1101" s="91"/>
      <c r="L1101" s="94" t="str">
        <f t="shared" si="2"/>
        <v>No infirmation</v>
      </c>
      <c r="M1101" s="94" t="str">
        <f t="shared" si="3"/>
        <v/>
      </c>
    </row>
    <row r="1102" ht="15.75" customHeight="1">
      <c r="B1102" s="77">
        <f t="shared" si="1"/>
        <v>0</v>
      </c>
      <c r="C1102" s="67"/>
      <c r="D1102" s="78"/>
      <c r="E1102" s="101"/>
      <c r="F1102" s="108"/>
      <c r="G1102" s="120"/>
      <c r="H1102" s="101"/>
      <c r="I1102" s="93"/>
      <c r="J1102" s="91"/>
      <c r="L1102" s="94" t="str">
        <f t="shared" si="2"/>
        <v>No infirmation</v>
      </c>
      <c r="M1102" s="94" t="str">
        <f t="shared" si="3"/>
        <v/>
      </c>
    </row>
    <row r="1103" ht="15.75" customHeight="1">
      <c r="B1103" s="77">
        <f t="shared" si="1"/>
        <v>0</v>
      </c>
      <c r="C1103" s="67"/>
      <c r="D1103" s="78"/>
      <c r="E1103" s="101"/>
      <c r="F1103" s="108"/>
      <c r="G1103" s="120"/>
      <c r="H1103" s="101"/>
      <c r="I1103" s="93"/>
      <c r="J1103" s="91"/>
      <c r="L1103" s="94" t="str">
        <f t="shared" si="2"/>
        <v>No infirmation</v>
      </c>
      <c r="M1103" s="94" t="str">
        <f t="shared" si="3"/>
        <v/>
      </c>
    </row>
    <row r="1104" ht="15.75" customHeight="1">
      <c r="B1104" s="77">
        <f t="shared" si="1"/>
        <v>0</v>
      </c>
      <c r="C1104" s="67"/>
      <c r="D1104" s="78"/>
      <c r="E1104" s="101"/>
      <c r="F1104" s="108"/>
      <c r="G1104" s="120"/>
      <c r="H1104" s="101"/>
      <c r="I1104" s="93"/>
      <c r="J1104" s="91"/>
      <c r="L1104" s="94" t="str">
        <f t="shared" si="2"/>
        <v>No infirmation</v>
      </c>
      <c r="M1104" s="94" t="str">
        <f t="shared" si="3"/>
        <v/>
      </c>
    </row>
    <row r="1105" ht="15.75" customHeight="1">
      <c r="B1105" s="77">
        <f t="shared" si="1"/>
        <v>0</v>
      </c>
      <c r="C1105" s="67"/>
      <c r="D1105" s="78"/>
      <c r="E1105" s="101"/>
      <c r="F1105" s="108"/>
      <c r="G1105" s="120"/>
      <c r="H1105" s="101"/>
      <c r="I1105" s="93"/>
      <c r="J1105" s="91"/>
      <c r="L1105" s="94" t="str">
        <f t="shared" si="2"/>
        <v>No infirmation</v>
      </c>
      <c r="M1105" s="94" t="str">
        <f t="shared" si="3"/>
        <v/>
      </c>
    </row>
    <row r="1106" ht="15.75" customHeight="1">
      <c r="B1106" s="77">
        <f t="shared" si="1"/>
        <v>0</v>
      </c>
      <c r="C1106" s="67"/>
      <c r="D1106" s="78"/>
      <c r="E1106" s="101"/>
      <c r="F1106" s="108"/>
      <c r="G1106" s="120"/>
      <c r="H1106" s="101"/>
      <c r="I1106" s="93"/>
      <c r="J1106" s="91"/>
      <c r="L1106" s="94" t="str">
        <f t="shared" si="2"/>
        <v>No infirmation</v>
      </c>
      <c r="M1106" s="94" t="str">
        <f t="shared" si="3"/>
        <v/>
      </c>
    </row>
    <row r="1107" ht="15.75" customHeight="1">
      <c r="B1107" s="77">
        <f t="shared" si="1"/>
        <v>0</v>
      </c>
      <c r="C1107" s="67"/>
      <c r="D1107" s="78"/>
      <c r="E1107" s="101"/>
      <c r="F1107" s="108"/>
      <c r="G1107" s="120"/>
      <c r="H1107" s="101"/>
      <c r="I1107" s="93"/>
      <c r="J1107" s="91"/>
      <c r="L1107" s="94" t="str">
        <f t="shared" si="2"/>
        <v>No infirmation</v>
      </c>
      <c r="M1107" s="94" t="str">
        <f t="shared" si="3"/>
        <v/>
      </c>
    </row>
    <row r="1108" ht="15.75" customHeight="1">
      <c r="B1108" s="77">
        <f t="shared" si="1"/>
        <v>0</v>
      </c>
      <c r="C1108" s="67"/>
      <c r="D1108" s="78"/>
      <c r="E1108" s="101"/>
      <c r="F1108" s="108"/>
      <c r="G1108" s="120"/>
      <c r="H1108" s="101"/>
      <c r="I1108" s="93"/>
      <c r="J1108" s="91"/>
      <c r="L1108" s="94" t="str">
        <f t="shared" si="2"/>
        <v>No infirmation</v>
      </c>
      <c r="M1108" s="94" t="str">
        <f t="shared" si="3"/>
        <v/>
      </c>
    </row>
    <row r="1109" ht="15.75" customHeight="1">
      <c r="B1109" s="77">
        <f t="shared" si="1"/>
        <v>0</v>
      </c>
      <c r="C1109" s="67"/>
      <c r="D1109" s="78"/>
      <c r="E1109" s="101"/>
      <c r="F1109" s="108"/>
      <c r="G1109" s="120"/>
      <c r="H1109" s="101"/>
      <c r="I1109" s="93"/>
      <c r="J1109" s="91"/>
      <c r="L1109" s="94" t="str">
        <f t="shared" si="2"/>
        <v>No infirmation</v>
      </c>
      <c r="M1109" s="94" t="str">
        <f t="shared" si="3"/>
        <v/>
      </c>
    </row>
    <row r="1110" ht="15.75" customHeight="1">
      <c r="B1110" s="77">
        <f t="shared" si="1"/>
        <v>0</v>
      </c>
      <c r="C1110" s="67"/>
      <c r="D1110" s="78"/>
      <c r="E1110" s="101"/>
      <c r="F1110" s="108"/>
      <c r="G1110" s="120"/>
      <c r="H1110" s="101"/>
      <c r="I1110" s="93"/>
      <c r="J1110" s="91"/>
      <c r="L1110" s="94" t="str">
        <f t="shared" si="2"/>
        <v>No infirmation</v>
      </c>
      <c r="M1110" s="94" t="str">
        <f t="shared" si="3"/>
        <v/>
      </c>
    </row>
    <row r="1111" ht="15.75" customHeight="1">
      <c r="B1111" s="77">
        <f t="shared" si="1"/>
        <v>0</v>
      </c>
      <c r="C1111" s="67"/>
      <c r="D1111" s="78"/>
      <c r="E1111" s="101"/>
      <c r="F1111" s="108"/>
      <c r="G1111" s="120"/>
      <c r="H1111" s="101"/>
      <c r="I1111" s="93"/>
      <c r="J1111" s="91"/>
      <c r="L1111" s="94" t="str">
        <f t="shared" si="2"/>
        <v>No infirmation</v>
      </c>
      <c r="M1111" s="94" t="str">
        <f t="shared" si="3"/>
        <v/>
      </c>
    </row>
    <row r="1112" ht="15.75" customHeight="1">
      <c r="B1112" s="77">
        <f t="shared" si="1"/>
        <v>0</v>
      </c>
      <c r="C1112" s="67"/>
      <c r="D1112" s="78"/>
      <c r="E1112" s="101"/>
      <c r="F1112" s="108"/>
      <c r="G1112" s="120"/>
      <c r="H1112" s="101"/>
      <c r="I1112" s="93"/>
      <c r="J1112" s="91"/>
      <c r="L1112" s="94" t="str">
        <f t="shared" si="2"/>
        <v>No infirmation</v>
      </c>
      <c r="M1112" s="94" t="str">
        <f t="shared" si="3"/>
        <v/>
      </c>
    </row>
    <row r="1113" ht="15.75" customHeight="1">
      <c r="B1113" s="77">
        <f t="shared" si="1"/>
        <v>0</v>
      </c>
      <c r="C1113" s="67"/>
      <c r="D1113" s="78"/>
      <c r="E1113" s="101"/>
      <c r="F1113" s="108"/>
      <c r="G1113" s="120"/>
      <c r="H1113" s="101"/>
      <c r="I1113" s="93"/>
      <c r="J1113" s="91"/>
      <c r="L1113" s="94" t="str">
        <f t="shared" si="2"/>
        <v>No infirmation</v>
      </c>
      <c r="M1113" s="94" t="str">
        <f t="shared" si="3"/>
        <v/>
      </c>
    </row>
    <row r="1114" ht="15.75" customHeight="1">
      <c r="B1114" s="77">
        <f t="shared" si="1"/>
        <v>0</v>
      </c>
      <c r="C1114" s="67"/>
      <c r="D1114" s="78"/>
      <c r="E1114" s="101"/>
      <c r="F1114" s="108"/>
      <c r="G1114" s="120"/>
      <c r="H1114" s="101"/>
      <c r="I1114" s="93"/>
      <c r="J1114" s="91"/>
      <c r="L1114" s="94" t="str">
        <f t="shared" si="2"/>
        <v>No infirmation</v>
      </c>
      <c r="M1114" s="94" t="str">
        <f t="shared" si="3"/>
        <v/>
      </c>
    </row>
    <row r="1115" ht="15.75" customHeight="1">
      <c r="B1115" s="77">
        <f t="shared" si="1"/>
        <v>0</v>
      </c>
      <c r="C1115" s="67"/>
      <c r="D1115" s="78"/>
      <c r="E1115" s="101"/>
      <c r="F1115" s="108"/>
      <c r="G1115" s="120"/>
      <c r="H1115" s="101"/>
      <c r="I1115" s="93"/>
      <c r="J1115" s="91"/>
      <c r="L1115" s="94" t="str">
        <f t="shared" si="2"/>
        <v>No infirmation</v>
      </c>
      <c r="M1115" s="94" t="str">
        <f t="shared" si="3"/>
        <v/>
      </c>
    </row>
    <row r="1116" ht="15.75" customHeight="1">
      <c r="B1116" s="77">
        <f t="shared" si="1"/>
        <v>0</v>
      </c>
      <c r="C1116" s="67"/>
      <c r="D1116" s="78"/>
      <c r="E1116" s="101"/>
      <c r="F1116" s="108"/>
      <c r="G1116" s="120"/>
      <c r="H1116" s="101"/>
      <c r="I1116" s="93"/>
      <c r="J1116" s="91"/>
      <c r="L1116" s="94" t="str">
        <f t="shared" si="2"/>
        <v>No infirmation</v>
      </c>
      <c r="M1116" s="94" t="str">
        <f t="shared" si="3"/>
        <v/>
      </c>
    </row>
    <row r="1117" ht="15.75" customHeight="1">
      <c r="B1117" s="77">
        <f t="shared" si="1"/>
        <v>0</v>
      </c>
      <c r="C1117" s="67"/>
      <c r="D1117" s="78"/>
      <c r="E1117" s="101"/>
      <c r="F1117" s="108"/>
      <c r="G1117" s="120"/>
      <c r="H1117" s="101"/>
      <c r="I1117" s="93"/>
      <c r="J1117" s="91"/>
      <c r="L1117" s="94" t="str">
        <f t="shared" si="2"/>
        <v>No infirmation</v>
      </c>
      <c r="M1117" s="94" t="str">
        <f t="shared" si="3"/>
        <v/>
      </c>
    </row>
    <row r="1118" ht="15.75" customHeight="1">
      <c r="B1118" s="77">
        <f t="shared" si="1"/>
        <v>0</v>
      </c>
      <c r="C1118" s="67"/>
      <c r="D1118" s="78"/>
      <c r="E1118" s="101"/>
      <c r="F1118" s="108"/>
      <c r="G1118" s="120"/>
      <c r="H1118" s="101"/>
      <c r="I1118" s="93"/>
      <c r="J1118" s="91"/>
      <c r="L1118" s="94" t="str">
        <f t="shared" si="2"/>
        <v>No infirmation</v>
      </c>
      <c r="M1118" s="94" t="str">
        <f t="shared" si="3"/>
        <v/>
      </c>
    </row>
    <row r="1119" ht="15.75" customHeight="1">
      <c r="B1119" s="77">
        <f t="shared" si="1"/>
        <v>0</v>
      </c>
      <c r="C1119" s="67"/>
      <c r="D1119" s="78"/>
      <c r="E1119" s="101"/>
      <c r="F1119" s="108"/>
      <c r="G1119" s="120"/>
      <c r="H1119" s="101"/>
      <c r="I1119" s="93"/>
      <c r="J1119" s="91"/>
      <c r="L1119" s="94" t="str">
        <f t="shared" si="2"/>
        <v>No infirmation</v>
      </c>
      <c r="M1119" s="94" t="str">
        <f t="shared" si="3"/>
        <v/>
      </c>
    </row>
    <row r="1120" ht="15.75" customHeight="1">
      <c r="B1120" s="77">
        <f t="shared" si="1"/>
        <v>0</v>
      </c>
      <c r="C1120" s="67"/>
      <c r="D1120" s="78"/>
      <c r="E1120" s="101"/>
      <c r="F1120" s="108"/>
      <c r="G1120" s="120"/>
      <c r="H1120" s="101"/>
      <c r="I1120" s="93"/>
      <c r="J1120" s="91"/>
      <c r="L1120" s="94" t="str">
        <f t="shared" si="2"/>
        <v>No infirmation</v>
      </c>
      <c r="M1120" s="94" t="str">
        <f t="shared" si="3"/>
        <v/>
      </c>
    </row>
    <row r="1121" ht="15.75" customHeight="1">
      <c r="B1121" s="77">
        <f t="shared" si="1"/>
        <v>0</v>
      </c>
      <c r="C1121" s="67"/>
      <c r="D1121" s="78"/>
      <c r="E1121" s="101"/>
      <c r="F1121" s="108"/>
      <c r="G1121" s="120"/>
      <c r="H1121" s="101"/>
      <c r="I1121" s="93"/>
      <c r="J1121" s="91"/>
      <c r="L1121" s="94" t="str">
        <f t="shared" si="2"/>
        <v>No infirmation</v>
      </c>
      <c r="M1121" s="94" t="str">
        <f t="shared" si="3"/>
        <v/>
      </c>
    </row>
    <row r="1122" ht="15.75" customHeight="1">
      <c r="B1122" s="77">
        <f t="shared" si="1"/>
        <v>0</v>
      </c>
      <c r="C1122" s="67"/>
      <c r="D1122" s="78"/>
      <c r="E1122" s="101"/>
      <c r="F1122" s="108"/>
      <c r="G1122" s="120"/>
      <c r="H1122" s="101"/>
      <c r="I1122" s="93"/>
      <c r="J1122" s="91"/>
      <c r="L1122" s="94" t="str">
        <f t="shared" si="2"/>
        <v>No infirmation</v>
      </c>
      <c r="M1122" s="94" t="str">
        <f t="shared" si="3"/>
        <v/>
      </c>
    </row>
    <row r="1123" ht="15.75" customHeight="1">
      <c r="B1123" s="77">
        <f t="shared" si="1"/>
        <v>0</v>
      </c>
      <c r="C1123" s="67"/>
      <c r="D1123" s="78"/>
      <c r="E1123" s="101"/>
      <c r="F1123" s="108"/>
      <c r="G1123" s="120"/>
      <c r="H1123" s="101"/>
      <c r="I1123" s="93"/>
      <c r="J1123" s="91"/>
      <c r="L1123" s="94" t="str">
        <f t="shared" si="2"/>
        <v>No infirmation</v>
      </c>
      <c r="M1123" s="94" t="str">
        <f t="shared" si="3"/>
        <v/>
      </c>
    </row>
    <row r="1124" ht="15.75" customHeight="1">
      <c r="B1124" s="77">
        <f t="shared" si="1"/>
        <v>0</v>
      </c>
      <c r="C1124" s="67"/>
      <c r="D1124" s="78"/>
      <c r="E1124" s="101"/>
      <c r="F1124" s="108"/>
      <c r="G1124" s="120"/>
      <c r="H1124" s="101"/>
      <c r="I1124" s="93"/>
      <c r="J1124" s="91"/>
      <c r="L1124" s="94" t="str">
        <f t="shared" si="2"/>
        <v>No infirmation</v>
      </c>
      <c r="M1124" s="94" t="str">
        <f t="shared" si="3"/>
        <v/>
      </c>
    </row>
    <row r="1125" ht="15.75" customHeight="1">
      <c r="B1125" s="77">
        <f t="shared" si="1"/>
        <v>0</v>
      </c>
      <c r="C1125" s="67"/>
      <c r="D1125" s="78"/>
      <c r="E1125" s="101"/>
      <c r="F1125" s="108"/>
      <c r="G1125" s="120"/>
      <c r="H1125" s="101"/>
      <c r="I1125" s="93"/>
      <c r="J1125" s="91"/>
      <c r="L1125" s="94" t="str">
        <f t="shared" si="2"/>
        <v>No infirmation</v>
      </c>
      <c r="M1125" s="94" t="str">
        <f t="shared" si="3"/>
        <v/>
      </c>
    </row>
    <row r="1126" ht="15.75" customHeight="1">
      <c r="B1126" s="77">
        <f t="shared" si="1"/>
        <v>0</v>
      </c>
      <c r="C1126" s="67"/>
      <c r="D1126" s="78"/>
      <c r="E1126" s="101"/>
      <c r="F1126" s="108"/>
      <c r="G1126" s="120"/>
      <c r="H1126" s="101"/>
      <c r="I1126" s="93"/>
      <c r="J1126" s="91"/>
      <c r="L1126" s="94" t="str">
        <f t="shared" si="2"/>
        <v>No infirmation</v>
      </c>
      <c r="M1126" s="94" t="str">
        <f t="shared" si="3"/>
        <v/>
      </c>
    </row>
    <row r="1127" ht="15.75" customHeight="1">
      <c r="B1127" s="77">
        <f t="shared" si="1"/>
        <v>0</v>
      </c>
      <c r="C1127" s="67"/>
      <c r="D1127" s="78"/>
      <c r="E1127" s="101"/>
      <c r="F1127" s="108"/>
      <c r="G1127" s="120"/>
      <c r="H1127" s="101"/>
      <c r="I1127" s="93"/>
      <c r="J1127" s="91"/>
      <c r="L1127" s="94" t="str">
        <f t="shared" si="2"/>
        <v>No infirmation</v>
      </c>
      <c r="M1127" s="94" t="str">
        <f t="shared" si="3"/>
        <v/>
      </c>
    </row>
    <row r="1128" ht="15.75" customHeight="1">
      <c r="B1128" s="77">
        <f t="shared" si="1"/>
        <v>0</v>
      </c>
      <c r="C1128" s="67"/>
      <c r="D1128" s="78"/>
      <c r="E1128" s="101"/>
      <c r="F1128" s="108"/>
      <c r="G1128" s="120"/>
      <c r="H1128" s="101"/>
      <c r="I1128" s="93"/>
      <c r="J1128" s="91"/>
      <c r="L1128" s="94" t="str">
        <f t="shared" si="2"/>
        <v>No infirmation</v>
      </c>
      <c r="M1128" s="94" t="str">
        <f t="shared" si="3"/>
        <v/>
      </c>
    </row>
    <row r="1129" ht="15.75" customHeight="1">
      <c r="B1129" s="77">
        <f t="shared" si="1"/>
        <v>0</v>
      </c>
      <c r="C1129" s="67"/>
      <c r="D1129" s="78"/>
      <c r="E1129" s="101"/>
      <c r="F1129" s="108"/>
      <c r="G1129" s="120"/>
      <c r="H1129" s="101"/>
      <c r="I1129" s="93"/>
      <c r="J1129" s="91"/>
      <c r="L1129" s="94" t="str">
        <f t="shared" si="2"/>
        <v>No infirmation</v>
      </c>
      <c r="M1129" s="94" t="str">
        <f t="shared" si="3"/>
        <v/>
      </c>
    </row>
    <row r="1130" ht="15.75" customHeight="1">
      <c r="B1130" s="77">
        <f t="shared" si="1"/>
        <v>0</v>
      </c>
      <c r="C1130" s="67"/>
      <c r="D1130" s="78"/>
      <c r="E1130" s="101"/>
      <c r="F1130" s="108"/>
      <c r="G1130" s="120"/>
      <c r="H1130" s="101"/>
      <c r="I1130" s="93"/>
      <c r="J1130" s="91"/>
      <c r="L1130" s="94" t="str">
        <f t="shared" si="2"/>
        <v>No infirmation</v>
      </c>
      <c r="M1130" s="94" t="str">
        <f t="shared" si="3"/>
        <v/>
      </c>
    </row>
    <row r="1131" ht="15.75" customHeight="1">
      <c r="B1131" s="77">
        <f t="shared" si="1"/>
        <v>0</v>
      </c>
      <c r="C1131" s="67"/>
      <c r="D1131" s="78"/>
      <c r="E1131" s="101"/>
      <c r="F1131" s="108"/>
      <c r="G1131" s="120"/>
      <c r="H1131" s="101"/>
      <c r="I1131" s="93"/>
      <c r="J1131" s="91"/>
      <c r="L1131" s="94" t="str">
        <f t="shared" si="2"/>
        <v>No infirmation</v>
      </c>
      <c r="M1131" s="94" t="str">
        <f t="shared" si="3"/>
        <v/>
      </c>
    </row>
    <row r="1132" ht="15.75" customHeight="1">
      <c r="B1132" s="77">
        <f t="shared" si="1"/>
        <v>0</v>
      </c>
      <c r="C1132" s="67"/>
      <c r="D1132" s="78"/>
      <c r="E1132" s="101"/>
      <c r="F1132" s="108"/>
      <c r="G1132" s="120"/>
      <c r="H1132" s="101"/>
      <c r="I1132" s="93"/>
      <c r="J1132" s="91"/>
      <c r="L1132" s="94" t="str">
        <f t="shared" si="2"/>
        <v>No infirmation</v>
      </c>
      <c r="M1132" s="94" t="str">
        <f t="shared" si="3"/>
        <v/>
      </c>
    </row>
    <row r="1133" ht="15.75" customHeight="1">
      <c r="B1133" s="77">
        <f t="shared" si="1"/>
        <v>0</v>
      </c>
      <c r="C1133" s="67"/>
      <c r="D1133" s="78"/>
      <c r="E1133" s="101"/>
      <c r="F1133" s="108"/>
      <c r="G1133" s="120"/>
      <c r="H1133" s="101"/>
      <c r="I1133" s="93"/>
      <c r="J1133" s="91"/>
      <c r="L1133" s="94" t="str">
        <f t="shared" si="2"/>
        <v>No infirmation</v>
      </c>
      <c r="M1133" s="94" t="str">
        <f t="shared" si="3"/>
        <v/>
      </c>
    </row>
    <row r="1134" ht="15.75" customHeight="1">
      <c r="B1134" s="77">
        <f t="shared" si="1"/>
        <v>0</v>
      </c>
      <c r="C1134" s="67"/>
      <c r="D1134" s="78"/>
      <c r="E1134" s="101"/>
      <c r="F1134" s="108"/>
      <c r="G1134" s="120"/>
      <c r="H1134" s="101"/>
      <c r="I1134" s="93"/>
      <c r="J1134" s="91"/>
      <c r="L1134" s="94" t="str">
        <f t="shared" si="2"/>
        <v>No infirmation</v>
      </c>
      <c r="M1134" s="94" t="str">
        <f t="shared" si="3"/>
        <v/>
      </c>
    </row>
    <row r="1135" ht="15.75" customHeight="1">
      <c r="B1135" s="77">
        <f t="shared" si="1"/>
        <v>0</v>
      </c>
      <c r="C1135" s="67"/>
      <c r="D1135" s="78"/>
      <c r="E1135" s="101"/>
      <c r="F1135" s="108"/>
      <c r="G1135" s="120"/>
      <c r="H1135" s="101"/>
      <c r="I1135" s="93"/>
      <c r="J1135" s="91"/>
      <c r="L1135" s="94" t="str">
        <f t="shared" si="2"/>
        <v>No infirmation</v>
      </c>
      <c r="M1135" s="94" t="str">
        <f t="shared" si="3"/>
        <v/>
      </c>
    </row>
    <row r="1136" ht="15.75" customHeight="1">
      <c r="B1136" s="77">
        <f t="shared" si="1"/>
        <v>0</v>
      </c>
      <c r="C1136" s="67"/>
      <c r="D1136" s="78"/>
      <c r="E1136" s="101"/>
      <c r="F1136" s="108"/>
      <c r="G1136" s="120"/>
      <c r="H1136" s="101"/>
      <c r="I1136" s="93"/>
      <c r="J1136" s="91"/>
      <c r="L1136" s="94" t="str">
        <f t="shared" si="2"/>
        <v>No infirmation</v>
      </c>
      <c r="M1136" s="94" t="str">
        <f t="shared" si="3"/>
        <v/>
      </c>
    </row>
    <row r="1137" ht="15.75" customHeight="1">
      <c r="B1137" s="77">
        <f t="shared" si="1"/>
        <v>0</v>
      </c>
      <c r="C1137" s="67"/>
      <c r="D1137" s="78"/>
      <c r="E1137" s="101"/>
      <c r="F1137" s="108"/>
      <c r="G1137" s="120"/>
      <c r="H1137" s="101"/>
      <c r="I1137" s="93"/>
      <c r="J1137" s="91"/>
      <c r="L1137" s="94" t="str">
        <f t="shared" si="2"/>
        <v>No infirmation</v>
      </c>
      <c r="M1137" s="94" t="str">
        <f t="shared" si="3"/>
        <v/>
      </c>
    </row>
    <row r="1138" ht="15.75" customHeight="1">
      <c r="B1138" s="77">
        <f t="shared" si="1"/>
        <v>0</v>
      </c>
      <c r="C1138" s="67"/>
      <c r="D1138" s="78"/>
      <c r="E1138" s="101"/>
      <c r="F1138" s="108"/>
      <c r="G1138" s="120"/>
      <c r="H1138" s="101"/>
      <c r="I1138" s="93"/>
      <c r="J1138" s="91"/>
      <c r="L1138" s="94" t="str">
        <f t="shared" si="2"/>
        <v>No infirmation</v>
      </c>
      <c r="M1138" s="94" t="str">
        <f t="shared" si="3"/>
        <v/>
      </c>
    </row>
    <row r="1139" ht="15.75" customHeight="1">
      <c r="B1139" s="77">
        <f t="shared" si="1"/>
        <v>0</v>
      </c>
      <c r="C1139" s="67"/>
      <c r="D1139" s="78"/>
      <c r="E1139" s="101"/>
      <c r="F1139" s="108"/>
      <c r="G1139" s="120"/>
      <c r="H1139" s="101"/>
      <c r="I1139" s="93"/>
      <c r="J1139" s="91"/>
      <c r="L1139" s="94" t="str">
        <f t="shared" si="2"/>
        <v>No infirmation</v>
      </c>
      <c r="M1139" s="94" t="str">
        <f t="shared" si="3"/>
        <v/>
      </c>
    </row>
    <row r="1140" ht="15.75" customHeight="1">
      <c r="B1140" s="77">
        <f t="shared" si="1"/>
        <v>0</v>
      </c>
      <c r="C1140" s="67"/>
      <c r="D1140" s="78"/>
      <c r="E1140" s="101"/>
      <c r="F1140" s="108"/>
      <c r="G1140" s="120"/>
      <c r="H1140" s="101"/>
      <c r="I1140" s="93"/>
      <c r="J1140" s="91"/>
      <c r="L1140" s="94" t="str">
        <f t="shared" si="2"/>
        <v>No infirmation</v>
      </c>
      <c r="M1140" s="94" t="str">
        <f t="shared" si="3"/>
        <v/>
      </c>
    </row>
    <row r="1141" ht="15.75" customHeight="1">
      <c r="B1141" s="77">
        <f t="shared" si="1"/>
        <v>0</v>
      </c>
      <c r="C1141" s="67"/>
      <c r="D1141" s="78"/>
      <c r="E1141" s="101"/>
      <c r="F1141" s="108"/>
      <c r="G1141" s="120"/>
      <c r="H1141" s="101"/>
      <c r="I1141" s="93"/>
      <c r="J1141" s="91"/>
      <c r="L1141" s="94" t="str">
        <f t="shared" si="2"/>
        <v>No infirmation</v>
      </c>
      <c r="M1141" s="94" t="str">
        <f t="shared" si="3"/>
        <v/>
      </c>
    </row>
    <row r="1142" ht="15.75" customHeight="1">
      <c r="B1142" s="77">
        <f t="shared" si="1"/>
        <v>0</v>
      </c>
      <c r="C1142" s="67"/>
      <c r="D1142" s="78"/>
      <c r="E1142" s="101"/>
      <c r="F1142" s="108"/>
      <c r="G1142" s="120"/>
      <c r="H1142" s="101"/>
      <c r="I1142" s="93"/>
      <c r="J1142" s="91"/>
      <c r="L1142" s="94" t="str">
        <f t="shared" si="2"/>
        <v>No infirmation</v>
      </c>
      <c r="M1142" s="94" t="str">
        <f t="shared" si="3"/>
        <v/>
      </c>
    </row>
    <row r="1143" ht="15.75" customHeight="1">
      <c r="B1143" s="77">
        <f t="shared" si="1"/>
        <v>0</v>
      </c>
      <c r="C1143" s="67"/>
      <c r="D1143" s="78"/>
      <c r="E1143" s="101"/>
      <c r="F1143" s="108"/>
      <c r="G1143" s="120"/>
      <c r="H1143" s="101"/>
      <c r="I1143" s="93"/>
      <c r="J1143" s="91"/>
      <c r="L1143" s="94" t="str">
        <f t="shared" si="2"/>
        <v>No infirmation</v>
      </c>
      <c r="M1143" s="94" t="str">
        <f t="shared" si="3"/>
        <v/>
      </c>
    </row>
    <row r="1144" ht="15.75" customHeight="1">
      <c r="B1144" s="77">
        <f t="shared" si="1"/>
        <v>0</v>
      </c>
      <c r="C1144" s="67"/>
      <c r="D1144" s="78"/>
      <c r="E1144" s="101"/>
      <c r="F1144" s="108"/>
      <c r="G1144" s="120"/>
      <c r="H1144" s="101"/>
      <c r="I1144" s="93"/>
      <c r="J1144" s="91"/>
      <c r="L1144" s="94" t="str">
        <f t="shared" si="2"/>
        <v>No infirmation</v>
      </c>
      <c r="M1144" s="94" t="str">
        <f t="shared" si="3"/>
        <v/>
      </c>
    </row>
    <row r="1145" ht="15.75" customHeight="1">
      <c r="B1145" s="77">
        <f t="shared" si="1"/>
        <v>0</v>
      </c>
      <c r="C1145" s="67"/>
      <c r="D1145" s="78"/>
      <c r="E1145" s="101"/>
      <c r="F1145" s="108"/>
      <c r="G1145" s="120"/>
      <c r="H1145" s="101"/>
      <c r="I1145" s="93"/>
      <c r="J1145" s="91"/>
      <c r="L1145" s="94" t="str">
        <f t="shared" si="2"/>
        <v>No infirmation</v>
      </c>
      <c r="M1145" s="94" t="str">
        <f t="shared" si="3"/>
        <v/>
      </c>
    </row>
    <row r="1146" ht="15.75" customHeight="1">
      <c r="B1146" s="77">
        <f t="shared" si="1"/>
        <v>0</v>
      </c>
      <c r="C1146" s="67"/>
      <c r="D1146" s="78"/>
      <c r="E1146" s="101"/>
      <c r="F1146" s="108"/>
      <c r="G1146" s="120"/>
      <c r="H1146" s="101"/>
      <c r="I1146" s="93"/>
      <c r="J1146" s="91"/>
      <c r="L1146" s="94" t="str">
        <f t="shared" si="2"/>
        <v>No infirmation</v>
      </c>
      <c r="M1146" s="94" t="str">
        <f t="shared" si="3"/>
        <v/>
      </c>
    </row>
    <row r="1147" ht="15.75" customHeight="1">
      <c r="B1147" s="77">
        <f t="shared" si="1"/>
        <v>0</v>
      </c>
      <c r="C1147" s="67"/>
      <c r="D1147" s="78"/>
      <c r="E1147" s="101"/>
      <c r="F1147" s="108"/>
      <c r="G1147" s="120"/>
      <c r="H1147" s="101"/>
      <c r="I1147" s="93"/>
      <c r="J1147" s="91"/>
      <c r="L1147" s="94" t="str">
        <f t="shared" si="2"/>
        <v>No infirmation</v>
      </c>
      <c r="M1147" s="94" t="str">
        <f t="shared" si="3"/>
        <v/>
      </c>
    </row>
    <row r="1148" ht="15.75" customHeight="1">
      <c r="B1148" s="77">
        <f t="shared" si="1"/>
        <v>0</v>
      </c>
      <c r="C1148" s="67"/>
      <c r="D1148" s="78"/>
      <c r="E1148" s="101"/>
      <c r="F1148" s="108"/>
      <c r="G1148" s="120"/>
      <c r="H1148" s="101"/>
      <c r="I1148" s="93"/>
      <c r="J1148" s="91"/>
      <c r="L1148" s="94" t="str">
        <f t="shared" si="2"/>
        <v>No infirmation</v>
      </c>
      <c r="M1148" s="94" t="str">
        <f t="shared" si="3"/>
        <v/>
      </c>
    </row>
    <row r="1149" ht="15.75" customHeight="1">
      <c r="B1149" s="77">
        <f t="shared" si="1"/>
        <v>0</v>
      </c>
      <c r="C1149" s="67"/>
      <c r="D1149" s="78"/>
      <c r="E1149" s="101"/>
      <c r="F1149" s="108"/>
      <c r="G1149" s="120"/>
      <c r="H1149" s="101"/>
      <c r="I1149" s="93"/>
      <c r="J1149" s="91"/>
      <c r="L1149" s="94" t="str">
        <f t="shared" si="2"/>
        <v>No infirmation</v>
      </c>
      <c r="M1149" s="94" t="str">
        <f t="shared" si="3"/>
        <v/>
      </c>
    </row>
    <row r="1150" ht="15.75" customHeight="1">
      <c r="B1150" s="77">
        <f t="shared" si="1"/>
        <v>0</v>
      </c>
      <c r="C1150" s="67"/>
      <c r="D1150" s="78"/>
      <c r="E1150" s="101"/>
      <c r="F1150" s="108"/>
      <c r="G1150" s="120"/>
      <c r="H1150" s="101"/>
      <c r="I1150" s="93"/>
      <c r="J1150" s="91"/>
      <c r="L1150" s="94" t="str">
        <f t="shared" si="2"/>
        <v>No infirmation</v>
      </c>
      <c r="M1150" s="94" t="str">
        <f t="shared" si="3"/>
        <v/>
      </c>
    </row>
    <row r="1151" ht="15.75" customHeight="1">
      <c r="B1151" s="77">
        <f t="shared" si="1"/>
        <v>0</v>
      </c>
      <c r="C1151" s="67"/>
      <c r="D1151" s="78"/>
      <c r="E1151" s="101"/>
      <c r="F1151" s="108"/>
      <c r="G1151" s="120"/>
      <c r="H1151" s="101"/>
      <c r="I1151" s="93"/>
      <c r="J1151" s="91"/>
      <c r="L1151" s="94" t="str">
        <f t="shared" si="2"/>
        <v>No infirmation</v>
      </c>
      <c r="M1151" s="94" t="str">
        <f t="shared" si="3"/>
        <v/>
      </c>
    </row>
    <row r="1152" ht="15.75" customHeight="1">
      <c r="B1152" s="77">
        <f t="shared" si="1"/>
        <v>0</v>
      </c>
      <c r="C1152" s="67"/>
      <c r="D1152" s="78"/>
      <c r="E1152" s="101"/>
      <c r="F1152" s="108"/>
      <c r="G1152" s="120"/>
      <c r="H1152" s="101"/>
      <c r="I1152" s="93"/>
      <c r="J1152" s="91"/>
      <c r="L1152" s="94" t="str">
        <f t="shared" si="2"/>
        <v>No infirmation</v>
      </c>
      <c r="M1152" s="94" t="str">
        <f t="shared" si="3"/>
        <v/>
      </c>
    </row>
    <row r="1153" ht="15.75" customHeight="1">
      <c r="B1153" s="77">
        <f t="shared" si="1"/>
        <v>0</v>
      </c>
      <c r="C1153" s="67"/>
      <c r="D1153" s="78"/>
      <c r="E1153" s="101"/>
      <c r="F1153" s="108"/>
      <c r="G1153" s="120"/>
      <c r="H1153" s="101"/>
      <c r="I1153" s="93"/>
      <c r="J1153" s="91"/>
      <c r="L1153" s="94" t="str">
        <f t="shared" si="2"/>
        <v>No infirmation</v>
      </c>
      <c r="M1153" s="94" t="str">
        <f t="shared" si="3"/>
        <v/>
      </c>
    </row>
    <row r="1154" ht="15.75" customHeight="1">
      <c r="B1154" s="77">
        <f t="shared" si="1"/>
        <v>0</v>
      </c>
      <c r="C1154" s="67"/>
      <c r="D1154" s="78"/>
      <c r="E1154" s="101"/>
      <c r="F1154" s="108"/>
      <c r="G1154" s="120"/>
      <c r="H1154" s="101"/>
      <c r="I1154" s="93"/>
      <c r="J1154" s="91"/>
      <c r="L1154" s="94" t="str">
        <f t="shared" si="2"/>
        <v>No infirmation</v>
      </c>
      <c r="M1154" s="94" t="str">
        <f t="shared" si="3"/>
        <v/>
      </c>
    </row>
    <row r="1155" ht="15.75" customHeight="1">
      <c r="B1155" s="77">
        <f t="shared" si="1"/>
        <v>0</v>
      </c>
      <c r="C1155" s="67"/>
      <c r="D1155" s="78"/>
      <c r="E1155" s="101"/>
      <c r="F1155" s="108"/>
      <c r="G1155" s="120"/>
      <c r="H1155" s="101"/>
      <c r="I1155" s="93"/>
      <c r="J1155" s="91"/>
      <c r="L1155" s="94" t="str">
        <f t="shared" si="2"/>
        <v>No infirmation</v>
      </c>
      <c r="M1155" s="94" t="str">
        <f t="shared" si="3"/>
        <v/>
      </c>
    </row>
    <row r="1156" ht="15.75" customHeight="1">
      <c r="B1156" s="77">
        <f t="shared" si="1"/>
        <v>0</v>
      </c>
      <c r="C1156" s="67"/>
      <c r="D1156" s="78"/>
      <c r="E1156" s="101"/>
      <c r="F1156" s="108"/>
      <c r="G1156" s="120"/>
      <c r="H1156" s="101"/>
      <c r="I1156" s="93"/>
      <c r="J1156" s="91"/>
      <c r="L1156" s="94" t="str">
        <f t="shared" si="2"/>
        <v>No infirmation</v>
      </c>
      <c r="M1156" s="94" t="str">
        <f t="shared" si="3"/>
        <v/>
      </c>
    </row>
    <row r="1157" ht="15.75" customHeight="1">
      <c r="B1157" s="77">
        <f t="shared" si="1"/>
        <v>0</v>
      </c>
      <c r="C1157" s="67"/>
      <c r="D1157" s="78"/>
      <c r="E1157" s="101"/>
      <c r="F1157" s="108"/>
      <c r="G1157" s="120"/>
      <c r="H1157" s="101"/>
      <c r="I1157" s="93"/>
      <c r="J1157" s="91"/>
      <c r="L1157" s="94" t="str">
        <f t="shared" si="2"/>
        <v>No infirmation</v>
      </c>
      <c r="M1157" s="94" t="str">
        <f t="shared" si="3"/>
        <v/>
      </c>
    </row>
    <row r="1158" ht="15.75" customHeight="1">
      <c r="B1158" s="77">
        <f t="shared" si="1"/>
        <v>0</v>
      </c>
      <c r="C1158" s="67"/>
      <c r="D1158" s="78"/>
      <c r="E1158" s="101"/>
      <c r="F1158" s="108"/>
      <c r="G1158" s="120"/>
      <c r="H1158" s="101"/>
      <c r="I1158" s="93"/>
      <c r="J1158" s="91"/>
      <c r="L1158" s="94" t="str">
        <f t="shared" si="2"/>
        <v>No infirmation</v>
      </c>
      <c r="M1158" s="94" t="str">
        <f t="shared" si="3"/>
        <v/>
      </c>
    </row>
    <row r="1159" ht="15.75" customHeight="1">
      <c r="B1159" s="77">
        <f t="shared" si="1"/>
        <v>0</v>
      </c>
      <c r="C1159" s="67"/>
      <c r="D1159" s="78"/>
      <c r="E1159" s="101"/>
      <c r="F1159" s="108"/>
      <c r="G1159" s="120"/>
      <c r="H1159" s="101"/>
      <c r="I1159" s="93"/>
      <c r="J1159" s="91"/>
      <c r="L1159" s="94" t="str">
        <f t="shared" si="2"/>
        <v>No infirmation</v>
      </c>
      <c r="M1159" s="94" t="str">
        <f t="shared" si="3"/>
        <v/>
      </c>
    </row>
    <row r="1160" ht="15.75" customHeight="1">
      <c r="B1160" s="77">
        <f t="shared" si="1"/>
        <v>0</v>
      </c>
      <c r="C1160" s="67"/>
      <c r="D1160" s="78"/>
      <c r="E1160" s="101"/>
      <c r="F1160" s="108"/>
      <c r="G1160" s="120"/>
      <c r="H1160" s="101"/>
      <c r="I1160" s="93"/>
      <c r="J1160" s="91"/>
      <c r="L1160" s="94" t="str">
        <f t="shared" si="2"/>
        <v>No infirmation</v>
      </c>
      <c r="M1160" s="94" t="str">
        <f t="shared" si="3"/>
        <v/>
      </c>
    </row>
    <row r="1161" ht="15.75" customHeight="1">
      <c r="B1161" s="77">
        <f t="shared" si="1"/>
        <v>0</v>
      </c>
      <c r="C1161" s="67"/>
      <c r="D1161" s="78"/>
      <c r="E1161" s="101"/>
      <c r="F1161" s="108"/>
      <c r="G1161" s="120"/>
      <c r="H1161" s="101"/>
      <c r="I1161" s="93"/>
      <c r="J1161" s="91"/>
      <c r="L1161" s="94" t="str">
        <f t="shared" si="2"/>
        <v>No infirmation</v>
      </c>
      <c r="M1161" s="94" t="str">
        <f t="shared" si="3"/>
        <v/>
      </c>
    </row>
    <row r="1162" ht="15.75" customHeight="1">
      <c r="B1162" s="77">
        <f t="shared" si="1"/>
        <v>0</v>
      </c>
      <c r="C1162" s="67"/>
      <c r="D1162" s="78"/>
      <c r="E1162" s="101"/>
      <c r="F1162" s="108"/>
      <c r="G1162" s="120"/>
      <c r="H1162" s="101"/>
      <c r="I1162" s="93"/>
      <c r="J1162" s="91"/>
      <c r="L1162" s="94" t="str">
        <f t="shared" si="2"/>
        <v>No infirmation</v>
      </c>
      <c r="M1162" s="94" t="str">
        <f t="shared" si="3"/>
        <v/>
      </c>
    </row>
    <row r="1163" ht="15.75" customHeight="1">
      <c r="B1163" s="77">
        <f t="shared" si="1"/>
        <v>0</v>
      </c>
      <c r="C1163" s="67"/>
      <c r="D1163" s="78"/>
      <c r="E1163" s="101"/>
      <c r="F1163" s="108"/>
      <c r="G1163" s="120"/>
      <c r="H1163" s="101"/>
      <c r="I1163" s="93"/>
      <c r="J1163" s="91"/>
      <c r="L1163" s="94" t="str">
        <f t="shared" si="2"/>
        <v>No infirmation</v>
      </c>
      <c r="M1163" s="94" t="str">
        <f t="shared" si="3"/>
        <v/>
      </c>
    </row>
    <row r="1164" ht="15.75" customHeight="1">
      <c r="B1164" s="77">
        <f t="shared" si="1"/>
        <v>0</v>
      </c>
      <c r="C1164" s="67"/>
      <c r="D1164" s="78"/>
      <c r="E1164" s="101"/>
      <c r="F1164" s="108"/>
      <c r="G1164" s="120"/>
      <c r="H1164" s="101"/>
      <c r="I1164" s="93"/>
      <c r="J1164" s="91"/>
      <c r="L1164" s="94" t="str">
        <f t="shared" si="2"/>
        <v>No infirmation</v>
      </c>
      <c r="M1164" s="94" t="str">
        <f t="shared" si="3"/>
        <v/>
      </c>
    </row>
    <row r="1165" ht="15.75" customHeight="1">
      <c r="B1165" s="77">
        <f t="shared" si="1"/>
        <v>0</v>
      </c>
      <c r="C1165" s="67"/>
      <c r="D1165" s="78"/>
      <c r="E1165" s="101"/>
      <c r="F1165" s="108"/>
      <c r="G1165" s="120"/>
      <c r="H1165" s="101"/>
      <c r="I1165" s="93"/>
      <c r="J1165" s="91"/>
      <c r="L1165" s="94" t="str">
        <f t="shared" si="2"/>
        <v>No infirmation</v>
      </c>
      <c r="M1165" s="94" t="str">
        <f t="shared" si="3"/>
        <v/>
      </c>
    </row>
    <row r="1166" ht="15.75" customHeight="1">
      <c r="B1166" s="77">
        <f t="shared" si="1"/>
        <v>0</v>
      </c>
      <c r="C1166" s="67"/>
      <c r="D1166" s="78"/>
      <c r="E1166" s="101"/>
      <c r="F1166" s="108"/>
      <c r="G1166" s="120"/>
      <c r="H1166" s="101"/>
      <c r="I1166" s="93"/>
      <c r="J1166" s="91"/>
      <c r="L1166" s="94" t="str">
        <f t="shared" si="2"/>
        <v>No infirmation</v>
      </c>
      <c r="M1166" s="94" t="str">
        <f t="shared" si="3"/>
        <v/>
      </c>
    </row>
    <row r="1167" ht="15.75" customHeight="1">
      <c r="B1167" s="77">
        <f t="shared" si="1"/>
        <v>0</v>
      </c>
      <c r="C1167" s="67"/>
      <c r="D1167" s="78"/>
      <c r="E1167" s="101"/>
      <c r="F1167" s="108"/>
      <c r="G1167" s="120"/>
      <c r="H1167" s="101"/>
      <c r="I1167" s="93"/>
      <c r="J1167" s="91"/>
      <c r="L1167" s="94" t="str">
        <f t="shared" si="2"/>
        <v>No infirmation</v>
      </c>
      <c r="M1167" s="94" t="str">
        <f t="shared" si="3"/>
        <v/>
      </c>
    </row>
    <row r="1168" ht="15.75" customHeight="1">
      <c r="B1168" s="77">
        <f t="shared" si="1"/>
        <v>0</v>
      </c>
      <c r="C1168" s="67"/>
      <c r="D1168" s="78"/>
      <c r="E1168" s="101"/>
      <c r="F1168" s="108"/>
      <c r="G1168" s="120"/>
      <c r="H1168" s="101"/>
      <c r="I1168" s="93"/>
      <c r="J1168" s="91"/>
      <c r="L1168" s="94" t="str">
        <f t="shared" si="2"/>
        <v>No infirmation</v>
      </c>
      <c r="M1168" s="94" t="str">
        <f t="shared" si="3"/>
        <v/>
      </c>
    </row>
    <row r="1169" ht="15.75" customHeight="1">
      <c r="B1169" s="77">
        <f t="shared" si="1"/>
        <v>0</v>
      </c>
      <c r="C1169" s="67"/>
      <c r="D1169" s="78"/>
      <c r="E1169" s="101"/>
      <c r="F1169" s="108"/>
      <c r="G1169" s="120"/>
      <c r="H1169" s="101"/>
      <c r="I1169" s="93"/>
      <c r="J1169" s="91"/>
      <c r="L1169" s="94" t="str">
        <f t="shared" si="2"/>
        <v>No infirmation</v>
      </c>
      <c r="M1169" s="94" t="str">
        <f t="shared" si="3"/>
        <v/>
      </c>
    </row>
    <row r="1170" ht="15.75" customHeight="1">
      <c r="B1170" s="77">
        <f t="shared" si="1"/>
        <v>0</v>
      </c>
      <c r="C1170" s="67"/>
      <c r="D1170" s="78"/>
      <c r="E1170" s="101"/>
      <c r="F1170" s="108"/>
      <c r="G1170" s="120"/>
      <c r="H1170" s="101"/>
      <c r="I1170" s="93"/>
      <c r="J1170" s="91"/>
      <c r="L1170" s="94" t="str">
        <f t="shared" si="2"/>
        <v>No infirmation</v>
      </c>
      <c r="M1170" s="94" t="str">
        <f t="shared" si="3"/>
        <v/>
      </c>
    </row>
    <row r="1171" ht="15.75" customHeight="1">
      <c r="B1171" s="77">
        <f t="shared" si="1"/>
        <v>0</v>
      </c>
      <c r="C1171" s="67"/>
      <c r="D1171" s="78"/>
      <c r="E1171" s="101"/>
      <c r="F1171" s="108"/>
      <c r="G1171" s="120"/>
      <c r="H1171" s="101"/>
      <c r="I1171" s="93"/>
      <c r="J1171" s="91"/>
      <c r="L1171" s="94" t="str">
        <f t="shared" si="2"/>
        <v>No infirmation</v>
      </c>
      <c r="M1171" s="94" t="str">
        <f t="shared" si="3"/>
        <v/>
      </c>
    </row>
    <row r="1172" ht="15.75" customHeight="1">
      <c r="B1172" s="77">
        <f t="shared" si="1"/>
        <v>0</v>
      </c>
      <c r="C1172" s="67"/>
      <c r="D1172" s="78"/>
      <c r="E1172" s="101"/>
      <c r="F1172" s="108"/>
      <c r="G1172" s="120"/>
      <c r="H1172" s="101"/>
      <c r="I1172" s="93"/>
      <c r="J1172" s="91"/>
      <c r="L1172" s="94" t="str">
        <f t="shared" si="2"/>
        <v>No infirmation</v>
      </c>
      <c r="M1172" s="94" t="str">
        <f t="shared" si="3"/>
        <v/>
      </c>
    </row>
    <row r="1173" ht="15.75" customHeight="1">
      <c r="B1173" s="77">
        <f t="shared" si="1"/>
        <v>0</v>
      </c>
      <c r="C1173" s="67"/>
      <c r="D1173" s="78"/>
      <c r="E1173" s="101"/>
      <c r="F1173" s="108"/>
      <c r="G1173" s="120"/>
      <c r="H1173" s="101"/>
      <c r="I1173" s="93"/>
      <c r="J1173" s="91"/>
      <c r="L1173" s="94" t="str">
        <f t="shared" si="2"/>
        <v>No infirmation</v>
      </c>
      <c r="M1173" s="94" t="str">
        <f t="shared" si="3"/>
        <v/>
      </c>
    </row>
    <row r="1174" ht="15.75" customHeight="1">
      <c r="B1174" s="77">
        <f t="shared" si="1"/>
        <v>0</v>
      </c>
      <c r="C1174" s="67"/>
      <c r="D1174" s="78"/>
      <c r="E1174" s="101"/>
      <c r="F1174" s="108"/>
      <c r="G1174" s="120"/>
      <c r="H1174" s="101"/>
      <c r="I1174" s="93"/>
      <c r="J1174" s="91"/>
      <c r="L1174" s="94" t="str">
        <f t="shared" si="2"/>
        <v>No infirmation</v>
      </c>
      <c r="M1174" s="94" t="str">
        <f t="shared" si="3"/>
        <v/>
      </c>
    </row>
    <row r="1175" ht="15.75" customHeight="1">
      <c r="B1175" s="77">
        <f t="shared" si="1"/>
        <v>0</v>
      </c>
      <c r="C1175" s="67"/>
      <c r="D1175" s="78"/>
      <c r="E1175" s="101"/>
      <c r="F1175" s="108"/>
      <c r="G1175" s="120"/>
      <c r="H1175" s="101"/>
      <c r="I1175" s="93"/>
      <c r="J1175" s="91"/>
      <c r="L1175" s="94" t="str">
        <f t="shared" si="2"/>
        <v>No infirmation</v>
      </c>
      <c r="M1175" s="94" t="str">
        <f t="shared" si="3"/>
        <v/>
      </c>
    </row>
    <row r="1176" ht="15.75" customHeight="1">
      <c r="B1176" s="77">
        <f t="shared" si="1"/>
        <v>0</v>
      </c>
      <c r="C1176" s="67"/>
      <c r="D1176" s="78"/>
      <c r="E1176" s="101"/>
      <c r="F1176" s="108"/>
      <c r="G1176" s="120"/>
      <c r="H1176" s="101"/>
      <c r="I1176" s="93"/>
      <c r="J1176" s="91"/>
      <c r="L1176" s="94" t="str">
        <f t="shared" si="2"/>
        <v>No infirmation</v>
      </c>
      <c r="M1176" s="94" t="str">
        <f t="shared" si="3"/>
        <v/>
      </c>
    </row>
    <row r="1177" ht="15.75" customHeight="1">
      <c r="B1177" s="77">
        <f t="shared" si="1"/>
        <v>0</v>
      </c>
      <c r="C1177" s="67"/>
      <c r="D1177" s="78"/>
      <c r="E1177" s="101"/>
      <c r="F1177" s="108"/>
      <c r="G1177" s="120"/>
      <c r="H1177" s="101"/>
      <c r="I1177" s="93"/>
      <c r="J1177" s="91"/>
      <c r="L1177" s="94" t="str">
        <f t="shared" si="2"/>
        <v>No infirmation</v>
      </c>
      <c r="M1177" s="94" t="str">
        <f t="shared" si="3"/>
        <v/>
      </c>
    </row>
    <row r="1178" ht="15.75" customHeight="1">
      <c r="B1178" s="77">
        <f t="shared" si="1"/>
        <v>0</v>
      </c>
      <c r="C1178" s="67"/>
      <c r="D1178" s="78"/>
      <c r="E1178" s="101"/>
      <c r="F1178" s="108"/>
      <c r="G1178" s="120"/>
      <c r="H1178" s="101"/>
      <c r="I1178" s="93"/>
      <c r="J1178" s="91"/>
      <c r="L1178" s="94" t="str">
        <f t="shared" si="2"/>
        <v>No infirmation</v>
      </c>
      <c r="M1178" s="94" t="str">
        <f t="shared" si="3"/>
        <v/>
      </c>
    </row>
    <row r="1179" ht="15.75" customHeight="1">
      <c r="B1179" s="77">
        <f t="shared" si="1"/>
        <v>0</v>
      </c>
      <c r="C1179" s="67"/>
      <c r="D1179" s="78"/>
      <c r="E1179" s="101"/>
      <c r="F1179" s="108"/>
      <c r="G1179" s="120"/>
      <c r="H1179" s="101"/>
      <c r="I1179" s="93"/>
      <c r="J1179" s="91"/>
      <c r="L1179" s="94" t="str">
        <f t="shared" si="2"/>
        <v>No infirmation</v>
      </c>
      <c r="M1179" s="94" t="str">
        <f t="shared" si="3"/>
        <v/>
      </c>
    </row>
    <row r="1180" ht="15.75" customHeight="1">
      <c r="B1180" s="77">
        <f t="shared" si="1"/>
        <v>0</v>
      </c>
      <c r="C1180" s="67"/>
      <c r="D1180" s="78"/>
      <c r="E1180" s="101"/>
      <c r="F1180" s="108"/>
      <c r="G1180" s="120"/>
      <c r="H1180" s="101"/>
      <c r="I1180" s="93"/>
      <c r="J1180" s="91"/>
      <c r="L1180" s="94" t="str">
        <f t="shared" si="2"/>
        <v>No infirmation</v>
      </c>
      <c r="M1180" s="94" t="str">
        <f t="shared" si="3"/>
        <v/>
      </c>
    </row>
    <row r="1181" ht="15.75" customHeight="1">
      <c r="B1181" s="77">
        <f t="shared" si="1"/>
        <v>0</v>
      </c>
      <c r="C1181" s="67"/>
      <c r="D1181" s="78"/>
      <c r="E1181" s="101"/>
      <c r="F1181" s="108"/>
      <c r="G1181" s="120"/>
      <c r="H1181" s="101"/>
      <c r="I1181" s="93"/>
      <c r="J1181" s="91"/>
      <c r="L1181" s="94" t="str">
        <f t="shared" si="2"/>
        <v>No infirmation</v>
      </c>
      <c r="M1181" s="94" t="str">
        <f t="shared" si="3"/>
        <v/>
      </c>
    </row>
    <row r="1182" ht="15.75" customHeight="1">
      <c r="B1182" s="77">
        <f t="shared" si="1"/>
        <v>0</v>
      </c>
      <c r="C1182" s="67"/>
      <c r="D1182" s="78"/>
      <c r="E1182" s="101"/>
      <c r="F1182" s="108"/>
      <c r="G1182" s="120"/>
      <c r="H1182" s="101"/>
      <c r="I1182" s="93"/>
      <c r="J1182" s="91"/>
      <c r="L1182" s="94" t="str">
        <f t="shared" si="2"/>
        <v>No infirmation</v>
      </c>
      <c r="M1182" s="94" t="str">
        <f t="shared" si="3"/>
        <v/>
      </c>
    </row>
    <row r="1183" ht="15.75" customHeight="1">
      <c r="B1183" s="77">
        <f t="shared" si="1"/>
        <v>0</v>
      </c>
      <c r="C1183" s="67"/>
      <c r="D1183" s="78"/>
      <c r="E1183" s="101"/>
      <c r="F1183" s="108"/>
      <c r="G1183" s="120"/>
      <c r="H1183" s="101"/>
      <c r="I1183" s="93"/>
      <c r="J1183" s="91"/>
      <c r="L1183" s="94" t="str">
        <f t="shared" si="2"/>
        <v>No infirmation</v>
      </c>
      <c r="M1183" s="94" t="str">
        <f t="shared" si="3"/>
        <v/>
      </c>
    </row>
    <row r="1184" ht="15.75" customHeight="1">
      <c r="B1184" s="77">
        <f t="shared" si="1"/>
        <v>0</v>
      </c>
      <c r="C1184" s="67"/>
      <c r="D1184" s="78"/>
      <c r="E1184" s="101"/>
      <c r="F1184" s="108"/>
      <c r="G1184" s="120"/>
      <c r="H1184" s="101"/>
      <c r="I1184" s="93"/>
      <c r="J1184" s="91"/>
      <c r="L1184" s="94" t="str">
        <f t="shared" si="2"/>
        <v>No infirmation</v>
      </c>
      <c r="M1184" s="94" t="str">
        <f t="shared" si="3"/>
        <v/>
      </c>
    </row>
    <row r="1185" ht="15.75" customHeight="1">
      <c r="B1185" s="77">
        <f t="shared" si="1"/>
        <v>0</v>
      </c>
      <c r="C1185" s="67"/>
      <c r="D1185" s="78"/>
      <c r="E1185" s="101"/>
      <c r="F1185" s="108"/>
      <c r="G1185" s="120"/>
      <c r="H1185" s="101"/>
      <c r="I1185" s="93"/>
      <c r="J1185" s="91"/>
      <c r="L1185" s="94" t="str">
        <f t="shared" si="2"/>
        <v>No infirmation</v>
      </c>
      <c r="M1185" s="94" t="str">
        <f t="shared" si="3"/>
        <v/>
      </c>
    </row>
    <row r="1186" ht="15.75" customHeight="1">
      <c r="B1186" s="77">
        <f t="shared" si="1"/>
        <v>0</v>
      </c>
      <c r="C1186" s="67"/>
      <c r="D1186" s="78"/>
      <c r="E1186" s="101"/>
      <c r="F1186" s="108"/>
      <c r="G1186" s="120"/>
      <c r="H1186" s="101"/>
      <c r="I1186" s="93"/>
      <c r="J1186" s="91"/>
      <c r="L1186" s="94" t="str">
        <f t="shared" si="2"/>
        <v>No infirmation</v>
      </c>
      <c r="M1186" s="94" t="str">
        <f t="shared" si="3"/>
        <v/>
      </c>
    </row>
    <row r="1187" ht="15.75" customHeight="1">
      <c r="B1187" s="77">
        <f t="shared" si="1"/>
        <v>0</v>
      </c>
      <c r="C1187" s="67"/>
      <c r="D1187" s="78"/>
      <c r="E1187" s="101"/>
      <c r="F1187" s="108"/>
      <c r="G1187" s="120"/>
      <c r="H1187" s="101"/>
      <c r="I1187" s="93"/>
      <c r="J1187" s="91"/>
      <c r="L1187" s="94" t="str">
        <f t="shared" si="2"/>
        <v>No infirmation</v>
      </c>
      <c r="M1187" s="94" t="str">
        <f t="shared" si="3"/>
        <v/>
      </c>
    </row>
    <row r="1188" ht="15.75" customHeight="1">
      <c r="B1188" s="77">
        <f t="shared" si="1"/>
        <v>0</v>
      </c>
      <c r="C1188" s="67"/>
      <c r="D1188" s="78"/>
      <c r="E1188" s="101"/>
      <c r="F1188" s="108"/>
      <c r="G1188" s="120"/>
      <c r="H1188" s="101"/>
      <c r="I1188" s="93"/>
      <c r="J1188" s="91"/>
      <c r="L1188" s="94" t="str">
        <f t="shared" si="2"/>
        <v>No infirmation</v>
      </c>
      <c r="M1188" s="94" t="str">
        <f t="shared" si="3"/>
        <v/>
      </c>
    </row>
    <row r="1189" ht="15.75" customHeight="1">
      <c r="B1189" s="77">
        <f t="shared" si="1"/>
        <v>0</v>
      </c>
      <c r="C1189" s="67"/>
      <c r="D1189" s="78"/>
      <c r="E1189" s="101"/>
      <c r="F1189" s="108"/>
      <c r="G1189" s="120"/>
      <c r="H1189" s="101"/>
      <c r="I1189" s="93"/>
      <c r="J1189" s="91"/>
      <c r="L1189" s="94" t="str">
        <f t="shared" si="2"/>
        <v>No infirmation</v>
      </c>
      <c r="M1189" s="94" t="str">
        <f t="shared" si="3"/>
        <v/>
      </c>
    </row>
    <row r="1190" ht="15.75" customHeight="1">
      <c r="B1190" s="77">
        <f t="shared" si="1"/>
        <v>0</v>
      </c>
      <c r="C1190" s="67"/>
      <c r="D1190" s="78"/>
      <c r="E1190" s="101"/>
      <c r="F1190" s="108"/>
      <c r="G1190" s="120"/>
      <c r="H1190" s="101"/>
      <c r="I1190" s="93"/>
      <c r="J1190" s="91"/>
      <c r="L1190" s="94" t="str">
        <f t="shared" si="2"/>
        <v>No infirmation</v>
      </c>
      <c r="M1190" s="94" t="str">
        <f t="shared" si="3"/>
        <v/>
      </c>
    </row>
    <row r="1191" ht="15.75" customHeight="1">
      <c r="B1191" s="77">
        <f t="shared" si="1"/>
        <v>0</v>
      </c>
      <c r="C1191" s="67"/>
      <c r="D1191" s="78"/>
      <c r="E1191" s="101"/>
      <c r="F1191" s="108"/>
      <c r="G1191" s="120"/>
      <c r="H1191" s="101"/>
      <c r="I1191" s="93"/>
      <c r="J1191" s="91"/>
      <c r="L1191" s="94" t="str">
        <f t="shared" si="2"/>
        <v>No infirmation</v>
      </c>
      <c r="M1191" s="94" t="str">
        <f t="shared" si="3"/>
        <v/>
      </c>
    </row>
    <row r="1192" ht="15.75" customHeight="1">
      <c r="B1192" s="77">
        <f t="shared" si="1"/>
        <v>0</v>
      </c>
      <c r="C1192" s="67"/>
      <c r="D1192" s="78"/>
      <c r="E1192" s="101"/>
      <c r="F1192" s="108"/>
      <c r="G1192" s="120"/>
      <c r="H1192" s="101"/>
      <c r="I1192" s="93"/>
      <c r="J1192" s="91"/>
      <c r="L1192" s="94" t="str">
        <f t="shared" si="2"/>
        <v>No infirmation</v>
      </c>
      <c r="M1192" s="94" t="str">
        <f t="shared" si="3"/>
        <v/>
      </c>
    </row>
    <row r="1193" ht="15.75" customHeight="1">
      <c r="B1193" s="77">
        <f t="shared" si="1"/>
        <v>0</v>
      </c>
      <c r="C1193" s="67"/>
      <c r="D1193" s="78"/>
      <c r="E1193" s="101"/>
      <c r="F1193" s="108"/>
      <c r="G1193" s="120"/>
      <c r="H1193" s="101"/>
      <c r="I1193" s="93"/>
      <c r="J1193" s="91"/>
      <c r="L1193" s="94" t="str">
        <f t="shared" si="2"/>
        <v>No infirmation</v>
      </c>
      <c r="M1193" s="94" t="str">
        <f t="shared" si="3"/>
        <v/>
      </c>
    </row>
    <row r="1194" ht="15.75" customHeight="1">
      <c r="B1194" s="77">
        <f t="shared" si="1"/>
        <v>0</v>
      </c>
      <c r="C1194" s="67"/>
      <c r="D1194" s="78"/>
      <c r="E1194" s="101"/>
      <c r="F1194" s="108"/>
      <c r="G1194" s="120"/>
      <c r="H1194" s="101"/>
      <c r="I1194" s="93"/>
      <c r="J1194" s="91"/>
      <c r="L1194" s="94" t="str">
        <f t="shared" si="2"/>
        <v>No infirmation</v>
      </c>
      <c r="M1194" s="94" t="str">
        <f t="shared" si="3"/>
        <v/>
      </c>
    </row>
    <row r="1195" ht="15.75" customHeight="1">
      <c r="B1195" s="77">
        <f t="shared" si="1"/>
        <v>0</v>
      </c>
      <c r="C1195" s="67"/>
      <c r="D1195" s="78"/>
      <c r="E1195" s="101"/>
      <c r="F1195" s="108"/>
      <c r="G1195" s="120"/>
      <c r="H1195" s="101"/>
      <c r="I1195" s="93"/>
      <c r="J1195" s="91"/>
      <c r="L1195" s="94" t="str">
        <f t="shared" si="2"/>
        <v>No infirmation</v>
      </c>
      <c r="M1195" s="94" t="str">
        <f t="shared" si="3"/>
        <v/>
      </c>
    </row>
    <row r="1196" ht="15.75" customHeight="1">
      <c r="B1196" s="77">
        <f t="shared" si="1"/>
        <v>0</v>
      </c>
      <c r="C1196" s="67"/>
      <c r="D1196" s="78"/>
      <c r="E1196" s="101"/>
      <c r="F1196" s="108"/>
      <c r="G1196" s="120"/>
      <c r="H1196" s="101"/>
      <c r="I1196" s="93"/>
      <c r="J1196" s="91"/>
      <c r="L1196" s="94" t="str">
        <f t="shared" si="2"/>
        <v>No infirmation</v>
      </c>
      <c r="M1196" s="94" t="str">
        <f t="shared" si="3"/>
        <v/>
      </c>
    </row>
    <row r="1197" ht="15.75" customHeight="1">
      <c r="B1197" s="77">
        <f t="shared" si="1"/>
        <v>0</v>
      </c>
      <c r="C1197" s="67"/>
      <c r="D1197" s="78"/>
      <c r="E1197" s="101"/>
      <c r="F1197" s="108"/>
      <c r="G1197" s="120"/>
      <c r="H1197" s="101"/>
      <c r="I1197" s="93"/>
      <c r="J1197" s="91"/>
      <c r="L1197" s="94" t="str">
        <f t="shared" si="2"/>
        <v>No infirmation</v>
      </c>
      <c r="M1197" s="94" t="str">
        <f t="shared" si="3"/>
        <v/>
      </c>
    </row>
    <row r="1198" ht="15.75" customHeight="1">
      <c r="B1198" s="77">
        <f t="shared" si="1"/>
        <v>0</v>
      </c>
      <c r="C1198" s="67"/>
      <c r="D1198" s="78"/>
      <c r="E1198" s="101"/>
      <c r="F1198" s="108"/>
      <c r="G1198" s="120"/>
      <c r="H1198" s="101"/>
      <c r="I1198" s="93"/>
      <c r="J1198" s="91"/>
      <c r="L1198" s="94" t="str">
        <f t="shared" si="2"/>
        <v>No infirmation</v>
      </c>
      <c r="M1198" s="94" t="str">
        <f t="shared" si="3"/>
        <v/>
      </c>
    </row>
    <row r="1199" ht="15.75" customHeight="1">
      <c r="B1199" s="77">
        <f t="shared" si="1"/>
        <v>0</v>
      </c>
      <c r="C1199" s="67"/>
      <c r="D1199" s="78"/>
      <c r="E1199" s="101"/>
      <c r="F1199" s="108"/>
      <c r="G1199" s="120"/>
      <c r="H1199" s="101"/>
      <c r="I1199" s="93"/>
      <c r="J1199" s="91"/>
      <c r="L1199" s="94" t="str">
        <f t="shared" si="2"/>
        <v>No infirmation</v>
      </c>
      <c r="M1199" s="94" t="str">
        <f t="shared" si="3"/>
        <v/>
      </c>
    </row>
    <row r="1200" ht="15.75" customHeight="1">
      <c r="B1200" s="77">
        <f t="shared" si="1"/>
        <v>0</v>
      </c>
      <c r="C1200" s="67"/>
      <c r="D1200" s="78"/>
      <c r="E1200" s="101"/>
      <c r="F1200" s="108"/>
      <c r="G1200" s="120"/>
      <c r="H1200" s="101"/>
      <c r="I1200" s="93"/>
      <c r="J1200" s="91"/>
      <c r="L1200" s="94" t="str">
        <f t="shared" si="2"/>
        <v>No infirmation</v>
      </c>
      <c r="M1200" s="94" t="str">
        <f t="shared" si="3"/>
        <v/>
      </c>
    </row>
    <row r="1201" ht="15.75" customHeight="1">
      <c r="B1201" s="77">
        <f t="shared" si="1"/>
        <v>0</v>
      </c>
      <c r="C1201" s="67"/>
      <c r="D1201" s="78"/>
      <c r="E1201" s="101"/>
      <c r="F1201" s="108"/>
      <c r="G1201" s="120"/>
      <c r="H1201" s="101"/>
      <c r="I1201" s="93"/>
      <c r="J1201" s="91"/>
      <c r="L1201" s="94" t="str">
        <f t="shared" si="2"/>
        <v>No infirmation</v>
      </c>
      <c r="M1201" s="94" t="str">
        <f t="shared" si="3"/>
        <v/>
      </c>
    </row>
    <row r="1202" ht="15.75" customHeight="1">
      <c r="B1202" s="77">
        <f t="shared" si="1"/>
        <v>0</v>
      </c>
      <c r="C1202" s="67"/>
      <c r="D1202" s="78"/>
      <c r="E1202" s="101"/>
      <c r="F1202" s="108"/>
      <c r="G1202" s="120"/>
      <c r="H1202" s="101"/>
      <c r="I1202" s="93"/>
      <c r="J1202" s="91"/>
      <c r="L1202" s="94" t="str">
        <f t="shared" si="2"/>
        <v>No infirmation</v>
      </c>
      <c r="M1202" s="94" t="str">
        <f t="shared" si="3"/>
        <v/>
      </c>
    </row>
    <row r="1203" ht="15.75" customHeight="1">
      <c r="B1203" s="77">
        <f t="shared" si="1"/>
        <v>0</v>
      </c>
      <c r="C1203" s="67"/>
      <c r="D1203" s="78"/>
      <c r="E1203" s="101"/>
      <c r="F1203" s="108"/>
      <c r="G1203" s="120"/>
      <c r="H1203" s="101"/>
      <c r="I1203" s="93"/>
      <c r="J1203" s="91"/>
      <c r="L1203" s="94" t="str">
        <f t="shared" si="2"/>
        <v>No infirmation</v>
      </c>
      <c r="M1203" s="94" t="str">
        <f t="shared" si="3"/>
        <v/>
      </c>
    </row>
    <row r="1204" ht="15.75" customHeight="1">
      <c r="B1204" s="77">
        <f t="shared" si="1"/>
        <v>0</v>
      </c>
      <c r="C1204" s="67"/>
      <c r="D1204" s="78"/>
      <c r="E1204" s="101"/>
      <c r="F1204" s="108"/>
      <c r="G1204" s="120"/>
      <c r="H1204" s="101"/>
      <c r="I1204" s="93"/>
      <c r="J1204" s="91"/>
      <c r="L1204" s="94" t="str">
        <f t="shared" si="2"/>
        <v>No infirmation</v>
      </c>
      <c r="M1204" s="94" t="str">
        <f t="shared" si="3"/>
        <v/>
      </c>
    </row>
    <row r="1205" ht="15.75" customHeight="1">
      <c r="B1205" s="77">
        <f t="shared" si="1"/>
        <v>0</v>
      </c>
      <c r="C1205" s="67"/>
      <c r="D1205" s="78"/>
      <c r="E1205" s="101"/>
      <c r="F1205" s="108"/>
      <c r="G1205" s="120"/>
      <c r="H1205" s="101"/>
      <c r="I1205" s="93"/>
      <c r="J1205" s="91"/>
      <c r="L1205" s="94" t="str">
        <f t="shared" si="2"/>
        <v>No infirmation</v>
      </c>
      <c r="M1205" s="94" t="str">
        <f t="shared" si="3"/>
        <v/>
      </c>
    </row>
    <row r="1206" ht="15.75" customHeight="1">
      <c r="B1206" s="77">
        <f t="shared" si="1"/>
        <v>0</v>
      </c>
      <c r="C1206" s="67"/>
      <c r="D1206" s="78"/>
      <c r="E1206" s="101"/>
      <c r="F1206" s="108"/>
      <c r="G1206" s="120"/>
      <c r="H1206" s="101"/>
      <c r="I1206" s="93"/>
      <c r="J1206" s="91"/>
      <c r="L1206" s="94" t="str">
        <f t="shared" si="2"/>
        <v>No infirmation</v>
      </c>
      <c r="M1206" s="94" t="str">
        <f t="shared" si="3"/>
        <v/>
      </c>
    </row>
    <row r="1207" ht="15.75" customHeight="1">
      <c r="B1207" s="77">
        <f t="shared" si="1"/>
        <v>0</v>
      </c>
      <c r="C1207" s="67"/>
      <c r="D1207" s="78"/>
      <c r="E1207" s="101"/>
      <c r="F1207" s="108"/>
      <c r="G1207" s="120"/>
      <c r="H1207" s="101"/>
      <c r="I1207" s="93"/>
      <c r="J1207" s="91"/>
      <c r="L1207" s="94" t="str">
        <f t="shared" si="2"/>
        <v>No infirmation</v>
      </c>
      <c r="M1207" s="94" t="str">
        <f t="shared" si="3"/>
        <v/>
      </c>
    </row>
    <row r="1208" ht="15.75" customHeight="1">
      <c r="B1208" s="77">
        <f t="shared" si="1"/>
        <v>0</v>
      </c>
      <c r="C1208" s="67"/>
      <c r="D1208" s="78"/>
      <c r="E1208" s="101"/>
      <c r="F1208" s="108"/>
      <c r="G1208" s="120"/>
      <c r="H1208" s="101"/>
      <c r="I1208" s="93"/>
      <c r="J1208" s="91"/>
      <c r="L1208" s="94" t="str">
        <f t="shared" si="2"/>
        <v>No infirmation</v>
      </c>
      <c r="M1208" s="94" t="str">
        <f t="shared" si="3"/>
        <v/>
      </c>
    </row>
    <row r="1209" ht="15.75" customHeight="1">
      <c r="B1209" s="77">
        <f t="shared" si="1"/>
        <v>0</v>
      </c>
      <c r="C1209" s="67"/>
      <c r="D1209" s="78"/>
      <c r="E1209" s="101"/>
      <c r="F1209" s="108"/>
      <c r="G1209" s="120"/>
      <c r="H1209" s="101"/>
      <c r="I1209" s="93"/>
      <c r="J1209" s="91"/>
      <c r="L1209" s="94" t="str">
        <f t="shared" si="2"/>
        <v>No infirmation</v>
      </c>
      <c r="M1209" s="94" t="str">
        <f t="shared" si="3"/>
        <v/>
      </c>
    </row>
    <row r="1210" ht="15.75" customHeight="1">
      <c r="B1210" s="77">
        <f t="shared" si="1"/>
        <v>0</v>
      </c>
      <c r="C1210" s="67"/>
      <c r="D1210" s="78"/>
      <c r="E1210" s="101"/>
      <c r="F1210" s="108"/>
      <c r="G1210" s="120"/>
      <c r="H1210" s="101"/>
      <c r="I1210" s="93"/>
      <c r="J1210" s="91"/>
      <c r="L1210" s="94" t="str">
        <f t="shared" si="2"/>
        <v>No infirmation</v>
      </c>
      <c r="M1210" s="94" t="str">
        <f t="shared" si="3"/>
        <v/>
      </c>
    </row>
    <row r="1211" ht="15.75" customHeight="1">
      <c r="B1211" s="77">
        <f t="shared" si="1"/>
        <v>0</v>
      </c>
      <c r="C1211" s="67"/>
      <c r="D1211" s="78"/>
      <c r="E1211" s="101"/>
      <c r="F1211" s="108"/>
      <c r="G1211" s="120"/>
      <c r="H1211" s="101"/>
      <c r="I1211" s="93"/>
      <c r="J1211" s="91"/>
      <c r="L1211" s="94" t="str">
        <f t="shared" si="2"/>
        <v>No infirmation</v>
      </c>
      <c r="M1211" s="94" t="str">
        <f t="shared" si="3"/>
        <v/>
      </c>
    </row>
    <row r="1212" ht="15.75" customHeight="1">
      <c r="B1212" s="77">
        <f t="shared" si="1"/>
        <v>0</v>
      </c>
      <c r="C1212" s="67"/>
      <c r="D1212" s="78"/>
      <c r="E1212" s="101"/>
      <c r="F1212" s="108"/>
      <c r="G1212" s="120"/>
      <c r="H1212" s="101"/>
      <c r="I1212" s="93"/>
      <c r="J1212" s="91"/>
      <c r="L1212" s="94" t="str">
        <f t="shared" si="2"/>
        <v>No infirmation</v>
      </c>
      <c r="M1212" s="94" t="str">
        <f t="shared" si="3"/>
        <v/>
      </c>
    </row>
    <row r="1213" ht="15.75" customHeight="1">
      <c r="B1213" s="77">
        <f t="shared" si="1"/>
        <v>0</v>
      </c>
      <c r="C1213" s="67"/>
      <c r="D1213" s="78"/>
      <c r="E1213" s="101"/>
      <c r="F1213" s="108"/>
      <c r="G1213" s="120"/>
      <c r="H1213" s="101"/>
      <c r="I1213" s="93"/>
      <c r="J1213" s="91"/>
      <c r="L1213" s="94" t="str">
        <f t="shared" si="2"/>
        <v>No infirmation</v>
      </c>
      <c r="M1213" s="94" t="str">
        <f t="shared" si="3"/>
        <v/>
      </c>
    </row>
    <row r="1214" ht="15.75" customHeight="1">
      <c r="B1214" s="77">
        <f t="shared" si="1"/>
        <v>0</v>
      </c>
      <c r="C1214" s="67"/>
      <c r="D1214" s="78"/>
      <c r="E1214" s="101"/>
      <c r="F1214" s="108"/>
      <c r="G1214" s="120"/>
      <c r="H1214" s="101"/>
      <c r="I1214" s="93"/>
      <c r="J1214" s="91"/>
      <c r="L1214" s="94" t="str">
        <f t="shared" si="2"/>
        <v>No infirmation</v>
      </c>
      <c r="M1214" s="94" t="str">
        <f t="shared" si="3"/>
        <v/>
      </c>
    </row>
    <row r="1215" ht="15.75" customHeight="1">
      <c r="B1215" s="77">
        <f t="shared" si="1"/>
        <v>0</v>
      </c>
      <c r="C1215" s="67"/>
      <c r="D1215" s="78"/>
      <c r="E1215" s="101"/>
      <c r="F1215" s="108"/>
      <c r="G1215" s="120"/>
      <c r="H1215" s="101"/>
      <c r="I1215" s="93"/>
      <c r="J1215" s="91"/>
      <c r="L1215" s="94" t="str">
        <f t="shared" si="2"/>
        <v>No infirmation</v>
      </c>
      <c r="M1215" s="94" t="str">
        <f t="shared" si="3"/>
        <v/>
      </c>
    </row>
    <row r="1216" ht="15.75" customHeight="1">
      <c r="B1216" s="77">
        <f t="shared" si="1"/>
        <v>0</v>
      </c>
      <c r="C1216" s="67"/>
      <c r="D1216" s="78"/>
      <c r="E1216" s="101"/>
      <c r="F1216" s="108"/>
      <c r="G1216" s="120"/>
      <c r="H1216" s="101"/>
      <c r="I1216" s="93"/>
      <c r="J1216" s="91"/>
      <c r="L1216" s="94" t="str">
        <f t="shared" si="2"/>
        <v>No infirmation</v>
      </c>
      <c r="M1216" s="94" t="str">
        <f t="shared" si="3"/>
        <v/>
      </c>
    </row>
    <row r="1217" ht="15.75" customHeight="1">
      <c r="B1217" s="77">
        <f t="shared" si="1"/>
        <v>0</v>
      </c>
      <c r="C1217" s="67"/>
      <c r="D1217" s="78"/>
      <c r="E1217" s="101"/>
      <c r="F1217" s="108"/>
      <c r="G1217" s="120"/>
      <c r="H1217" s="101"/>
      <c r="I1217" s="93"/>
      <c r="J1217" s="91"/>
      <c r="L1217" s="94" t="str">
        <f t="shared" si="2"/>
        <v>No infirmation</v>
      </c>
      <c r="M1217" s="94" t="str">
        <f t="shared" si="3"/>
        <v/>
      </c>
    </row>
    <row r="1218" ht="15.75" customHeight="1">
      <c r="B1218" s="77">
        <f t="shared" si="1"/>
        <v>0</v>
      </c>
      <c r="C1218" s="67"/>
      <c r="D1218" s="78"/>
      <c r="E1218" s="101"/>
      <c r="F1218" s="108"/>
      <c r="G1218" s="120"/>
      <c r="H1218" s="101"/>
      <c r="I1218" s="93"/>
      <c r="J1218" s="91"/>
      <c r="L1218" s="94" t="str">
        <f t="shared" si="2"/>
        <v>No infirmation</v>
      </c>
      <c r="M1218" s="94" t="str">
        <f t="shared" si="3"/>
        <v/>
      </c>
    </row>
    <row r="1219" ht="15.75" customHeight="1">
      <c r="B1219" s="77">
        <f t="shared" si="1"/>
        <v>0</v>
      </c>
      <c r="C1219" s="67"/>
      <c r="D1219" s="78"/>
      <c r="E1219" s="101"/>
      <c r="F1219" s="108"/>
      <c r="G1219" s="120"/>
      <c r="H1219" s="101"/>
      <c r="I1219" s="93"/>
      <c r="J1219" s="91"/>
      <c r="L1219" s="94" t="str">
        <f t="shared" si="2"/>
        <v>No infirmation</v>
      </c>
      <c r="M1219" s="94" t="str">
        <f t="shared" si="3"/>
        <v/>
      </c>
    </row>
    <row r="1220" ht="15.75" customHeight="1">
      <c r="B1220" s="77">
        <f t="shared" si="1"/>
        <v>0</v>
      </c>
      <c r="C1220" s="67"/>
      <c r="D1220" s="78"/>
      <c r="E1220" s="101"/>
      <c r="F1220" s="108"/>
      <c r="G1220" s="120"/>
      <c r="H1220" s="101"/>
      <c r="I1220" s="93"/>
      <c r="J1220" s="91"/>
      <c r="L1220" s="94" t="str">
        <f t="shared" si="2"/>
        <v>No infirmation</v>
      </c>
      <c r="M1220" s="94" t="str">
        <f t="shared" si="3"/>
        <v/>
      </c>
    </row>
    <row r="1221" ht="15.75" customHeight="1">
      <c r="B1221" s="77">
        <f t="shared" si="1"/>
        <v>0</v>
      </c>
      <c r="C1221" s="67"/>
      <c r="D1221" s="78"/>
      <c r="E1221" s="101"/>
      <c r="F1221" s="108"/>
      <c r="G1221" s="120"/>
      <c r="H1221" s="101"/>
      <c r="I1221" s="93"/>
      <c r="J1221" s="91"/>
      <c r="L1221" s="94" t="str">
        <f t="shared" si="2"/>
        <v>No infirmation</v>
      </c>
      <c r="M1221" s="94" t="str">
        <f t="shared" si="3"/>
        <v/>
      </c>
    </row>
    <row r="1222" ht="15.75" customHeight="1">
      <c r="B1222" s="77">
        <f t="shared" si="1"/>
        <v>0</v>
      </c>
      <c r="C1222" s="67"/>
      <c r="D1222" s="78"/>
      <c r="E1222" s="101"/>
      <c r="F1222" s="108"/>
      <c r="G1222" s="120"/>
      <c r="H1222" s="101"/>
      <c r="I1222" s="93"/>
      <c r="J1222" s="91"/>
      <c r="L1222" s="94" t="str">
        <f t="shared" si="2"/>
        <v>No infirmation</v>
      </c>
      <c r="M1222" s="94" t="str">
        <f t="shared" si="3"/>
        <v/>
      </c>
    </row>
    <row r="1223" ht="15.75" customHeight="1">
      <c r="B1223" s="77">
        <f t="shared" si="1"/>
        <v>0</v>
      </c>
      <c r="C1223" s="67"/>
      <c r="D1223" s="78"/>
      <c r="E1223" s="101"/>
      <c r="F1223" s="108"/>
      <c r="G1223" s="120"/>
      <c r="H1223" s="101"/>
      <c r="I1223" s="93"/>
      <c r="J1223" s="91"/>
      <c r="L1223" s="94" t="str">
        <f t="shared" si="2"/>
        <v>No infirmation</v>
      </c>
      <c r="M1223" s="94" t="str">
        <f t="shared" si="3"/>
        <v/>
      </c>
    </row>
    <row r="1224" ht="15.75" customHeight="1">
      <c r="B1224" s="77">
        <f t="shared" si="1"/>
        <v>0</v>
      </c>
      <c r="C1224" s="67"/>
      <c r="D1224" s="78"/>
      <c r="E1224" s="101"/>
      <c r="F1224" s="108"/>
      <c r="G1224" s="120"/>
      <c r="H1224" s="101"/>
      <c r="I1224" s="93"/>
      <c r="J1224" s="91"/>
      <c r="L1224" s="94" t="str">
        <f t="shared" si="2"/>
        <v>No infirmation</v>
      </c>
      <c r="M1224" s="94" t="str">
        <f t="shared" si="3"/>
        <v/>
      </c>
    </row>
    <row r="1225" ht="15.75" customHeight="1">
      <c r="B1225" s="77">
        <f t="shared" si="1"/>
        <v>0</v>
      </c>
      <c r="C1225" s="67"/>
      <c r="D1225" s="78"/>
      <c r="E1225" s="101"/>
      <c r="F1225" s="108"/>
      <c r="G1225" s="120"/>
      <c r="H1225" s="101"/>
      <c r="I1225" s="93"/>
      <c r="J1225" s="91"/>
      <c r="L1225" s="94" t="str">
        <f t="shared" si="2"/>
        <v>No infirmation</v>
      </c>
      <c r="M1225" s="94" t="str">
        <f t="shared" si="3"/>
        <v/>
      </c>
    </row>
    <row r="1226" ht="15.75" customHeight="1">
      <c r="B1226" s="77">
        <f t="shared" si="1"/>
        <v>0</v>
      </c>
      <c r="C1226" s="67"/>
      <c r="D1226" s="78"/>
      <c r="E1226" s="101"/>
      <c r="F1226" s="108"/>
      <c r="G1226" s="120"/>
      <c r="H1226" s="101"/>
      <c r="I1226" s="93"/>
      <c r="J1226" s="91"/>
      <c r="L1226" s="94" t="str">
        <f t="shared" si="2"/>
        <v>No infirmation</v>
      </c>
      <c r="M1226" s="94" t="str">
        <f t="shared" si="3"/>
        <v/>
      </c>
    </row>
    <row r="1227" ht="15.75" customHeight="1">
      <c r="B1227" s="77">
        <f t="shared" si="1"/>
        <v>0</v>
      </c>
      <c r="C1227" s="67"/>
      <c r="D1227" s="78"/>
      <c r="E1227" s="101"/>
      <c r="F1227" s="108"/>
      <c r="G1227" s="120"/>
      <c r="H1227" s="101"/>
      <c r="I1227" s="93"/>
      <c r="J1227" s="91"/>
      <c r="L1227" s="94" t="str">
        <f t="shared" si="2"/>
        <v>No infirmation</v>
      </c>
      <c r="M1227" s="94" t="str">
        <f t="shared" si="3"/>
        <v/>
      </c>
    </row>
    <row r="1228" ht="15.75" customHeight="1">
      <c r="B1228" s="77">
        <f t="shared" si="1"/>
        <v>0</v>
      </c>
      <c r="C1228" s="67"/>
      <c r="D1228" s="78"/>
      <c r="E1228" s="101"/>
      <c r="F1228" s="108"/>
      <c r="G1228" s="120"/>
      <c r="H1228" s="101"/>
      <c r="I1228" s="93"/>
      <c r="J1228" s="91"/>
      <c r="L1228" s="94" t="str">
        <f t="shared" si="2"/>
        <v>No infirmation</v>
      </c>
      <c r="M1228" s="94" t="str">
        <f t="shared" si="3"/>
        <v/>
      </c>
    </row>
    <row r="1229" ht="15.75" customHeight="1">
      <c r="B1229" s="77">
        <f t="shared" si="1"/>
        <v>0</v>
      </c>
      <c r="C1229" s="67"/>
      <c r="D1229" s="78"/>
      <c r="E1229" s="101"/>
      <c r="F1229" s="108"/>
      <c r="G1229" s="120"/>
      <c r="H1229" s="101"/>
      <c r="I1229" s="93"/>
      <c r="J1229" s="91"/>
      <c r="L1229" s="94" t="str">
        <f t="shared" si="2"/>
        <v>No infirmation</v>
      </c>
      <c r="M1229" s="94" t="str">
        <f t="shared" si="3"/>
        <v/>
      </c>
    </row>
    <row r="1230" ht="15.75" customHeight="1">
      <c r="B1230" s="77">
        <f t="shared" si="1"/>
        <v>0</v>
      </c>
      <c r="C1230" s="67"/>
      <c r="D1230" s="78"/>
      <c r="E1230" s="101"/>
      <c r="F1230" s="108"/>
      <c r="G1230" s="120"/>
      <c r="H1230" s="101"/>
      <c r="I1230" s="93"/>
      <c r="J1230" s="91"/>
      <c r="L1230" s="94" t="str">
        <f t="shared" si="2"/>
        <v>No infirmation</v>
      </c>
      <c r="M1230" s="94" t="str">
        <f t="shared" si="3"/>
        <v/>
      </c>
    </row>
    <row r="1231" ht="15.75" customHeight="1">
      <c r="B1231" s="77">
        <f t="shared" si="1"/>
        <v>0</v>
      </c>
      <c r="C1231" s="67"/>
      <c r="D1231" s="78"/>
      <c r="E1231" s="101"/>
      <c r="F1231" s="108"/>
      <c r="G1231" s="120"/>
      <c r="H1231" s="101"/>
      <c r="I1231" s="93"/>
      <c r="J1231" s="91"/>
      <c r="L1231" s="94" t="str">
        <f t="shared" si="2"/>
        <v>No infirmation</v>
      </c>
      <c r="M1231" s="94" t="str">
        <f t="shared" si="3"/>
        <v/>
      </c>
    </row>
    <row r="1232" ht="15.75" customHeight="1">
      <c r="B1232" s="77">
        <f t="shared" si="1"/>
        <v>0</v>
      </c>
      <c r="C1232" s="67"/>
      <c r="D1232" s="78"/>
      <c r="E1232" s="101"/>
      <c r="F1232" s="108"/>
      <c r="G1232" s="120"/>
      <c r="H1232" s="101"/>
      <c r="I1232" s="93"/>
      <c r="J1232" s="91"/>
      <c r="L1232" s="94" t="str">
        <f t="shared" si="2"/>
        <v>No infirmation</v>
      </c>
      <c r="M1232" s="94" t="str">
        <f t="shared" si="3"/>
        <v/>
      </c>
    </row>
    <row r="1233" ht="15.75" customHeight="1">
      <c r="B1233" s="77">
        <f t="shared" si="1"/>
        <v>0</v>
      </c>
      <c r="C1233" s="67"/>
      <c r="D1233" s="78"/>
      <c r="E1233" s="101"/>
      <c r="F1233" s="108"/>
      <c r="G1233" s="120"/>
      <c r="H1233" s="101"/>
      <c r="I1233" s="93"/>
      <c r="J1233" s="91"/>
      <c r="L1233" s="94" t="str">
        <f t="shared" si="2"/>
        <v>No infirmation</v>
      </c>
      <c r="M1233" s="94" t="str">
        <f t="shared" si="3"/>
        <v/>
      </c>
    </row>
    <row r="1234" ht="15.75" customHeight="1">
      <c r="B1234" s="77">
        <f t="shared" si="1"/>
        <v>0</v>
      </c>
      <c r="C1234" s="67"/>
      <c r="D1234" s="78"/>
      <c r="E1234" s="101"/>
      <c r="F1234" s="108"/>
      <c r="G1234" s="120"/>
      <c r="H1234" s="101"/>
      <c r="I1234" s="93"/>
      <c r="J1234" s="91"/>
      <c r="L1234" s="94" t="str">
        <f t="shared" si="2"/>
        <v>No infirmation</v>
      </c>
      <c r="M1234" s="94" t="str">
        <f t="shared" si="3"/>
        <v/>
      </c>
    </row>
    <row r="1235" ht="15.75" customHeight="1">
      <c r="B1235" s="77">
        <f t="shared" si="1"/>
        <v>0</v>
      </c>
      <c r="C1235" s="67"/>
      <c r="D1235" s="78"/>
      <c r="E1235" s="101"/>
      <c r="F1235" s="108"/>
      <c r="G1235" s="120"/>
      <c r="H1235" s="101"/>
      <c r="I1235" s="93"/>
      <c r="J1235" s="91"/>
      <c r="L1235" s="94" t="str">
        <f t="shared" si="2"/>
        <v>No infirmation</v>
      </c>
      <c r="M1235" s="94" t="str">
        <f t="shared" si="3"/>
        <v/>
      </c>
    </row>
    <row r="1236" ht="15.75" customHeight="1">
      <c r="B1236" s="77">
        <f t="shared" si="1"/>
        <v>0</v>
      </c>
      <c r="C1236" s="67"/>
      <c r="D1236" s="78"/>
      <c r="E1236" s="101"/>
      <c r="F1236" s="108"/>
      <c r="G1236" s="120"/>
      <c r="H1236" s="101"/>
      <c r="I1236" s="93"/>
      <c r="J1236" s="91"/>
      <c r="L1236" s="94" t="str">
        <f t="shared" si="2"/>
        <v>No infirmation</v>
      </c>
      <c r="M1236" s="94" t="str">
        <f t="shared" si="3"/>
        <v/>
      </c>
    </row>
    <row r="1237" ht="15.75" customHeight="1">
      <c r="B1237" s="77">
        <f t="shared" si="1"/>
        <v>0</v>
      </c>
      <c r="C1237" s="67"/>
      <c r="D1237" s="78"/>
      <c r="E1237" s="101"/>
      <c r="F1237" s="108"/>
      <c r="G1237" s="120"/>
      <c r="H1237" s="101"/>
      <c r="I1237" s="93"/>
      <c r="J1237" s="91"/>
      <c r="L1237" s="94" t="str">
        <f t="shared" si="2"/>
        <v>No infirmation</v>
      </c>
      <c r="M1237" s="94" t="str">
        <f t="shared" si="3"/>
        <v/>
      </c>
    </row>
    <row r="1238" ht="15.75" customHeight="1">
      <c r="B1238" s="77">
        <f t="shared" si="1"/>
        <v>0</v>
      </c>
      <c r="C1238" s="67"/>
      <c r="D1238" s="78"/>
      <c r="E1238" s="101"/>
      <c r="F1238" s="108"/>
      <c r="G1238" s="120"/>
      <c r="H1238" s="101"/>
      <c r="I1238" s="93"/>
      <c r="J1238" s="91"/>
      <c r="L1238" s="94" t="str">
        <f t="shared" si="2"/>
        <v>No infirmation</v>
      </c>
      <c r="M1238" s="94" t="str">
        <f t="shared" si="3"/>
        <v/>
      </c>
    </row>
    <row r="1239" ht="15.75" customHeight="1">
      <c r="B1239" s="77">
        <f t="shared" si="1"/>
        <v>0</v>
      </c>
      <c r="C1239" s="67"/>
      <c r="D1239" s="78"/>
      <c r="E1239" s="101"/>
      <c r="F1239" s="108"/>
      <c r="G1239" s="120"/>
      <c r="H1239" s="101"/>
      <c r="I1239" s="93"/>
      <c r="J1239" s="91"/>
      <c r="L1239" s="94" t="str">
        <f t="shared" si="2"/>
        <v>No infirmation</v>
      </c>
      <c r="M1239" s="94" t="str">
        <f t="shared" si="3"/>
        <v/>
      </c>
    </row>
    <row r="1240" ht="15.75" customHeight="1">
      <c r="B1240" s="77">
        <f t="shared" si="1"/>
        <v>0</v>
      </c>
      <c r="C1240" s="67"/>
      <c r="D1240" s="78"/>
      <c r="E1240" s="101"/>
      <c r="F1240" s="108"/>
      <c r="G1240" s="120"/>
      <c r="H1240" s="101"/>
      <c r="I1240" s="93"/>
      <c r="J1240" s="91"/>
      <c r="L1240" s="94" t="str">
        <f t="shared" si="2"/>
        <v>No infirmation</v>
      </c>
      <c r="M1240" s="94" t="str">
        <f t="shared" si="3"/>
        <v/>
      </c>
    </row>
    <row r="1241" ht="15.75" customHeight="1">
      <c r="B1241" s="77">
        <f t="shared" si="1"/>
        <v>0</v>
      </c>
      <c r="C1241" s="67"/>
      <c r="D1241" s="78"/>
      <c r="E1241" s="101"/>
      <c r="F1241" s="108"/>
      <c r="G1241" s="120"/>
      <c r="H1241" s="101"/>
      <c r="I1241" s="93"/>
      <c r="J1241" s="91"/>
      <c r="L1241" s="94" t="str">
        <f t="shared" si="2"/>
        <v>No infirmation</v>
      </c>
      <c r="M1241" s="94" t="str">
        <f t="shared" si="3"/>
        <v/>
      </c>
    </row>
    <row r="1242" ht="15.75" customHeight="1">
      <c r="B1242" s="77">
        <f t="shared" si="1"/>
        <v>0</v>
      </c>
      <c r="C1242" s="67"/>
      <c r="D1242" s="78"/>
      <c r="E1242" s="101"/>
      <c r="F1242" s="108"/>
      <c r="G1242" s="120"/>
      <c r="H1242" s="101"/>
      <c r="I1242" s="93"/>
      <c r="J1242" s="91"/>
      <c r="L1242" s="94" t="str">
        <f t="shared" si="2"/>
        <v>No infirmation</v>
      </c>
      <c r="M1242" s="94" t="str">
        <f t="shared" si="3"/>
        <v/>
      </c>
    </row>
    <row r="1243" ht="15.75" customHeight="1">
      <c r="B1243" s="77">
        <f t="shared" si="1"/>
        <v>0</v>
      </c>
      <c r="C1243" s="67"/>
      <c r="D1243" s="78"/>
      <c r="E1243" s="101"/>
      <c r="F1243" s="108"/>
      <c r="G1243" s="120"/>
      <c r="H1243" s="101"/>
      <c r="I1243" s="93"/>
      <c r="J1243" s="91"/>
      <c r="L1243" s="94" t="str">
        <f t="shared" si="2"/>
        <v>No infirmation</v>
      </c>
      <c r="M1243" s="94" t="str">
        <f t="shared" si="3"/>
        <v/>
      </c>
    </row>
    <row r="1244" ht="15.75" customHeight="1">
      <c r="B1244" s="77">
        <f t="shared" si="1"/>
        <v>0</v>
      </c>
      <c r="C1244" s="67"/>
      <c r="D1244" s="78"/>
      <c r="E1244" s="101"/>
      <c r="F1244" s="108"/>
      <c r="G1244" s="120"/>
      <c r="H1244" s="101"/>
      <c r="I1244" s="93"/>
      <c r="J1244" s="91"/>
      <c r="L1244" s="94" t="str">
        <f t="shared" si="2"/>
        <v>No infirmation</v>
      </c>
      <c r="M1244" s="94" t="str">
        <f t="shared" si="3"/>
        <v/>
      </c>
    </row>
    <row r="1245" ht="15.75" customHeight="1">
      <c r="B1245" s="77">
        <f t="shared" si="1"/>
        <v>0</v>
      </c>
      <c r="C1245" s="67"/>
      <c r="D1245" s="78"/>
      <c r="E1245" s="101"/>
      <c r="F1245" s="108"/>
      <c r="G1245" s="120"/>
      <c r="H1245" s="101"/>
      <c r="I1245" s="93"/>
      <c r="J1245" s="91"/>
      <c r="L1245" s="94" t="str">
        <f t="shared" si="2"/>
        <v>No infirmation</v>
      </c>
      <c r="M1245" s="94" t="str">
        <f t="shared" si="3"/>
        <v/>
      </c>
    </row>
    <row r="1246" ht="15.75" customHeight="1">
      <c r="B1246" s="77">
        <f t="shared" si="1"/>
        <v>0</v>
      </c>
      <c r="C1246" s="67"/>
      <c r="D1246" s="78"/>
      <c r="E1246" s="101"/>
      <c r="F1246" s="108"/>
      <c r="G1246" s="120"/>
      <c r="H1246" s="101"/>
      <c r="I1246" s="93"/>
      <c r="J1246" s="91"/>
      <c r="L1246" s="94" t="str">
        <f t="shared" si="2"/>
        <v>No infirmation</v>
      </c>
      <c r="M1246" s="94" t="str">
        <f t="shared" si="3"/>
        <v/>
      </c>
    </row>
    <row r="1247" ht="15.75" customHeight="1">
      <c r="B1247" s="77">
        <f t="shared" si="1"/>
        <v>0</v>
      </c>
      <c r="C1247" s="67"/>
      <c r="D1247" s="78"/>
      <c r="E1247" s="101"/>
      <c r="F1247" s="108"/>
      <c r="G1247" s="120"/>
      <c r="H1247" s="101"/>
      <c r="I1247" s="93"/>
      <c r="J1247" s="91"/>
      <c r="L1247" s="94" t="str">
        <f t="shared" si="2"/>
        <v>No infirmation</v>
      </c>
      <c r="M1247" s="94" t="str">
        <f t="shared" si="3"/>
        <v/>
      </c>
    </row>
    <row r="1248" ht="15.75" customHeight="1">
      <c r="B1248" s="77">
        <f t="shared" si="1"/>
        <v>0</v>
      </c>
      <c r="C1248" s="67"/>
      <c r="D1248" s="78"/>
      <c r="E1248" s="101"/>
      <c r="F1248" s="108"/>
      <c r="G1248" s="120"/>
      <c r="H1248" s="101"/>
      <c r="I1248" s="93"/>
      <c r="J1248" s="91"/>
      <c r="L1248" s="94" t="str">
        <f t="shared" si="2"/>
        <v>No infirmation</v>
      </c>
      <c r="M1248" s="94" t="str">
        <f t="shared" si="3"/>
        <v/>
      </c>
    </row>
    <row r="1249" ht="15.75" customHeight="1">
      <c r="B1249" s="77">
        <f t="shared" si="1"/>
        <v>0</v>
      </c>
      <c r="C1249" s="67"/>
      <c r="D1249" s="78"/>
      <c r="E1249" s="101"/>
      <c r="F1249" s="108"/>
      <c r="G1249" s="120"/>
      <c r="H1249" s="101"/>
      <c r="I1249" s="93"/>
      <c r="J1249" s="91"/>
      <c r="L1249" s="94" t="str">
        <f t="shared" si="2"/>
        <v>No infirmation</v>
      </c>
      <c r="M1249" s="94" t="str">
        <f t="shared" si="3"/>
        <v/>
      </c>
    </row>
    <row r="1250" ht="15.75" customHeight="1">
      <c r="B1250" s="77">
        <f t="shared" si="1"/>
        <v>0</v>
      </c>
      <c r="C1250" s="67"/>
      <c r="D1250" s="78"/>
      <c r="E1250" s="101"/>
      <c r="F1250" s="108"/>
      <c r="G1250" s="120"/>
      <c r="H1250" s="101"/>
      <c r="I1250" s="93"/>
      <c r="J1250" s="91"/>
      <c r="L1250" s="94" t="str">
        <f t="shared" si="2"/>
        <v>No infirmation</v>
      </c>
      <c r="M1250" s="94" t="str">
        <f t="shared" si="3"/>
        <v/>
      </c>
    </row>
    <row r="1251" ht="15.75" customHeight="1">
      <c r="B1251" s="77">
        <f t="shared" si="1"/>
        <v>0</v>
      </c>
      <c r="C1251" s="67"/>
      <c r="D1251" s="78"/>
      <c r="E1251" s="101"/>
      <c r="F1251" s="108"/>
      <c r="G1251" s="120"/>
      <c r="H1251" s="101"/>
      <c r="I1251" s="93"/>
      <c r="J1251" s="91"/>
      <c r="L1251" s="94" t="str">
        <f t="shared" si="2"/>
        <v>No infirmation</v>
      </c>
      <c r="M1251" s="94" t="str">
        <f t="shared" si="3"/>
        <v/>
      </c>
    </row>
    <row r="1252" ht="15.75" customHeight="1">
      <c r="B1252" s="77">
        <f t="shared" si="1"/>
        <v>0</v>
      </c>
      <c r="C1252" s="67"/>
      <c r="D1252" s="78"/>
      <c r="E1252" s="101"/>
      <c r="F1252" s="108"/>
      <c r="G1252" s="120"/>
      <c r="H1252" s="101"/>
      <c r="I1252" s="93"/>
      <c r="J1252" s="91"/>
      <c r="L1252" s="94" t="str">
        <f t="shared" si="2"/>
        <v>No infirmation</v>
      </c>
      <c r="M1252" s="94" t="str">
        <f t="shared" si="3"/>
        <v/>
      </c>
    </row>
    <row r="1253" ht="15.75" customHeight="1">
      <c r="B1253" s="77">
        <f t="shared" si="1"/>
        <v>0</v>
      </c>
      <c r="C1253" s="67"/>
      <c r="D1253" s="78"/>
      <c r="E1253" s="101"/>
      <c r="F1253" s="108"/>
      <c r="G1253" s="120"/>
      <c r="H1253" s="101"/>
      <c r="I1253" s="93"/>
      <c r="J1253" s="91"/>
      <c r="L1253" s="94" t="str">
        <f t="shared" si="2"/>
        <v>No infirmation</v>
      </c>
      <c r="M1253" s="94" t="str">
        <f t="shared" si="3"/>
        <v/>
      </c>
    </row>
    <row r="1254" ht="15.75" customHeight="1">
      <c r="B1254" s="77">
        <f t="shared" si="1"/>
        <v>0</v>
      </c>
      <c r="C1254" s="67"/>
      <c r="D1254" s="78"/>
      <c r="E1254" s="101"/>
      <c r="F1254" s="108"/>
      <c r="G1254" s="120"/>
      <c r="H1254" s="101"/>
      <c r="I1254" s="93"/>
      <c r="J1254" s="91"/>
      <c r="L1254" s="94" t="str">
        <f t="shared" si="2"/>
        <v>No infirmation</v>
      </c>
      <c r="M1254" s="94" t="str">
        <f t="shared" si="3"/>
        <v/>
      </c>
    </row>
    <row r="1255" ht="15.75" customHeight="1">
      <c r="B1255" s="77">
        <f t="shared" si="1"/>
        <v>0</v>
      </c>
      <c r="C1255" s="67"/>
      <c r="D1255" s="78"/>
      <c r="E1255" s="101"/>
      <c r="F1255" s="108"/>
      <c r="G1255" s="120"/>
      <c r="H1255" s="101"/>
      <c r="I1255" s="93"/>
      <c r="J1255" s="91"/>
      <c r="L1255" s="94" t="str">
        <f t="shared" si="2"/>
        <v>No infirmation</v>
      </c>
      <c r="M1255" s="94" t="str">
        <f t="shared" si="3"/>
        <v/>
      </c>
    </row>
    <row r="1256" ht="15.75" customHeight="1">
      <c r="B1256" s="77">
        <f t="shared" si="1"/>
        <v>0</v>
      </c>
      <c r="C1256" s="67"/>
      <c r="D1256" s="78"/>
      <c r="E1256" s="101"/>
      <c r="F1256" s="108"/>
      <c r="G1256" s="120"/>
      <c r="H1256" s="101"/>
      <c r="I1256" s="93"/>
      <c r="J1256" s="91"/>
      <c r="L1256" s="94" t="str">
        <f t="shared" si="2"/>
        <v>No infirmation</v>
      </c>
      <c r="M1256" s="94" t="str">
        <f t="shared" si="3"/>
        <v/>
      </c>
    </row>
    <row r="1257" ht="15.75" customHeight="1">
      <c r="B1257" s="77">
        <f t="shared" si="1"/>
        <v>0</v>
      </c>
      <c r="C1257" s="67"/>
      <c r="D1257" s="78"/>
      <c r="E1257" s="101"/>
      <c r="F1257" s="108"/>
      <c r="G1257" s="120"/>
      <c r="H1257" s="101"/>
      <c r="I1257" s="93"/>
      <c r="J1257" s="91"/>
      <c r="L1257" s="94" t="str">
        <f t="shared" si="2"/>
        <v>No infirmation</v>
      </c>
      <c r="M1257" s="94" t="str">
        <f t="shared" si="3"/>
        <v/>
      </c>
    </row>
    <row r="1258" ht="15.75" customHeight="1">
      <c r="B1258" s="77">
        <f t="shared" si="1"/>
        <v>0</v>
      </c>
      <c r="C1258" s="67"/>
      <c r="D1258" s="78"/>
      <c r="E1258" s="101"/>
      <c r="F1258" s="108"/>
      <c r="G1258" s="120"/>
      <c r="H1258" s="101"/>
      <c r="I1258" s="93"/>
      <c r="J1258" s="91"/>
      <c r="L1258" s="94" t="str">
        <f t="shared" si="2"/>
        <v>No infirmation</v>
      </c>
      <c r="M1258" s="94" t="str">
        <f t="shared" si="3"/>
        <v/>
      </c>
    </row>
    <row r="1259" ht="15.75" customHeight="1">
      <c r="B1259" s="77">
        <f t="shared" si="1"/>
        <v>0</v>
      </c>
      <c r="C1259" s="67"/>
      <c r="D1259" s="78"/>
      <c r="E1259" s="101"/>
      <c r="F1259" s="108"/>
      <c r="G1259" s="120"/>
      <c r="H1259" s="101"/>
      <c r="I1259" s="93"/>
      <c r="J1259" s="91"/>
      <c r="L1259" s="94" t="str">
        <f t="shared" si="2"/>
        <v>No infirmation</v>
      </c>
      <c r="M1259" s="94" t="str">
        <f t="shared" si="3"/>
        <v/>
      </c>
    </row>
    <row r="1260" ht="15.75" customHeight="1">
      <c r="B1260" s="77">
        <f t="shared" si="1"/>
        <v>0</v>
      </c>
      <c r="C1260" s="67"/>
      <c r="D1260" s="78"/>
      <c r="E1260" s="101"/>
      <c r="F1260" s="108"/>
      <c r="G1260" s="120"/>
      <c r="H1260" s="101"/>
      <c r="I1260" s="93"/>
      <c r="J1260" s="91"/>
      <c r="L1260" s="94" t="str">
        <f t="shared" si="2"/>
        <v>No infirmation</v>
      </c>
      <c r="M1260" s="94" t="str">
        <f t="shared" si="3"/>
        <v/>
      </c>
    </row>
    <row r="1261" ht="15.75" customHeight="1">
      <c r="B1261" s="77">
        <f t="shared" si="1"/>
        <v>0</v>
      </c>
      <c r="C1261" s="67"/>
      <c r="D1261" s="78"/>
      <c r="E1261" s="101"/>
      <c r="F1261" s="108"/>
      <c r="G1261" s="120"/>
      <c r="H1261" s="101"/>
      <c r="I1261" s="93"/>
      <c r="J1261" s="91"/>
      <c r="L1261" s="94" t="str">
        <f t="shared" si="2"/>
        <v>No infirmation</v>
      </c>
      <c r="M1261" s="94" t="str">
        <f t="shared" si="3"/>
        <v/>
      </c>
    </row>
    <row r="1262" ht="15.75" customHeight="1">
      <c r="B1262" s="77">
        <f t="shared" si="1"/>
        <v>0</v>
      </c>
      <c r="C1262" s="67"/>
      <c r="D1262" s="78"/>
      <c r="E1262" s="101"/>
      <c r="F1262" s="108"/>
      <c r="G1262" s="120"/>
      <c r="H1262" s="101"/>
      <c r="I1262" s="93"/>
      <c r="J1262" s="91"/>
      <c r="L1262" s="94" t="str">
        <f t="shared" si="2"/>
        <v>No infirmation</v>
      </c>
      <c r="M1262" s="94" t="str">
        <f t="shared" si="3"/>
        <v/>
      </c>
    </row>
    <row r="1263" ht="15.75" customHeight="1">
      <c r="B1263" s="77">
        <f t="shared" si="1"/>
        <v>0</v>
      </c>
      <c r="C1263" s="67"/>
      <c r="D1263" s="78"/>
      <c r="E1263" s="101"/>
      <c r="F1263" s="108"/>
      <c r="G1263" s="120"/>
      <c r="H1263" s="101"/>
      <c r="I1263" s="93"/>
      <c r="J1263" s="91"/>
      <c r="L1263" s="94" t="str">
        <f t="shared" si="2"/>
        <v>No infirmation</v>
      </c>
      <c r="M1263" s="94" t="str">
        <f t="shared" si="3"/>
        <v/>
      </c>
    </row>
    <row r="1264" ht="15.75" customHeight="1">
      <c r="B1264" s="77">
        <f t="shared" si="1"/>
        <v>0</v>
      </c>
      <c r="C1264" s="67"/>
      <c r="D1264" s="78"/>
      <c r="E1264" s="101"/>
      <c r="F1264" s="108"/>
      <c r="G1264" s="120"/>
      <c r="H1264" s="101"/>
      <c r="I1264" s="93"/>
      <c r="J1264" s="91"/>
      <c r="L1264" s="94" t="str">
        <f t="shared" si="2"/>
        <v>No infirmation</v>
      </c>
      <c r="M1264" s="94" t="str">
        <f t="shared" si="3"/>
        <v/>
      </c>
    </row>
    <row r="1265" ht="15.75" customHeight="1">
      <c r="B1265" s="77">
        <f t="shared" si="1"/>
        <v>0</v>
      </c>
      <c r="C1265" s="67"/>
      <c r="D1265" s="78"/>
      <c r="E1265" s="101"/>
      <c r="F1265" s="108"/>
      <c r="G1265" s="120"/>
      <c r="H1265" s="101"/>
      <c r="I1265" s="93"/>
      <c r="J1265" s="91"/>
      <c r="L1265" s="94" t="str">
        <f t="shared" si="2"/>
        <v>No infirmation</v>
      </c>
      <c r="M1265" s="94" t="str">
        <f t="shared" si="3"/>
        <v/>
      </c>
    </row>
    <row r="1266" ht="15.75" customHeight="1">
      <c r="B1266" s="77">
        <f t="shared" si="1"/>
        <v>0</v>
      </c>
      <c r="C1266" s="67"/>
      <c r="D1266" s="78"/>
      <c r="E1266" s="101"/>
      <c r="F1266" s="108"/>
      <c r="G1266" s="120"/>
      <c r="H1266" s="101"/>
      <c r="I1266" s="93"/>
      <c r="J1266" s="91"/>
      <c r="L1266" s="94" t="str">
        <f t="shared" si="2"/>
        <v>No infirmation</v>
      </c>
      <c r="M1266" s="94" t="str">
        <f t="shared" si="3"/>
        <v/>
      </c>
    </row>
    <row r="1267" ht="15.75" customHeight="1">
      <c r="B1267" s="77">
        <f t="shared" si="1"/>
        <v>0</v>
      </c>
      <c r="C1267" s="67"/>
      <c r="D1267" s="78"/>
      <c r="E1267" s="101"/>
      <c r="F1267" s="108"/>
      <c r="G1267" s="120"/>
      <c r="H1267" s="101"/>
      <c r="I1267" s="93"/>
      <c r="J1267" s="91"/>
      <c r="L1267" s="94" t="str">
        <f t="shared" si="2"/>
        <v>No infirmation</v>
      </c>
      <c r="M1267" s="94" t="str">
        <f t="shared" si="3"/>
        <v/>
      </c>
    </row>
    <row r="1268" ht="15.75" customHeight="1">
      <c r="B1268" s="77">
        <f t="shared" si="1"/>
        <v>0</v>
      </c>
      <c r="C1268" s="67"/>
      <c r="D1268" s="78"/>
      <c r="E1268" s="101"/>
      <c r="F1268" s="108"/>
      <c r="G1268" s="120"/>
      <c r="H1268" s="101"/>
      <c r="I1268" s="93"/>
      <c r="J1268" s="91"/>
      <c r="L1268" s="94" t="str">
        <f t="shared" si="2"/>
        <v>No infirmation</v>
      </c>
      <c r="M1268" s="94" t="str">
        <f t="shared" si="3"/>
        <v/>
      </c>
    </row>
    <row r="1269" ht="15.75" customHeight="1">
      <c r="B1269" s="77">
        <f t="shared" si="1"/>
        <v>0</v>
      </c>
      <c r="C1269" s="67"/>
      <c r="D1269" s="78"/>
      <c r="E1269" s="101"/>
      <c r="F1269" s="108"/>
      <c r="G1269" s="120"/>
      <c r="H1269" s="101"/>
      <c r="I1269" s="93"/>
      <c r="J1269" s="91"/>
      <c r="L1269" s="94" t="str">
        <f t="shared" si="2"/>
        <v>No infirmation</v>
      </c>
      <c r="M1269" s="94" t="str">
        <f t="shared" si="3"/>
        <v/>
      </c>
    </row>
    <row r="1270" ht="15.75" customHeight="1">
      <c r="B1270" s="77">
        <f t="shared" si="1"/>
        <v>0</v>
      </c>
      <c r="C1270" s="67"/>
      <c r="D1270" s="78"/>
      <c r="E1270" s="101"/>
      <c r="F1270" s="108"/>
      <c r="G1270" s="120"/>
      <c r="H1270" s="101"/>
      <c r="I1270" s="93"/>
      <c r="J1270" s="91"/>
      <c r="L1270" s="94" t="str">
        <f t="shared" si="2"/>
        <v>No infirmation</v>
      </c>
      <c r="M1270" s="94" t="str">
        <f t="shared" si="3"/>
        <v/>
      </c>
    </row>
    <row r="1271" ht="15.75" customHeight="1">
      <c r="B1271" s="77">
        <f t="shared" si="1"/>
        <v>0</v>
      </c>
      <c r="C1271" s="67"/>
      <c r="D1271" s="78"/>
      <c r="E1271" s="101"/>
      <c r="F1271" s="108"/>
      <c r="G1271" s="120"/>
      <c r="H1271" s="101"/>
      <c r="I1271" s="93"/>
      <c r="J1271" s="91"/>
      <c r="L1271" s="94" t="str">
        <f t="shared" si="2"/>
        <v>No infirmation</v>
      </c>
      <c r="M1271" s="94" t="str">
        <f t="shared" si="3"/>
        <v/>
      </c>
    </row>
    <row r="1272" ht="15.75" customHeight="1">
      <c r="B1272" s="77">
        <f t="shared" si="1"/>
        <v>0</v>
      </c>
      <c r="C1272" s="67"/>
      <c r="D1272" s="78"/>
      <c r="E1272" s="101"/>
      <c r="F1272" s="108"/>
      <c r="G1272" s="120"/>
      <c r="H1272" s="101"/>
      <c r="I1272" s="93"/>
      <c r="J1272" s="91"/>
      <c r="L1272" s="94" t="str">
        <f t="shared" si="2"/>
        <v>No infirmation</v>
      </c>
      <c r="M1272" s="94" t="str">
        <f t="shared" si="3"/>
        <v/>
      </c>
    </row>
    <row r="1273" ht="15.75" customHeight="1">
      <c r="B1273" s="77">
        <f t="shared" si="1"/>
        <v>0</v>
      </c>
      <c r="C1273" s="67"/>
      <c r="D1273" s="78"/>
      <c r="E1273" s="101"/>
      <c r="F1273" s="108"/>
      <c r="G1273" s="120"/>
      <c r="H1273" s="101"/>
      <c r="I1273" s="93"/>
      <c r="J1273" s="91"/>
      <c r="L1273" s="94" t="str">
        <f t="shared" si="2"/>
        <v>No infirmation</v>
      </c>
      <c r="M1273" s="94" t="str">
        <f t="shared" si="3"/>
        <v/>
      </c>
    </row>
    <row r="1274" ht="15.75" customHeight="1">
      <c r="B1274" s="77">
        <f t="shared" si="1"/>
        <v>0</v>
      </c>
      <c r="C1274" s="67"/>
      <c r="D1274" s="78"/>
      <c r="E1274" s="101"/>
      <c r="F1274" s="108"/>
      <c r="G1274" s="120"/>
      <c r="H1274" s="101"/>
      <c r="I1274" s="93"/>
      <c r="J1274" s="91"/>
      <c r="L1274" s="94" t="str">
        <f t="shared" si="2"/>
        <v>No infirmation</v>
      </c>
      <c r="M1274" s="94" t="str">
        <f t="shared" si="3"/>
        <v/>
      </c>
    </row>
    <row r="1275" ht="15.75" customHeight="1">
      <c r="B1275" s="77">
        <f t="shared" si="1"/>
        <v>0</v>
      </c>
      <c r="C1275" s="67"/>
      <c r="D1275" s="78"/>
      <c r="E1275" s="101"/>
      <c r="F1275" s="108"/>
      <c r="G1275" s="120"/>
      <c r="H1275" s="101"/>
      <c r="I1275" s="93"/>
      <c r="J1275" s="91"/>
      <c r="L1275" s="94" t="str">
        <f t="shared" si="2"/>
        <v>No infirmation</v>
      </c>
      <c r="M1275" s="94" t="str">
        <f t="shared" si="3"/>
        <v/>
      </c>
    </row>
    <row r="1276" ht="15.75" customHeight="1">
      <c r="B1276" s="77">
        <f t="shared" si="1"/>
        <v>0</v>
      </c>
      <c r="C1276" s="67"/>
      <c r="D1276" s="78"/>
      <c r="E1276" s="101"/>
      <c r="F1276" s="108"/>
      <c r="G1276" s="120"/>
      <c r="H1276" s="101"/>
      <c r="I1276" s="93"/>
      <c r="J1276" s="91"/>
      <c r="L1276" s="94" t="str">
        <f t="shared" si="2"/>
        <v>No infirmation</v>
      </c>
      <c r="M1276" s="94" t="str">
        <f t="shared" si="3"/>
        <v/>
      </c>
    </row>
    <row r="1277" ht="15.75" customHeight="1">
      <c r="B1277" s="77">
        <f t="shared" si="1"/>
        <v>0</v>
      </c>
      <c r="C1277" s="67"/>
      <c r="D1277" s="78"/>
      <c r="E1277" s="101"/>
      <c r="F1277" s="108"/>
      <c r="G1277" s="120"/>
      <c r="H1277" s="101"/>
      <c r="I1277" s="93"/>
      <c r="J1277" s="91"/>
      <c r="L1277" s="94" t="str">
        <f t="shared" si="2"/>
        <v>No infirmation</v>
      </c>
      <c r="M1277" s="94" t="str">
        <f t="shared" si="3"/>
        <v/>
      </c>
    </row>
    <row r="1278" ht="15.75" customHeight="1">
      <c r="B1278" s="77">
        <f t="shared" si="1"/>
        <v>0</v>
      </c>
      <c r="C1278" s="67"/>
      <c r="D1278" s="78"/>
      <c r="E1278" s="101"/>
      <c r="F1278" s="108"/>
      <c r="G1278" s="120"/>
      <c r="H1278" s="101"/>
      <c r="I1278" s="93"/>
      <c r="J1278" s="91"/>
      <c r="L1278" s="94" t="str">
        <f t="shared" si="2"/>
        <v>No infirmation</v>
      </c>
      <c r="M1278" s="94" t="str">
        <f t="shared" si="3"/>
        <v/>
      </c>
    </row>
    <row r="1279" ht="15.75" customHeight="1">
      <c r="B1279" s="77">
        <f t="shared" si="1"/>
        <v>0</v>
      </c>
      <c r="C1279" s="67"/>
      <c r="D1279" s="78"/>
      <c r="E1279" s="101"/>
      <c r="F1279" s="108"/>
      <c r="G1279" s="120"/>
      <c r="H1279" s="101"/>
      <c r="I1279" s="93"/>
      <c r="J1279" s="91"/>
      <c r="L1279" s="94" t="str">
        <f t="shared" si="2"/>
        <v>No infirmation</v>
      </c>
      <c r="M1279" s="94" t="str">
        <f t="shared" si="3"/>
        <v/>
      </c>
    </row>
    <row r="1280" ht="15.75" customHeight="1">
      <c r="B1280" s="77">
        <f t="shared" si="1"/>
        <v>0</v>
      </c>
      <c r="C1280" s="67"/>
      <c r="D1280" s="78"/>
      <c r="E1280" s="101"/>
      <c r="F1280" s="108"/>
      <c r="G1280" s="120"/>
      <c r="H1280" s="101"/>
      <c r="I1280" s="93"/>
      <c r="J1280" s="91"/>
      <c r="L1280" s="94" t="str">
        <f t="shared" si="2"/>
        <v>No infirmation</v>
      </c>
      <c r="M1280" s="94" t="str">
        <f t="shared" si="3"/>
        <v/>
      </c>
    </row>
    <row r="1281" ht="15.75" customHeight="1">
      <c r="B1281" s="77">
        <f t="shared" si="1"/>
        <v>0</v>
      </c>
      <c r="C1281" s="67"/>
      <c r="D1281" s="78"/>
      <c r="E1281" s="101"/>
      <c r="F1281" s="108"/>
      <c r="G1281" s="120"/>
      <c r="H1281" s="101"/>
      <c r="I1281" s="93"/>
      <c r="J1281" s="91"/>
      <c r="L1281" s="94" t="str">
        <f t="shared" si="2"/>
        <v>No infirmation</v>
      </c>
      <c r="M1281" s="94" t="str">
        <f t="shared" si="3"/>
        <v/>
      </c>
    </row>
    <row r="1282" ht="15.75" customHeight="1">
      <c r="B1282" s="77">
        <f t="shared" si="1"/>
        <v>0</v>
      </c>
      <c r="C1282" s="67"/>
      <c r="D1282" s="78"/>
      <c r="E1282" s="101"/>
      <c r="F1282" s="108"/>
      <c r="G1282" s="120"/>
      <c r="H1282" s="101"/>
      <c r="I1282" s="93"/>
      <c r="J1282" s="91"/>
      <c r="L1282" s="94" t="str">
        <f t="shared" si="2"/>
        <v>No infirmation</v>
      </c>
      <c r="M1282" s="94" t="str">
        <f t="shared" si="3"/>
        <v/>
      </c>
    </row>
    <row r="1283" ht="15.75" customHeight="1">
      <c r="B1283" s="77">
        <f t="shared" si="1"/>
        <v>0</v>
      </c>
      <c r="C1283" s="67"/>
      <c r="D1283" s="78"/>
      <c r="E1283" s="101"/>
      <c r="F1283" s="108"/>
      <c r="G1283" s="120"/>
      <c r="H1283" s="101"/>
      <c r="I1283" s="93"/>
      <c r="J1283" s="91"/>
      <c r="L1283" s="94" t="str">
        <f t="shared" si="2"/>
        <v>No infirmation</v>
      </c>
      <c r="M1283" s="94" t="str">
        <f t="shared" si="3"/>
        <v/>
      </c>
    </row>
    <row r="1284" ht="15.75" customHeight="1">
      <c r="B1284" s="77">
        <f t="shared" si="1"/>
        <v>0</v>
      </c>
      <c r="C1284" s="67"/>
      <c r="D1284" s="78"/>
      <c r="E1284" s="101"/>
      <c r="F1284" s="108"/>
      <c r="G1284" s="120"/>
      <c r="H1284" s="101"/>
      <c r="I1284" s="93"/>
      <c r="J1284" s="91"/>
      <c r="L1284" s="94" t="str">
        <f t="shared" si="2"/>
        <v>No infirmation</v>
      </c>
      <c r="M1284" s="94" t="str">
        <f t="shared" si="3"/>
        <v/>
      </c>
    </row>
    <row r="1285" ht="15.75" customHeight="1">
      <c r="B1285" s="77">
        <f t="shared" si="1"/>
        <v>0</v>
      </c>
      <c r="C1285" s="67"/>
      <c r="D1285" s="78"/>
      <c r="E1285" s="101"/>
      <c r="F1285" s="108"/>
      <c r="G1285" s="120"/>
      <c r="H1285" s="101"/>
      <c r="I1285" s="93"/>
      <c r="J1285" s="91"/>
      <c r="L1285" s="94" t="str">
        <f t="shared" si="2"/>
        <v>No infirmation</v>
      </c>
      <c r="M1285" s="94" t="str">
        <f t="shared" si="3"/>
        <v/>
      </c>
    </row>
    <row r="1286" ht="15.75" customHeight="1">
      <c r="B1286" s="77">
        <f t="shared" si="1"/>
        <v>0</v>
      </c>
      <c r="C1286" s="67"/>
      <c r="D1286" s="78"/>
      <c r="E1286" s="101"/>
      <c r="F1286" s="108"/>
      <c r="G1286" s="120"/>
      <c r="H1286" s="101"/>
      <c r="I1286" s="93"/>
      <c r="J1286" s="91"/>
      <c r="L1286" s="94" t="str">
        <f t="shared" si="2"/>
        <v>No infirmation</v>
      </c>
      <c r="M1286" s="94" t="str">
        <f t="shared" si="3"/>
        <v/>
      </c>
    </row>
    <row r="1287" ht="15.75" customHeight="1">
      <c r="B1287" s="77">
        <f t="shared" si="1"/>
        <v>0</v>
      </c>
      <c r="C1287" s="67"/>
      <c r="D1287" s="78"/>
      <c r="E1287" s="101"/>
      <c r="F1287" s="108"/>
      <c r="G1287" s="120"/>
      <c r="H1287" s="101"/>
      <c r="I1287" s="93"/>
      <c r="J1287" s="91"/>
      <c r="L1287" s="94" t="str">
        <f t="shared" si="2"/>
        <v>No infirmation</v>
      </c>
      <c r="M1287" s="94" t="str">
        <f t="shared" si="3"/>
        <v/>
      </c>
    </row>
    <row r="1288" ht="15.75" customHeight="1">
      <c r="B1288" s="77">
        <f t="shared" si="1"/>
        <v>0</v>
      </c>
      <c r="C1288" s="67"/>
      <c r="D1288" s="78"/>
      <c r="E1288" s="101"/>
      <c r="F1288" s="108"/>
      <c r="G1288" s="120"/>
      <c r="H1288" s="101"/>
      <c r="I1288" s="93"/>
      <c r="J1288" s="91"/>
      <c r="L1288" s="94" t="str">
        <f t="shared" si="2"/>
        <v>No infirmation</v>
      </c>
      <c r="M1288" s="94" t="str">
        <f t="shared" si="3"/>
        <v/>
      </c>
    </row>
    <row r="1289" ht="15.75" customHeight="1">
      <c r="B1289" s="77">
        <f t="shared" si="1"/>
        <v>0</v>
      </c>
      <c r="C1289" s="67"/>
      <c r="D1289" s="78"/>
      <c r="E1289" s="101"/>
      <c r="F1289" s="108"/>
      <c r="G1289" s="120"/>
      <c r="H1289" s="101"/>
      <c r="I1289" s="93"/>
      <c r="J1289" s="91"/>
      <c r="L1289" s="94" t="str">
        <f t="shared" si="2"/>
        <v>No infirmation</v>
      </c>
      <c r="M1289" s="94" t="str">
        <f t="shared" si="3"/>
        <v/>
      </c>
    </row>
    <row r="1290" ht="15.75" customHeight="1">
      <c r="B1290" s="77">
        <f t="shared" si="1"/>
        <v>0</v>
      </c>
      <c r="C1290" s="67"/>
      <c r="D1290" s="78"/>
      <c r="E1290" s="101"/>
      <c r="F1290" s="108"/>
      <c r="G1290" s="120"/>
      <c r="H1290" s="101"/>
      <c r="I1290" s="93"/>
      <c r="J1290" s="91"/>
      <c r="L1290" s="94" t="str">
        <f t="shared" si="2"/>
        <v>No infirmation</v>
      </c>
      <c r="M1290" s="94" t="str">
        <f t="shared" si="3"/>
        <v/>
      </c>
    </row>
    <row r="1291" ht="15.75" customHeight="1">
      <c r="B1291" s="77">
        <f t="shared" si="1"/>
        <v>0</v>
      </c>
      <c r="C1291" s="67"/>
      <c r="D1291" s="78"/>
      <c r="E1291" s="101"/>
      <c r="F1291" s="108"/>
      <c r="G1291" s="120"/>
      <c r="H1291" s="101"/>
      <c r="I1291" s="93"/>
      <c r="J1291" s="91"/>
      <c r="L1291" s="94" t="str">
        <f t="shared" si="2"/>
        <v>No infirmation</v>
      </c>
      <c r="M1291" s="94" t="str">
        <f t="shared" si="3"/>
        <v/>
      </c>
    </row>
    <row r="1292" ht="15.75" customHeight="1">
      <c r="B1292" s="77">
        <f t="shared" si="1"/>
        <v>0</v>
      </c>
      <c r="C1292" s="67"/>
      <c r="D1292" s="78"/>
      <c r="E1292" s="101"/>
      <c r="F1292" s="108"/>
      <c r="G1292" s="120"/>
      <c r="H1292" s="101"/>
      <c r="I1292" s="93"/>
      <c r="J1292" s="91"/>
      <c r="L1292" s="94" t="str">
        <f t="shared" si="2"/>
        <v>No infirmation</v>
      </c>
      <c r="M1292" s="94" t="str">
        <f t="shared" si="3"/>
        <v/>
      </c>
    </row>
    <row r="1293" ht="15.75" customHeight="1">
      <c r="B1293" s="77">
        <f t="shared" si="1"/>
        <v>0</v>
      </c>
      <c r="C1293" s="67"/>
      <c r="D1293" s="78"/>
      <c r="E1293" s="101"/>
      <c r="F1293" s="108"/>
      <c r="G1293" s="120"/>
      <c r="H1293" s="101"/>
      <c r="I1293" s="93"/>
      <c r="J1293" s="91"/>
      <c r="L1293" s="94" t="str">
        <f t="shared" si="2"/>
        <v>No infirmation</v>
      </c>
      <c r="M1293" s="94" t="str">
        <f t="shared" si="3"/>
        <v/>
      </c>
    </row>
    <row r="1294" ht="15.75" customHeight="1">
      <c r="B1294" s="77">
        <f t="shared" si="1"/>
        <v>0</v>
      </c>
      <c r="C1294" s="67"/>
      <c r="D1294" s="78"/>
      <c r="E1294" s="101"/>
      <c r="F1294" s="108"/>
      <c r="G1294" s="120"/>
      <c r="H1294" s="101"/>
      <c r="I1294" s="93"/>
      <c r="J1294" s="91"/>
      <c r="L1294" s="94" t="str">
        <f t="shared" si="2"/>
        <v>No infirmation</v>
      </c>
      <c r="M1294" s="94" t="str">
        <f t="shared" si="3"/>
        <v/>
      </c>
    </row>
    <row r="1295" ht="15.75" customHeight="1">
      <c r="B1295" s="77">
        <f t="shared" si="1"/>
        <v>0</v>
      </c>
      <c r="C1295" s="67"/>
      <c r="D1295" s="78"/>
      <c r="E1295" s="101"/>
      <c r="F1295" s="108"/>
      <c r="G1295" s="120"/>
      <c r="H1295" s="101"/>
      <c r="I1295" s="93"/>
      <c r="J1295" s="91"/>
      <c r="L1295" s="94" t="str">
        <f t="shared" si="2"/>
        <v>No infirmation</v>
      </c>
      <c r="M1295" s="94" t="str">
        <f t="shared" si="3"/>
        <v/>
      </c>
    </row>
    <row r="1296" ht="15.75" customHeight="1">
      <c r="B1296" s="77">
        <f t="shared" si="1"/>
        <v>0</v>
      </c>
      <c r="C1296" s="67"/>
      <c r="D1296" s="78"/>
      <c r="E1296" s="101"/>
      <c r="F1296" s="108"/>
      <c r="G1296" s="120"/>
      <c r="H1296" s="101"/>
      <c r="I1296" s="93"/>
      <c r="J1296" s="91"/>
      <c r="L1296" s="94" t="str">
        <f t="shared" si="2"/>
        <v>No infirmation</v>
      </c>
      <c r="M1296" s="94" t="str">
        <f t="shared" si="3"/>
        <v/>
      </c>
    </row>
    <row r="1297" ht="15.75" customHeight="1">
      <c r="B1297" s="77">
        <f t="shared" si="1"/>
        <v>0</v>
      </c>
      <c r="C1297" s="67"/>
      <c r="D1297" s="78"/>
      <c r="E1297" s="101"/>
      <c r="F1297" s="108"/>
      <c r="G1297" s="120"/>
      <c r="H1297" s="101"/>
      <c r="I1297" s="93"/>
      <c r="J1297" s="91"/>
      <c r="L1297" s="94" t="str">
        <f t="shared" si="2"/>
        <v>No infirmation</v>
      </c>
      <c r="M1297" s="94" t="str">
        <f t="shared" si="3"/>
        <v/>
      </c>
    </row>
    <row r="1298" ht="15.75" customHeight="1">
      <c r="B1298" s="77">
        <f t="shared" si="1"/>
        <v>0</v>
      </c>
      <c r="C1298" s="67"/>
      <c r="D1298" s="78"/>
      <c r="E1298" s="101"/>
      <c r="F1298" s="108"/>
      <c r="G1298" s="120"/>
      <c r="H1298" s="101"/>
      <c r="I1298" s="93"/>
      <c r="J1298" s="91"/>
      <c r="L1298" s="94" t="str">
        <f t="shared" si="2"/>
        <v>No infirmation</v>
      </c>
      <c r="M1298" s="94" t="str">
        <f t="shared" si="3"/>
        <v/>
      </c>
    </row>
    <row r="1299" ht="15.75" customHeight="1">
      <c r="B1299" s="77">
        <f t="shared" si="1"/>
        <v>0</v>
      </c>
      <c r="C1299" s="67"/>
      <c r="D1299" s="78"/>
      <c r="E1299" s="101"/>
      <c r="F1299" s="108"/>
      <c r="G1299" s="120"/>
      <c r="H1299" s="101"/>
      <c r="I1299" s="93"/>
      <c r="J1299" s="91"/>
      <c r="L1299" s="94" t="str">
        <f t="shared" si="2"/>
        <v>No infirmation</v>
      </c>
      <c r="M1299" s="94" t="str">
        <f t="shared" si="3"/>
        <v/>
      </c>
    </row>
    <row r="1300" ht="15.75" customHeight="1">
      <c r="B1300" s="77">
        <f t="shared" si="1"/>
        <v>0</v>
      </c>
      <c r="C1300" s="67"/>
      <c r="D1300" s="78"/>
      <c r="E1300" s="101"/>
      <c r="F1300" s="108"/>
      <c r="G1300" s="120"/>
      <c r="H1300" s="101"/>
      <c r="I1300" s="93"/>
      <c r="J1300" s="91"/>
      <c r="L1300" s="94" t="str">
        <f t="shared" si="2"/>
        <v>No infirmation</v>
      </c>
      <c r="M1300" s="94" t="str">
        <f t="shared" si="3"/>
        <v/>
      </c>
    </row>
    <row r="1301" ht="15.75" customHeight="1">
      <c r="B1301" s="77">
        <f t="shared" si="1"/>
        <v>0</v>
      </c>
      <c r="C1301" s="67"/>
      <c r="D1301" s="78"/>
      <c r="E1301" s="101"/>
      <c r="F1301" s="108"/>
      <c r="G1301" s="120"/>
      <c r="H1301" s="101"/>
      <c r="I1301" s="93"/>
      <c r="J1301" s="91"/>
      <c r="L1301" s="94" t="str">
        <f t="shared" si="2"/>
        <v>No infirmation</v>
      </c>
      <c r="M1301" s="94" t="str">
        <f t="shared" si="3"/>
        <v/>
      </c>
    </row>
    <row r="1302" ht="15.75" customHeight="1">
      <c r="B1302" s="77">
        <f t="shared" si="1"/>
        <v>0</v>
      </c>
      <c r="C1302" s="67"/>
      <c r="D1302" s="78"/>
      <c r="E1302" s="101"/>
      <c r="F1302" s="108"/>
      <c r="G1302" s="120"/>
      <c r="H1302" s="101"/>
      <c r="I1302" s="93"/>
      <c r="J1302" s="91"/>
      <c r="L1302" s="94" t="str">
        <f t="shared" si="2"/>
        <v>No infirmation</v>
      </c>
      <c r="M1302" s="94" t="str">
        <f t="shared" si="3"/>
        <v/>
      </c>
    </row>
    <row r="1303" ht="15.75" customHeight="1">
      <c r="B1303" s="77">
        <f t="shared" si="1"/>
        <v>0</v>
      </c>
      <c r="C1303" s="67"/>
      <c r="D1303" s="78"/>
      <c r="E1303" s="101"/>
      <c r="F1303" s="108"/>
      <c r="G1303" s="120"/>
      <c r="H1303" s="101"/>
      <c r="I1303" s="93"/>
      <c r="J1303" s="91"/>
      <c r="L1303" s="94" t="str">
        <f t="shared" si="2"/>
        <v>No infirmation</v>
      </c>
      <c r="M1303" s="94" t="str">
        <f t="shared" si="3"/>
        <v/>
      </c>
    </row>
    <row r="1304" ht="15.75" customHeight="1">
      <c r="B1304" s="77">
        <f t="shared" si="1"/>
        <v>0</v>
      </c>
      <c r="C1304" s="67"/>
      <c r="D1304" s="78"/>
      <c r="E1304" s="101"/>
      <c r="F1304" s="108"/>
      <c r="G1304" s="120"/>
      <c r="H1304" s="101"/>
      <c r="I1304" s="93"/>
      <c r="J1304" s="91"/>
      <c r="L1304" s="94" t="str">
        <f t="shared" si="2"/>
        <v>No infirmation</v>
      </c>
      <c r="M1304" s="94" t="str">
        <f t="shared" si="3"/>
        <v/>
      </c>
    </row>
    <row r="1305" ht="15.75" customHeight="1">
      <c r="B1305" s="77">
        <f t="shared" si="1"/>
        <v>0</v>
      </c>
      <c r="C1305" s="67"/>
      <c r="D1305" s="78"/>
      <c r="E1305" s="101"/>
      <c r="F1305" s="108"/>
      <c r="G1305" s="120"/>
      <c r="H1305" s="101"/>
      <c r="I1305" s="93"/>
      <c r="J1305" s="91"/>
      <c r="L1305" s="94" t="str">
        <f t="shared" si="2"/>
        <v>No infirmation</v>
      </c>
      <c r="M1305" s="94" t="str">
        <f t="shared" si="3"/>
        <v/>
      </c>
    </row>
    <row r="1306" ht="15.75" customHeight="1">
      <c r="B1306" s="77">
        <f t="shared" si="1"/>
        <v>0</v>
      </c>
      <c r="C1306" s="67"/>
      <c r="D1306" s="78"/>
      <c r="E1306" s="101"/>
      <c r="F1306" s="108"/>
      <c r="G1306" s="120"/>
      <c r="H1306" s="101"/>
      <c r="I1306" s="93"/>
      <c r="J1306" s="91"/>
      <c r="L1306" s="94" t="str">
        <f t="shared" si="2"/>
        <v>No infirmation</v>
      </c>
      <c r="M1306" s="94" t="str">
        <f t="shared" si="3"/>
        <v/>
      </c>
    </row>
    <row r="1307" ht="15.75" customHeight="1">
      <c r="B1307" s="77">
        <f t="shared" si="1"/>
        <v>0</v>
      </c>
      <c r="C1307" s="67"/>
      <c r="D1307" s="78"/>
      <c r="E1307" s="101"/>
      <c r="F1307" s="108"/>
      <c r="G1307" s="120"/>
      <c r="H1307" s="101"/>
      <c r="I1307" s="93"/>
      <c r="J1307" s="91"/>
      <c r="L1307" s="94" t="str">
        <f t="shared" si="2"/>
        <v>No infirmation</v>
      </c>
      <c r="M1307" s="94" t="str">
        <f t="shared" si="3"/>
        <v/>
      </c>
    </row>
    <row r="1308" ht="15.75" customHeight="1">
      <c r="B1308" s="77">
        <f t="shared" si="1"/>
        <v>0</v>
      </c>
      <c r="C1308" s="67"/>
      <c r="D1308" s="78"/>
      <c r="E1308" s="101"/>
      <c r="F1308" s="108"/>
      <c r="G1308" s="120"/>
      <c r="H1308" s="101"/>
      <c r="I1308" s="93"/>
      <c r="J1308" s="91"/>
      <c r="L1308" s="94" t="str">
        <f t="shared" si="2"/>
        <v>No infirmation</v>
      </c>
      <c r="M1308" s="94" t="str">
        <f t="shared" si="3"/>
        <v/>
      </c>
    </row>
    <row r="1309" ht="15.75" customHeight="1">
      <c r="B1309" s="77">
        <f t="shared" si="1"/>
        <v>0</v>
      </c>
      <c r="C1309" s="67"/>
      <c r="D1309" s="78"/>
      <c r="E1309" s="101"/>
      <c r="F1309" s="108"/>
      <c r="G1309" s="120"/>
      <c r="H1309" s="101"/>
      <c r="I1309" s="93"/>
      <c r="J1309" s="91"/>
      <c r="L1309" s="94" t="str">
        <f t="shared" si="2"/>
        <v>No infirmation</v>
      </c>
      <c r="M1309" s="94" t="str">
        <f t="shared" si="3"/>
        <v/>
      </c>
    </row>
    <row r="1310" ht="15.75" customHeight="1">
      <c r="B1310" s="77">
        <f t="shared" si="1"/>
        <v>0</v>
      </c>
      <c r="C1310" s="67"/>
      <c r="D1310" s="78"/>
      <c r="E1310" s="101"/>
      <c r="F1310" s="108"/>
      <c r="G1310" s="120"/>
      <c r="H1310" s="101"/>
      <c r="I1310" s="93"/>
      <c r="J1310" s="91"/>
      <c r="L1310" s="94" t="str">
        <f t="shared" si="2"/>
        <v>No infirmation</v>
      </c>
      <c r="M1310" s="94" t="str">
        <f t="shared" si="3"/>
        <v/>
      </c>
    </row>
    <row r="1311" ht="15.75" customHeight="1">
      <c r="B1311" s="77">
        <f t="shared" si="1"/>
        <v>0</v>
      </c>
      <c r="C1311" s="67"/>
      <c r="D1311" s="78"/>
      <c r="E1311" s="101"/>
      <c r="F1311" s="108"/>
      <c r="G1311" s="120"/>
      <c r="H1311" s="101"/>
      <c r="I1311" s="93"/>
      <c r="J1311" s="91"/>
      <c r="L1311" s="94" t="str">
        <f t="shared" si="2"/>
        <v>No infirmation</v>
      </c>
      <c r="M1311" s="94" t="str">
        <f t="shared" si="3"/>
        <v/>
      </c>
    </row>
    <row r="1312" ht="15.75" customHeight="1">
      <c r="B1312" s="77">
        <f t="shared" si="1"/>
        <v>0</v>
      </c>
      <c r="C1312" s="67"/>
      <c r="D1312" s="78"/>
      <c r="E1312" s="101"/>
      <c r="F1312" s="108"/>
      <c r="G1312" s="120"/>
      <c r="H1312" s="101"/>
      <c r="I1312" s="93"/>
      <c r="J1312" s="91"/>
      <c r="L1312" s="94" t="str">
        <f t="shared" si="2"/>
        <v>No infirmation</v>
      </c>
      <c r="M1312" s="94" t="str">
        <f t="shared" si="3"/>
        <v/>
      </c>
    </row>
    <row r="1313" ht="15.75" customHeight="1">
      <c r="B1313" s="77">
        <f t="shared" si="1"/>
        <v>0</v>
      </c>
      <c r="C1313" s="67"/>
      <c r="D1313" s="78"/>
      <c r="E1313" s="101"/>
      <c r="F1313" s="108"/>
      <c r="G1313" s="120"/>
      <c r="H1313" s="101"/>
      <c r="I1313" s="93"/>
      <c r="J1313" s="91"/>
      <c r="L1313" s="94" t="str">
        <f t="shared" si="2"/>
        <v>No infirmation</v>
      </c>
      <c r="M1313" s="94" t="str">
        <f t="shared" si="3"/>
        <v/>
      </c>
    </row>
    <row r="1314" ht="15.75" customHeight="1">
      <c r="B1314" s="77">
        <f t="shared" si="1"/>
        <v>0</v>
      </c>
      <c r="C1314" s="67"/>
      <c r="D1314" s="78"/>
      <c r="E1314" s="101"/>
      <c r="F1314" s="108"/>
      <c r="G1314" s="120"/>
      <c r="H1314" s="101"/>
      <c r="I1314" s="93"/>
      <c r="J1314" s="91"/>
      <c r="L1314" s="94" t="str">
        <f t="shared" si="2"/>
        <v>No infirmation</v>
      </c>
      <c r="M1314" s="94" t="str">
        <f t="shared" si="3"/>
        <v/>
      </c>
    </row>
    <row r="1315" ht="15.75" customHeight="1">
      <c r="B1315" s="77">
        <f t="shared" si="1"/>
        <v>0</v>
      </c>
      <c r="C1315" s="67"/>
      <c r="D1315" s="78"/>
      <c r="E1315" s="101"/>
      <c r="F1315" s="108"/>
      <c r="G1315" s="120"/>
      <c r="H1315" s="101"/>
      <c r="I1315" s="93"/>
      <c r="J1315" s="91"/>
      <c r="L1315" s="94" t="str">
        <f t="shared" si="2"/>
        <v>No infirmation</v>
      </c>
      <c r="M1315" s="94" t="str">
        <f t="shared" si="3"/>
        <v/>
      </c>
    </row>
    <row r="1316" ht="15.75" customHeight="1">
      <c r="B1316" s="77">
        <f t="shared" si="1"/>
        <v>0</v>
      </c>
      <c r="C1316" s="67"/>
      <c r="D1316" s="78"/>
      <c r="E1316" s="101"/>
      <c r="F1316" s="108"/>
      <c r="G1316" s="120"/>
      <c r="H1316" s="101"/>
      <c r="I1316" s="93"/>
      <c r="J1316" s="91"/>
      <c r="L1316" s="94" t="str">
        <f t="shared" si="2"/>
        <v>No infirmation</v>
      </c>
      <c r="M1316" s="94" t="str">
        <f t="shared" si="3"/>
        <v/>
      </c>
    </row>
    <row r="1317" ht="15.75" customHeight="1">
      <c r="B1317" s="77">
        <f t="shared" si="1"/>
        <v>0</v>
      </c>
      <c r="C1317" s="67"/>
      <c r="D1317" s="78"/>
      <c r="E1317" s="101"/>
      <c r="F1317" s="108"/>
      <c r="G1317" s="120"/>
      <c r="H1317" s="101"/>
      <c r="I1317" s="93"/>
      <c r="J1317" s="91"/>
      <c r="L1317" s="94" t="str">
        <f t="shared" si="2"/>
        <v>No infirmation</v>
      </c>
      <c r="M1317" s="94" t="str">
        <f t="shared" si="3"/>
        <v/>
      </c>
    </row>
    <row r="1318" ht="15.75" customHeight="1">
      <c r="B1318" s="77">
        <f t="shared" si="1"/>
        <v>0</v>
      </c>
      <c r="C1318" s="67"/>
      <c r="D1318" s="78"/>
      <c r="E1318" s="101"/>
      <c r="F1318" s="108"/>
      <c r="G1318" s="120"/>
      <c r="H1318" s="101"/>
      <c r="I1318" s="93"/>
      <c r="J1318" s="91"/>
      <c r="L1318" s="94" t="str">
        <f t="shared" si="2"/>
        <v>No infirmation</v>
      </c>
      <c r="M1318" s="94" t="str">
        <f t="shared" si="3"/>
        <v/>
      </c>
    </row>
    <row r="1319" ht="15.75" customHeight="1">
      <c r="B1319" s="77">
        <f t="shared" si="1"/>
        <v>0</v>
      </c>
      <c r="C1319" s="67"/>
      <c r="D1319" s="78"/>
      <c r="E1319" s="101"/>
      <c r="F1319" s="108"/>
      <c r="G1319" s="120"/>
      <c r="H1319" s="101"/>
      <c r="I1319" s="93"/>
      <c r="J1319" s="91"/>
      <c r="L1319" s="94" t="str">
        <f t="shared" si="2"/>
        <v>No infirmation</v>
      </c>
      <c r="M1319" s="94" t="str">
        <f t="shared" si="3"/>
        <v/>
      </c>
    </row>
    <row r="1320" ht="15.75" customHeight="1">
      <c r="B1320" s="77">
        <f t="shared" si="1"/>
        <v>0</v>
      </c>
      <c r="C1320" s="67"/>
      <c r="D1320" s="78"/>
      <c r="E1320" s="101"/>
      <c r="F1320" s="108"/>
      <c r="G1320" s="120"/>
      <c r="H1320" s="101"/>
      <c r="I1320" s="93"/>
      <c r="J1320" s="91"/>
      <c r="L1320" s="94" t="str">
        <f t="shared" si="2"/>
        <v>No infirmation</v>
      </c>
      <c r="M1320" s="94" t="str">
        <f t="shared" si="3"/>
        <v/>
      </c>
    </row>
    <row r="1321" ht="15.75" customHeight="1">
      <c r="B1321" s="77">
        <f t="shared" si="1"/>
        <v>0</v>
      </c>
      <c r="C1321" s="67"/>
      <c r="D1321" s="78"/>
      <c r="E1321" s="101"/>
      <c r="F1321" s="108"/>
      <c r="G1321" s="120"/>
      <c r="H1321" s="101"/>
      <c r="I1321" s="93"/>
      <c r="J1321" s="91"/>
      <c r="L1321" s="94" t="str">
        <f t="shared" si="2"/>
        <v>No infirmation</v>
      </c>
      <c r="M1321" s="94" t="str">
        <f t="shared" si="3"/>
        <v/>
      </c>
    </row>
    <row r="1322" ht="15.75" customHeight="1">
      <c r="B1322" s="77">
        <f t="shared" si="1"/>
        <v>0</v>
      </c>
      <c r="C1322" s="67"/>
      <c r="D1322" s="78"/>
      <c r="E1322" s="101"/>
      <c r="F1322" s="108"/>
      <c r="G1322" s="120"/>
      <c r="H1322" s="101"/>
      <c r="I1322" s="93"/>
      <c r="J1322" s="91"/>
      <c r="L1322" s="94" t="str">
        <f t="shared" si="2"/>
        <v>No infirmation</v>
      </c>
      <c r="M1322" s="94" t="str">
        <f t="shared" si="3"/>
        <v/>
      </c>
    </row>
    <row r="1323" ht="15.75" customHeight="1">
      <c r="B1323" s="77">
        <f t="shared" si="1"/>
        <v>0</v>
      </c>
      <c r="C1323" s="67"/>
      <c r="D1323" s="78"/>
      <c r="E1323" s="101"/>
      <c r="F1323" s="108"/>
      <c r="G1323" s="120"/>
      <c r="H1323" s="101"/>
      <c r="I1323" s="93"/>
      <c r="J1323" s="91"/>
      <c r="L1323" s="94" t="str">
        <f t="shared" si="2"/>
        <v>No infirmation</v>
      </c>
      <c r="M1323" s="94" t="str">
        <f t="shared" si="3"/>
        <v/>
      </c>
    </row>
    <row r="1324" ht="15.75" customHeight="1">
      <c r="B1324" s="77">
        <f t="shared" si="1"/>
        <v>0</v>
      </c>
      <c r="C1324" s="67"/>
      <c r="D1324" s="78"/>
      <c r="E1324" s="101"/>
      <c r="F1324" s="108"/>
      <c r="G1324" s="120"/>
      <c r="H1324" s="101"/>
      <c r="I1324" s="93"/>
      <c r="J1324" s="91"/>
      <c r="L1324" s="94" t="str">
        <f t="shared" si="2"/>
        <v>No infirmation</v>
      </c>
      <c r="M1324" s="94" t="str">
        <f t="shared" si="3"/>
        <v/>
      </c>
    </row>
    <row r="1325" ht="15.75" customHeight="1">
      <c r="B1325" s="77">
        <f t="shared" si="1"/>
        <v>0</v>
      </c>
      <c r="C1325" s="67"/>
      <c r="D1325" s="78"/>
      <c r="E1325" s="101"/>
      <c r="F1325" s="108"/>
      <c r="G1325" s="120"/>
      <c r="H1325" s="101"/>
      <c r="I1325" s="93"/>
      <c r="J1325" s="91"/>
      <c r="L1325" s="94" t="str">
        <f t="shared" si="2"/>
        <v>No infirmation</v>
      </c>
      <c r="M1325" s="94" t="str">
        <f t="shared" si="3"/>
        <v/>
      </c>
    </row>
    <row r="1326" ht="15.75" customHeight="1">
      <c r="B1326" s="77">
        <f t="shared" si="1"/>
        <v>0</v>
      </c>
      <c r="C1326" s="67"/>
      <c r="D1326" s="78"/>
      <c r="E1326" s="101"/>
      <c r="F1326" s="108"/>
      <c r="G1326" s="120"/>
      <c r="H1326" s="101"/>
      <c r="I1326" s="93"/>
      <c r="J1326" s="91"/>
      <c r="L1326" s="94" t="str">
        <f t="shared" si="2"/>
        <v>No infirmation</v>
      </c>
      <c r="M1326" s="94" t="str">
        <f t="shared" si="3"/>
        <v/>
      </c>
    </row>
    <row r="1327" ht="15.75" customHeight="1">
      <c r="B1327" s="77">
        <f t="shared" si="1"/>
        <v>0</v>
      </c>
      <c r="C1327" s="67"/>
      <c r="D1327" s="78"/>
      <c r="E1327" s="101"/>
      <c r="F1327" s="108"/>
      <c r="G1327" s="120"/>
      <c r="H1327" s="101"/>
      <c r="I1327" s="93"/>
      <c r="J1327" s="91"/>
      <c r="L1327" s="94" t="str">
        <f t="shared" si="2"/>
        <v>No infirmation</v>
      </c>
      <c r="M1327" s="94" t="str">
        <f t="shared" si="3"/>
        <v/>
      </c>
    </row>
    <row r="1328" ht="15.75" customHeight="1">
      <c r="B1328" s="77">
        <f t="shared" si="1"/>
        <v>0</v>
      </c>
      <c r="C1328" s="67"/>
      <c r="D1328" s="78"/>
      <c r="E1328" s="101"/>
      <c r="F1328" s="108"/>
      <c r="G1328" s="120"/>
      <c r="H1328" s="101"/>
      <c r="I1328" s="93"/>
      <c r="J1328" s="91"/>
      <c r="L1328" s="94" t="str">
        <f t="shared" si="2"/>
        <v>No infirmation</v>
      </c>
      <c r="M1328" s="94" t="str">
        <f t="shared" si="3"/>
        <v/>
      </c>
    </row>
    <row r="1329" ht="15.75" customHeight="1">
      <c r="B1329" s="77">
        <f t="shared" si="1"/>
        <v>0</v>
      </c>
      <c r="C1329" s="67"/>
      <c r="D1329" s="78"/>
      <c r="E1329" s="101"/>
      <c r="F1329" s="108"/>
      <c r="G1329" s="120"/>
      <c r="H1329" s="101"/>
      <c r="I1329" s="93"/>
      <c r="J1329" s="91"/>
      <c r="L1329" s="94" t="str">
        <f t="shared" si="2"/>
        <v>No infirmation</v>
      </c>
      <c r="M1329" s="94" t="str">
        <f t="shared" si="3"/>
        <v/>
      </c>
    </row>
    <row r="1330" ht="15.75" customHeight="1">
      <c r="B1330" s="77">
        <f t="shared" si="1"/>
        <v>0</v>
      </c>
      <c r="C1330" s="67"/>
      <c r="D1330" s="78"/>
      <c r="E1330" s="101"/>
      <c r="F1330" s="108"/>
      <c r="G1330" s="120"/>
      <c r="H1330" s="101"/>
      <c r="I1330" s="93"/>
      <c r="J1330" s="91"/>
      <c r="L1330" s="94" t="str">
        <f t="shared" si="2"/>
        <v>No infirmation</v>
      </c>
      <c r="M1330" s="94" t="str">
        <f t="shared" si="3"/>
        <v/>
      </c>
    </row>
    <row r="1331" ht="15.75" customHeight="1">
      <c r="B1331" s="77">
        <f t="shared" si="1"/>
        <v>0</v>
      </c>
      <c r="C1331" s="67"/>
      <c r="D1331" s="78"/>
      <c r="E1331" s="101"/>
      <c r="F1331" s="108"/>
      <c r="G1331" s="120"/>
      <c r="H1331" s="101"/>
      <c r="I1331" s="93"/>
      <c r="J1331" s="91"/>
      <c r="L1331" s="94" t="str">
        <f t="shared" si="2"/>
        <v>No infirmation</v>
      </c>
      <c r="M1331" s="94" t="str">
        <f t="shared" si="3"/>
        <v/>
      </c>
    </row>
    <row r="1332" ht="15.75" customHeight="1">
      <c r="B1332" s="77">
        <f t="shared" si="1"/>
        <v>0</v>
      </c>
      <c r="C1332" s="67"/>
      <c r="D1332" s="78"/>
      <c r="E1332" s="101"/>
      <c r="F1332" s="108"/>
      <c r="G1332" s="120"/>
      <c r="H1332" s="101"/>
      <c r="I1332" s="93"/>
      <c r="J1332" s="91"/>
      <c r="L1332" s="94" t="str">
        <f t="shared" si="2"/>
        <v>No infirmation</v>
      </c>
      <c r="M1332" s="94" t="str">
        <f t="shared" si="3"/>
        <v/>
      </c>
    </row>
    <row r="1333" ht="15.75" customHeight="1">
      <c r="B1333" s="77">
        <f t="shared" si="1"/>
        <v>0</v>
      </c>
      <c r="C1333" s="67"/>
      <c r="D1333" s="78"/>
      <c r="E1333" s="101"/>
      <c r="F1333" s="108"/>
      <c r="G1333" s="120"/>
      <c r="H1333" s="101"/>
      <c r="I1333" s="93"/>
      <c r="J1333" s="91"/>
      <c r="L1333" s="94" t="str">
        <f t="shared" si="2"/>
        <v>No infirmation</v>
      </c>
      <c r="M1333" s="94" t="str">
        <f t="shared" si="3"/>
        <v/>
      </c>
    </row>
    <row r="1334" ht="15.75" customHeight="1">
      <c r="B1334" s="77">
        <f t="shared" si="1"/>
        <v>0</v>
      </c>
      <c r="C1334" s="67"/>
      <c r="D1334" s="78"/>
      <c r="E1334" s="101"/>
      <c r="F1334" s="108"/>
      <c r="G1334" s="120"/>
      <c r="H1334" s="101"/>
      <c r="I1334" s="93"/>
      <c r="J1334" s="91"/>
      <c r="L1334" s="94" t="str">
        <f t="shared" si="2"/>
        <v>No infirmation</v>
      </c>
      <c r="M1334" s="94" t="str">
        <f t="shared" si="3"/>
        <v/>
      </c>
    </row>
    <row r="1335" ht="15.75" customHeight="1">
      <c r="B1335" s="77">
        <f t="shared" si="1"/>
        <v>0</v>
      </c>
      <c r="C1335" s="67"/>
      <c r="D1335" s="78"/>
      <c r="E1335" s="101"/>
      <c r="F1335" s="108"/>
      <c r="G1335" s="120"/>
      <c r="H1335" s="101"/>
      <c r="I1335" s="93"/>
      <c r="J1335" s="91"/>
      <c r="L1335" s="94" t="str">
        <f t="shared" si="2"/>
        <v>No infirmation</v>
      </c>
      <c r="M1335" s="94" t="str">
        <f t="shared" si="3"/>
        <v/>
      </c>
    </row>
    <row r="1336" ht="15.75" customHeight="1">
      <c r="B1336" s="77">
        <f t="shared" si="1"/>
        <v>0</v>
      </c>
      <c r="C1336" s="67"/>
      <c r="D1336" s="78"/>
      <c r="E1336" s="101"/>
      <c r="F1336" s="108"/>
      <c r="G1336" s="120"/>
      <c r="H1336" s="101"/>
      <c r="I1336" s="93"/>
      <c r="J1336" s="91"/>
      <c r="L1336" s="94" t="str">
        <f t="shared" si="2"/>
        <v>No infirmation</v>
      </c>
      <c r="M1336" s="94" t="str">
        <f t="shared" si="3"/>
        <v/>
      </c>
    </row>
    <row r="1337" ht="15.75" customHeight="1">
      <c r="B1337" s="77">
        <f t="shared" si="1"/>
        <v>0</v>
      </c>
      <c r="C1337" s="67"/>
      <c r="D1337" s="78"/>
      <c r="E1337" s="101"/>
      <c r="F1337" s="108"/>
      <c r="G1337" s="120"/>
      <c r="H1337" s="101"/>
      <c r="I1337" s="93"/>
      <c r="J1337" s="91"/>
      <c r="L1337" s="94" t="str">
        <f t="shared" si="2"/>
        <v>No infirmation</v>
      </c>
      <c r="M1337" s="94" t="str">
        <f t="shared" si="3"/>
        <v/>
      </c>
    </row>
    <row r="1338" ht="15.75" customHeight="1">
      <c r="B1338" s="77">
        <f t="shared" si="1"/>
        <v>0</v>
      </c>
      <c r="C1338" s="67"/>
      <c r="D1338" s="78"/>
      <c r="E1338" s="101"/>
      <c r="F1338" s="108"/>
      <c r="G1338" s="120"/>
      <c r="H1338" s="101"/>
      <c r="I1338" s="93"/>
      <c r="J1338" s="91"/>
      <c r="L1338" s="94" t="str">
        <f t="shared" si="2"/>
        <v>No infirmation</v>
      </c>
      <c r="M1338" s="94" t="str">
        <f t="shared" si="3"/>
        <v/>
      </c>
    </row>
    <row r="1339" ht="15.75" customHeight="1">
      <c r="B1339" s="77">
        <f t="shared" si="1"/>
        <v>0</v>
      </c>
      <c r="C1339" s="67"/>
      <c r="D1339" s="78"/>
      <c r="E1339" s="101"/>
      <c r="F1339" s="108"/>
      <c r="G1339" s="120"/>
      <c r="H1339" s="101"/>
      <c r="I1339" s="93"/>
      <c r="J1339" s="91"/>
      <c r="L1339" s="94" t="str">
        <f t="shared" si="2"/>
        <v>No infirmation</v>
      </c>
      <c r="M1339" s="94" t="str">
        <f t="shared" si="3"/>
        <v/>
      </c>
    </row>
    <row r="1340" ht="15.75" customHeight="1">
      <c r="B1340" s="77">
        <f t="shared" si="1"/>
        <v>0</v>
      </c>
      <c r="C1340" s="67"/>
      <c r="D1340" s="78"/>
      <c r="E1340" s="101"/>
      <c r="F1340" s="108"/>
      <c r="G1340" s="120"/>
      <c r="H1340" s="101"/>
      <c r="I1340" s="93"/>
      <c r="J1340" s="91"/>
      <c r="L1340" s="94" t="str">
        <f t="shared" si="2"/>
        <v>No infirmation</v>
      </c>
      <c r="M1340" s="94" t="str">
        <f t="shared" si="3"/>
        <v/>
      </c>
    </row>
    <row r="1341" ht="15.75" customHeight="1">
      <c r="B1341" s="77">
        <f t="shared" si="1"/>
        <v>0</v>
      </c>
      <c r="C1341" s="67"/>
      <c r="D1341" s="78"/>
      <c r="E1341" s="101"/>
      <c r="F1341" s="108"/>
      <c r="G1341" s="120"/>
      <c r="H1341" s="101"/>
      <c r="I1341" s="93"/>
      <c r="J1341" s="91"/>
      <c r="L1341" s="94" t="str">
        <f t="shared" si="2"/>
        <v>No infirmation</v>
      </c>
      <c r="M1341" s="94" t="str">
        <f t="shared" si="3"/>
        <v/>
      </c>
    </row>
    <row r="1342" ht="15.75" customHeight="1">
      <c r="B1342" s="77">
        <f t="shared" si="1"/>
        <v>0</v>
      </c>
      <c r="C1342" s="67"/>
      <c r="D1342" s="78"/>
      <c r="E1342" s="101"/>
      <c r="F1342" s="108"/>
      <c r="G1342" s="120"/>
      <c r="H1342" s="101"/>
      <c r="I1342" s="93"/>
      <c r="J1342" s="91"/>
      <c r="L1342" s="94" t="str">
        <f t="shared" si="2"/>
        <v>No infirmation</v>
      </c>
      <c r="M1342" s="94" t="str">
        <f t="shared" si="3"/>
        <v/>
      </c>
    </row>
    <row r="1343" ht="15.75" customHeight="1">
      <c r="B1343" s="77">
        <f t="shared" si="1"/>
        <v>0</v>
      </c>
      <c r="C1343" s="67"/>
      <c r="D1343" s="78"/>
      <c r="E1343" s="101"/>
      <c r="F1343" s="108"/>
      <c r="G1343" s="120"/>
      <c r="H1343" s="101"/>
      <c r="I1343" s="93"/>
      <c r="J1343" s="91"/>
      <c r="L1343" s="94" t="str">
        <f t="shared" si="2"/>
        <v>No infirmation</v>
      </c>
      <c r="M1343" s="94" t="str">
        <f t="shared" si="3"/>
        <v/>
      </c>
    </row>
    <row r="1344" ht="15.75" customHeight="1">
      <c r="B1344" s="77">
        <f t="shared" si="1"/>
        <v>0</v>
      </c>
      <c r="C1344" s="67"/>
      <c r="D1344" s="78"/>
      <c r="E1344" s="101"/>
      <c r="F1344" s="108"/>
      <c r="G1344" s="120"/>
      <c r="H1344" s="101"/>
      <c r="I1344" s="93"/>
      <c r="J1344" s="91"/>
      <c r="L1344" s="94" t="str">
        <f t="shared" si="2"/>
        <v>No infirmation</v>
      </c>
      <c r="M1344" s="94" t="str">
        <f t="shared" si="3"/>
        <v/>
      </c>
    </row>
    <row r="1345" ht="15.75" customHeight="1">
      <c r="B1345" s="77">
        <f t="shared" si="1"/>
        <v>0</v>
      </c>
      <c r="C1345" s="67"/>
      <c r="D1345" s="78"/>
      <c r="E1345" s="101"/>
      <c r="F1345" s="108"/>
      <c r="G1345" s="120"/>
      <c r="H1345" s="101"/>
      <c r="I1345" s="93"/>
      <c r="J1345" s="91"/>
      <c r="L1345" s="94" t="str">
        <f t="shared" si="2"/>
        <v>No infirmation</v>
      </c>
      <c r="M1345" s="94" t="str">
        <f t="shared" si="3"/>
        <v/>
      </c>
    </row>
    <row r="1346" ht="15.75" customHeight="1">
      <c r="B1346" s="77">
        <f t="shared" si="1"/>
        <v>0</v>
      </c>
      <c r="C1346" s="67"/>
      <c r="D1346" s="78"/>
      <c r="E1346" s="101"/>
      <c r="F1346" s="108"/>
      <c r="G1346" s="120"/>
      <c r="H1346" s="101"/>
      <c r="I1346" s="93"/>
      <c r="J1346" s="91"/>
      <c r="L1346" s="94" t="str">
        <f t="shared" si="2"/>
        <v>No infirmation</v>
      </c>
      <c r="M1346" s="94" t="str">
        <f t="shared" si="3"/>
        <v/>
      </c>
    </row>
    <row r="1347" ht="15.75" customHeight="1">
      <c r="B1347" s="77">
        <f t="shared" si="1"/>
        <v>0</v>
      </c>
      <c r="C1347" s="67"/>
      <c r="D1347" s="78"/>
      <c r="E1347" s="101"/>
      <c r="F1347" s="108"/>
      <c r="G1347" s="120"/>
      <c r="H1347" s="101"/>
      <c r="I1347" s="93"/>
      <c r="J1347" s="91"/>
      <c r="L1347" s="94" t="str">
        <f t="shared" si="2"/>
        <v>No infirmation</v>
      </c>
      <c r="M1347" s="94" t="str">
        <f t="shared" si="3"/>
        <v/>
      </c>
    </row>
    <row r="1348" ht="15.75" customHeight="1">
      <c r="B1348" s="77">
        <f t="shared" si="1"/>
        <v>0</v>
      </c>
      <c r="C1348" s="67"/>
      <c r="D1348" s="78"/>
      <c r="E1348" s="101"/>
      <c r="F1348" s="108"/>
      <c r="G1348" s="120"/>
      <c r="H1348" s="101"/>
      <c r="I1348" s="93"/>
      <c r="J1348" s="91"/>
      <c r="L1348" s="94" t="str">
        <f t="shared" si="2"/>
        <v>No infirmation</v>
      </c>
      <c r="M1348" s="94" t="str">
        <f t="shared" si="3"/>
        <v/>
      </c>
    </row>
    <row r="1349" ht="15.75" customHeight="1">
      <c r="B1349" s="77">
        <f t="shared" si="1"/>
        <v>0</v>
      </c>
      <c r="C1349" s="67"/>
      <c r="D1349" s="78"/>
      <c r="E1349" s="101"/>
      <c r="F1349" s="108"/>
      <c r="G1349" s="120"/>
      <c r="H1349" s="101"/>
      <c r="I1349" s="93"/>
      <c r="J1349" s="91"/>
      <c r="L1349" s="94" t="str">
        <f t="shared" si="2"/>
        <v>No infirmation</v>
      </c>
      <c r="M1349" s="94" t="str">
        <f t="shared" si="3"/>
        <v/>
      </c>
    </row>
    <row r="1350" ht="15.75" customHeight="1">
      <c r="B1350" s="77">
        <f t="shared" si="1"/>
        <v>0</v>
      </c>
      <c r="C1350" s="67"/>
      <c r="D1350" s="78"/>
      <c r="E1350" s="101"/>
      <c r="F1350" s="108"/>
      <c r="G1350" s="120"/>
      <c r="H1350" s="101"/>
      <c r="I1350" s="93"/>
      <c r="J1350" s="91"/>
      <c r="L1350" s="94" t="str">
        <f t="shared" si="2"/>
        <v>No infirmation</v>
      </c>
      <c r="M1350" s="94" t="str">
        <f t="shared" si="3"/>
        <v/>
      </c>
    </row>
    <row r="1351" ht="15.75" customHeight="1">
      <c r="B1351" s="77">
        <f t="shared" si="1"/>
        <v>0</v>
      </c>
      <c r="C1351" s="67"/>
      <c r="D1351" s="78"/>
      <c r="E1351" s="101"/>
      <c r="F1351" s="108"/>
      <c r="G1351" s="120"/>
      <c r="H1351" s="101"/>
      <c r="I1351" s="93"/>
      <c r="J1351" s="91"/>
      <c r="L1351" s="94" t="str">
        <f t="shared" si="2"/>
        <v>No infirmation</v>
      </c>
      <c r="M1351" s="94" t="str">
        <f t="shared" si="3"/>
        <v/>
      </c>
    </row>
    <row r="1352" ht="15.75" customHeight="1">
      <c r="B1352" s="77">
        <f t="shared" si="1"/>
        <v>0</v>
      </c>
      <c r="C1352" s="67"/>
      <c r="D1352" s="78"/>
      <c r="E1352" s="101"/>
      <c r="F1352" s="108"/>
      <c r="G1352" s="120"/>
      <c r="H1352" s="101"/>
      <c r="I1352" s="93"/>
      <c r="J1352" s="91"/>
      <c r="L1352" s="94" t="str">
        <f t="shared" si="2"/>
        <v>No infirmation</v>
      </c>
      <c r="M1352" s="94" t="str">
        <f t="shared" si="3"/>
        <v/>
      </c>
    </row>
    <row r="1353" ht="15.75" customHeight="1">
      <c r="B1353" s="77">
        <f t="shared" si="1"/>
        <v>0</v>
      </c>
      <c r="C1353" s="67"/>
      <c r="D1353" s="78"/>
      <c r="E1353" s="101"/>
      <c r="F1353" s="108"/>
      <c r="G1353" s="120"/>
      <c r="H1353" s="101"/>
      <c r="I1353" s="93"/>
      <c r="J1353" s="91"/>
      <c r="L1353" s="94" t="str">
        <f t="shared" si="2"/>
        <v>No infirmation</v>
      </c>
      <c r="M1353" s="94" t="str">
        <f t="shared" si="3"/>
        <v/>
      </c>
    </row>
    <row r="1354" ht="15.75" customHeight="1">
      <c r="B1354" s="77">
        <f t="shared" si="1"/>
        <v>0</v>
      </c>
      <c r="C1354" s="67"/>
      <c r="D1354" s="78"/>
      <c r="E1354" s="101"/>
      <c r="F1354" s="108"/>
      <c r="G1354" s="120"/>
      <c r="H1354" s="101"/>
      <c r="I1354" s="93"/>
      <c r="J1354" s="91"/>
      <c r="L1354" s="94" t="str">
        <f t="shared" si="2"/>
        <v>No infirmation</v>
      </c>
      <c r="M1354" s="94" t="str">
        <f t="shared" si="3"/>
        <v/>
      </c>
    </row>
    <row r="1355" ht="15.75" customHeight="1">
      <c r="B1355" s="77">
        <f t="shared" si="1"/>
        <v>0</v>
      </c>
      <c r="C1355" s="67"/>
      <c r="D1355" s="78"/>
      <c r="E1355" s="101"/>
      <c r="F1355" s="108"/>
      <c r="G1355" s="120"/>
      <c r="H1355" s="101"/>
      <c r="I1355" s="93"/>
      <c r="J1355" s="91"/>
      <c r="L1355" s="94" t="str">
        <f t="shared" si="2"/>
        <v>No infirmation</v>
      </c>
      <c r="M1355" s="94" t="str">
        <f t="shared" si="3"/>
        <v/>
      </c>
    </row>
    <row r="1356" ht="15.75" customHeight="1">
      <c r="B1356" s="77">
        <f t="shared" si="1"/>
        <v>0</v>
      </c>
      <c r="C1356" s="67"/>
      <c r="D1356" s="78"/>
      <c r="E1356" s="101"/>
      <c r="F1356" s="108"/>
      <c r="G1356" s="120"/>
      <c r="H1356" s="101"/>
      <c r="I1356" s="93"/>
      <c r="J1356" s="91"/>
      <c r="L1356" s="94" t="str">
        <f t="shared" si="2"/>
        <v>No infirmation</v>
      </c>
      <c r="M1356" s="94" t="str">
        <f t="shared" si="3"/>
        <v/>
      </c>
    </row>
    <row r="1357" ht="15.75" customHeight="1">
      <c r="B1357" s="77">
        <f t="shared" si="1"/>
        <v>0</v>
      </c>
      <c r="C1357" s="67"/>
      <c r="D1357" s="78"/>
      <c r="E1357" s="101"/>
      <c r="F1357" s="108"/>
      <c r="G1357" s="120"/>
      <c r="H1357" s="101"/>
      <c r="I1357" s="93"/>
      <c r="J1357" s="91"/>
      <c r="L1357" s="94" t="str">
        <f t="shared" si="2"/>
        <v>No infirmation</v>
      </c>
      <c r="M1357" s="94" t="str">
        <f t="shared" si="3"/>
        <v/>
      </c>
    </row>
    <row r="1358" ht="15.75" customHeight="1">
      <c r="B1358" s="77">
        <f t="shared" si="1"/>
        <v>0</v>
      </c>
      <c r="C1358" s="67"/>
      <c r="D1358" s="78"/>
      <c r="E1358" s="101"/>
      <c r="F1358" s="108"/>
      <c r="G1358" s="120"/>
      <c r="H1358" s="101"/>
      <c r="I1358" s="93"/>
      <c r="J1358" s="91"/>
      <c r="L1358" s="94" t="str">
        <f t="shared" si="2"/>
        <v>No infirmation</v>
      </c>
      <c r="M1358" s="94" t="str">
        <f t="shared" si="3"/>
        <v/>
      </c>
    </row>
    <row r="1359" ht="15.75" customHeight="1">
      <c r="B1359" s="77">
        <f t="shared" si="1"/>
        <v>0</v>
      </c>
      <c r="C1359" s="67"/>
      <c r="D1359" s="78"/>
      <c r="E1359" s="101"/>
      <c r="F1359" s="108"/>
      <c r="G1359" s="120"/>
      <c r="H1359" s="101"/>
      <c r="I1359" s="93"/>
      <c r="J1359" s="91"/>
      <c r="L1359" s="94" t="str">
        <f t="shared" si="2"/>
        <v>No infirmation</v>
      </c>
      <c r="M1359" s="94" t="str">
        <f t="shared" si="3"/>
        <v/>
      </c>
    </row>
    <row r="1360" ht="15.75" customHeight="1">
      <c r="B1360" s="77">
        <f t="shared" si="1"/>
        <v>0</v>
      </c>
      <c r="C1360" s="67"/>
      <c r="D1360" s="78"/>
      <c r="E1360" s="101"/>
      <c r="F1360" s="108"/>
      <c r="G1360" s="120"/>
      <c r="H1360" s="101"/>
      <c r="I1360" s="93"/>
      <c r="J1360" s="91"/>
      <c r="L1360" s="94" t="str">
        <f t="shared" si="2"/>
        <v>No infirmation</v>
      </c>
      <c r="M1360" s="94" t="str">
        <f t="shared" si="3"/>
        <v/>
      </c>
    </row>
    <row r="1361" ht="15.75" customHeight="1">
      <c r="B1361" s="77">
        <f t="shared" si="1"/>
        <v>0</v>
      </c>
      <c r="C1361" s="67"/>
      <c r="D1361" s="78"/>
      <c r="E1361" s="101"/>
      <c r="F1361" s="108"/>
      <c r="G1361" s="120"/>
      <c r="H1361" s="101"/>
      <c r="I1361" s="93"/>
      <c r="J1361" s="91"/>
      <c r="L1361" s="94" t="str">
        <f t="shared" si="2"/>
        <v>No infirmation</v>
      </c>
      <c r="M1361" s="94" t="str">
        <f t="shared" si="3"/>
        <v/>
      </c>
    </row>
    <row r="1362" ht="15.75" customHeight="1">
      <c r="B1362" s="77">
        <f t="shared" si="1"/>
        <v>0</v>
      </c>
      <c r="C1362" s="67"/>
      <c r="D1362" s="78"/>
      <c r="E1362" s="101"/>
      <c r="F1362" s="108"/>
      <c r="G1362" s="120"/>
      <c r="H1362" s="101"/>
      <c r="I1362" s="93"/>
      <c r="J1362" s="91"/>
      <c r="L1362" s="94" t="str">
        <f t="shared" si="2"/>
        <v>No infirmation</v>
      </c>
      <c r="M1362" s="94" t="str">
        <f t="shared" si="3"/>
        <v/>
      </c>
    </row>
    <row r="1363" ht="15.75" customHeight="1">
      <c r="B1363" s="77">
        <f t="shared" si="1"/>
        <v>0</v>
      </c>
      <c r="C1363" s="67"/>
      <c r="D1363" s="78"/>
      <c r="E1363" s="101"/>
      <c r="F1363" s="108"/>
      <c r="G1363" s="120"/>
      <c r="H1363" s="101"/>
      <c r="I1363" s="93"/>
      <c r="J1363" s="91"/>
      <c r="L1363" s="94" t="str">
        <f t="shared" si="2"/>
        <v>No infirmation</v>
      </c>
      <c r="M1363" s="94" t="str">
        <f t="shared" si="3"/>
        <v/>
      </c>
    </row>
    <row r="1364" ht="15.75" customHeight="1">
      <c r="B1364" s="77">
        <f t="shared" si="1"/>
        <v>0</v>
      </c>
      <c r="C1364" s="67"/>
      <c r="D1364" s="78"/>
      <c r="E1364" s="101"/>
      <c r="F1364" s="108"/>
      <c r="G1364" s="120"/>
      <c r="H1364" s="101"/>
      <c r="I1364" s="93"/>
      <c r="J1364" s="91"/>
      <c r="L1364" s="94" t="str">
        <f t="shared" si="2"/>
        <v>No infirmation</v>
      </c>
      <c r="M1364" s="94" t="str">
        <f t="shared" si="3"/>
        <v/>
      </c>
    </row>
    <row r="1365" ht="15.75" customHeight="1">
      <c r="B1365" s="77">
        <f t="shared" si="1"/>
        <v>0</v>
      </c>
      <c r="C1365" s="67"/>
      <c r="D1365" s="78"/>
      <c r="E1365" s="101"/>
      <c r="F1365" s="108"/>
      <c r="G1365" s="120"/>
      <c r="H1365" s="101"/>
      <c r="I1365" s="93"/>
      <c r="J1365" s="91"/>
      <c r="L1365" s="94" t="str">
        <f t="shared" si="2"/>
        <v>No infirmation</v>
      </c>
      <c r="M1365" s="94" t="str">
        <f t="shared" si="3"/>
        <v/>
      </c>
    </row>
    <row r="1366" ht="15.75" customHeight="1">
      <c r="B1366" s="77">
        <f t="shared" si="1"/>
        <v>0</v>
      </c>
      <c r="C1366" s="67"/>
      <c r="D1366" s="78"/>
      <c r="E1366" s="101"/>
      <c r="F1366" s="108"/>
      <c r="G1366" s="120"/>
      <c r="H1366" s="101"/>
      <c r="I1366" s="93"/>
      <c r="J1366" s="91"/>
      <c r="L1366" s="94" t="str">
        <f t="shared" si="2"/>
        <v>No infirmation</v>
      </c>
      <c r="M1366" s="94" t="str">
        <f t="shared" si="3"/>
        <v/>
      </c>
    </row>
    <row r="1367" ht="15.75" customHeight="1">
      <c r="B1367" s="77">
        <f t="shared" si="1"/>
        <v>0</v>
      </c>
      <c r="C1367" s="67"/>
      <c r="D1367" s="78"/>
      <c r="E1367" s="101"/>
      <c r="F1367" s="108"/>
      <c r="G1367" s="120"/>
      <c r="H1367" s="101"/>
      <c r="I1367" s="93"/>
      <c r="J1367" s="91"/>
      <c r="L1367" s="94" t="str">
        <f t="shared" si="2"/>
        <v>No infirmation</v>
      </c>
      <c r="M1367" s="94" t="str">
        <f t="shared" si="3"/>
        <v/>
      </c>
    </row>
    <row r="1368" ht="15.75" customHeight="1">
      <c r="B1368" s="77">
        <f t="shared" si="1"/>
        <v>0</v>
      </c>
      <c r="C1368" s="67"/>
      <c r="D1368" s="78"/>
      <c r="E1368" s="101"/>
      <c r="F1368" s="108"/>
      <c r="G1368" s="120"/>
      <c r="H1368" s="101"/>
      <c r="I1368" s="93"/>
      <c r="J1368" s="91"/>
      <c r="L1368" s="94" t="str">
        <f t="shared" si="2"/>
        <v>No infirmation</v>
      </c>
      <c r="M1368" s="94" t="str">
        <f t="shared" si="3"/>
        <v/>
      </c>
    </row>
    <row r="1369" ht="15.75" customHeight="1">
      <c r="B1369" s="77">
        <f t="shared" si="1"/>
        <v>0</v>
      </c>
      <c r="C1369" s="67"/>
      <c r="D1369" s="78"/>
      <c r="E1369" s="101"/>
      <c r="F1369" s="108"/>
      <c r="G1369" s="120"/>
      <c r="H1369" s="101"/>
      <c r="I1369" s="93"/>
      <c r="J1369" s="91"/>
      <c r="L1369" s="94" t="str">
        <f t="shared" si="2"/>
        <v>No infirmation</v>
      </c>
      <c r="M1369" s="94" t="str">
        <f t="shared" si="3"/>
        <v/>
      </c>
    </row>
    <row r="1370" ht="15.75" customHeight="1">
      <c r="B1370" s="77">
        <f t="shared" si="1"/>
        <v>0</v>
      </c>
      <c r="C1370" s="67"/>
      <c r="D1370" s="78"/>
      <c r="E1370" s="101"/>
      <c r="F1370" s="108"/>
      <c r="G1370" s="120"/>
      <c r="H1370" s="101"/>
      <c r="I1370" s="93"/>
      <c r="J1370" s="91"/>
      <c r="L1370" s="94" t="str">
        <f t="shared" si="2"/>
        <v>No infirmation</v>
      </c>
      <c r="M1370" s="94" t="str">
        <f t="shared" si="3"/>
        <v/>
      </c>
    </row>
    <row r="1371" ht="15.75" customHeight="1">
      <c r="B1371" s="77">
        <f t="shared" si="1"/>
        <v>0</v>
      </c>
      <c r="C1371" s="67"/>
      <c r="D1371" s="78"/>
      <c r="E1371" s="101"/>
      <c r="F1371" s="108"/>
      <c r="G1371" s="120"/>
      <c r="H1371" s="101"/>
      <c r="I1371" s="93"/>
      <c r="J1371" s="91"/>
      <c r="L1371" s="94" t="str">
        <f t="shared" si="2"/>
        <v>No infirmation</v>
      </c>
      <c r="M1371" s="94" t="str">
        <f t="shared" si="3"/>
        <v/>
      </c>
    </row>
    <row r="1372" ht="15.75" customHeight="1">
      <c r="B1372" s="77">
        <f t="shared" si="1"/>
        <v>0</v>
      </c>
      <c r="C1372" s="67"/>
      <c r="D1372" s="78"/>
      <c r="E1372" s="101"/>
      <c r="F1372" s="108"/>
      <c r="G1372" s="120"/>
      <c r="H1372" s="101"/>
      <c r="I1372" s="93"/>
      <c r="J1372" s="91"/>
      <c r="L1372" s="94" t="str">
        <f t="shared" si="2"/>
        <v>No infirmation</v>
      </c>
      <c r="M1372" s="94" t="str">
        <f t="shared" si="3"/>
        <v/>
      </c>
    </row>
    <row r="1373" ht="15.75" customHeight="1">
      <c r="B1373" s="77">
        <f t="shared" si="1"/>
        <v>0</v>
      </c>
      <c r="C1373" s="67"/>
      <c r="D1373" s="78"/>
      <c r="E1373" s="101"/>
      <c r="F1373" s="108"/>
      <c r="G1373" s="120"/>
      <c r="H1373" s="101"/>
      <c r="I1373" s="93"/>
      <c r="J1373" s="91"/>
      <c r="L1373" s="94" t="str">
        <f t="shared" si="2"/>
        <v>No infirmation</v>
      </c>
      <c r="M1373" s="94" t="str">
        <f t="shared" si="3"/>
        <v/>
      </c>
    </row>
    <row r="1374" ht="15.75" customHeight="1">
      <c r="B1374" s="77">
        <f t="shared" si="1"/>
        <v>0</v>
      </c>
      <c r="C1374" s="67"/>
      <c r="D1374" s="78"/>
      <c r="E1374" s="101"/>
      <c r="F1374" s="108"/>
      <c r="G1374" s="120"/>
      <c r="H1374" s="101"/>
      <c r="I1374" s="93"/>
      <c r="J1374" s="91"/>
      <c r="L1374" s="94" t="str">
        <f t="shared" si="2"/>
        <v>No infirmation</v>
      </c>
      <c r="M1374" s="94" t="str">
        <f t="shared" si="3"/>
        <v/>
      </c>
    </row>
    <row r="1375" ht="15.75" customHeight="1">
      <c r="B1375" s="77">
        <f t="shared" si="1"/>
        <v>0</v>
      </c>
      <c r="C1375" s="67"/>
      <c r="D1375" s="78"/>
      <c r="E1375" s="101"/>
      <c r="F1375" s="108"/>
      <c r="G1375" s="120"/>
      <c r="H1375" s="101"/>
      <c r="I1375" s="93"/>
      <c r="J1375" s="91"/>
      <c r="L1375" s="94" t="str">
        <f t="shared" si="2"/>
        <v>No infirmation</v>
      </c>
      <c r="M1375" s="94" t="str">
        <f t="shared" si="3"/>
        <v/>
      </c>
    </row>
    <row r="1376" ht="15.75" customHeight="1">
      <c r="B1376" s="77">
        <f t="shared" si="1"/>
        <v>0</v>
      </c>
      <c r="C1376" s="67"/>
      <c r="D1376" s="78"/>
      <c r="E1376" s="101"/>
      <c r="F1376" s="108"/>
      <c r="G1376" s="120"/>
      <c r="H1376" s="101"/>
      <c r="I1376" s="93"/>
      <c r="J1376" s="91"/>
      <c r="L1376" s="94" t="str">
        <f t="shared" si="2"/>
        <v>No infirmation</v>
      </c>
      <c r="M1376" s="94" t="str">
        <f t="shared" si="3"/>
        <v/>
      </c>
    </row>
    <row r="1377" ht="15.75" customHeight="1">
      <c r="B1377" s="77">
        <f t="shared" si="1"/>
        <v>0</v>
      </c>
      <c r="C1377" s="67"/>
      <c r="D1377" s="78"/>
      <c r="E1377" s="101"/>
      <c r="F1377" s="108"/>
      <c r="G1377" s="120"/>
      <c r="H1377" s="101"/>
      <c r="I1377" s="93"/>
      <c r="J1377" s="91"/>
      <c r="L1377" s="94" t="str">
        <f t="shared" si="2"/>
        <v>No infirmation</v>
      </c>
      <c r="M1377" s="94" t="str">
        <f t="shared" si="3"/>
        <v/>
      </c>
    </row>
    <row r="1378" ht="15.75" customHeight="1">
      <c r="B1378" s="77">
        <f t="shared" si="1"/>
        <v>0</v>
      </c>
      <c r="C1378" s="67"/>
      <c r="D1378" s="78"/>
      <c r="E1378" s="101"/>
      <c r="F1378" s="108"/>
      <c r="G1378" s="120"/>
      <c r="H1378" s="101"/>
      <c r="I1378" s="93"/>
      <c r="J1378" s="91"/>
      <c r="L1378" s="94" t="str">
        <f t="shared" si="2"/>
        <v>No infirmation</v>
      </c>
      <c r="M1378" s="94" t="str">
        <f t="shared" si="3"/>
        <v/>
      </c>
    </row>
    <row r="1379" ht="15.75" customHeight="1">
      <c r="B1379" s="77">
        <f t="shared" si="1"/>
        <v>0</v>
      </c>
      <c r="C1379" s="67"/>
      <c r="D1379" s="78"/>
      <c r="E1379" s="101"/>
      <c r="F1379" s="108"/>
      <c r="G1379" s="120"/>
      <c r="H1379" s="101"/>
      <c r="I1379" s="93"/>
      <c r="J1379" s="91"/>
      <c r="L1379" s="94" t="str">
        <f t="shared" si="2"/>
        <v>No infirmation</v>
      </c>
      <c r="M1379" s="94" t="str">
        <f t="shared" si="3"/>
        <v/>
      </c>
    </row>
    <row r="1380" ht="15.75" customHeight="1">
      <c r="B1380" s="77">
        <f t="shared" si="1"/>
        <v>0</v>
      </c>
      <c r="C1380" s="67"/>
      <c r="D1380" s="78"/>
      <c r="E1380" s="101"/>
      <c r="F1380" s="108"/>
      <c r="G1380" s="120"/>
      <c r="H1380" s="101"/>
      <c r="I1380" s="93"/>
      <c r="J1380" s="91"/>
      <c r="L1380" s="94" t="str">
        <f t="shared" si="2"/>
        <v>No infirmation</v>
      </c>
      <c r="M1380" s="94" t="str">
        <f t="shared" si="3"/>
        <v/>
      </c>
    </row>
    <row r="1381" ht="15.75" customHeight="1">
      <c r="B1381" s="77">
        <f t="shared" si="1"/>
        <v>0</v>
      </c>
      <c r="C1381" s="67"/>
      <c r="D1381" s="78"/>
      <c r="E1381" s="101"/>
      <c r="F1381" s="108"/>
      <c r="G1381" s="120"/>
      <c r="H1381" s="101"/>
      <c r="I1381" s="93"/>
      <c r="J1381" s="91"/>
      <c r="L1381" s="94" t="str">
        <f t="shared" si="2"/>
        <v>No infirmation</v>
      </c>
      <c r="M1381" s="94" t="str">
        <f t="shared" si="3"/>
        <v/>
      </c>
    </row>
    <row r="1382" ht="15.75" customHeight="1">
      <c r="B1382" s="77">
        <f t="shared" si="1"/>
        <v>0</v>
      </c>
      <c r="C1382" s="67"/>
      <c r="D1382" s="78"/>
      <c r="E1382" s="101"/>
      <c r="F1382" s="108"/>
      <c r="G1382" s="120"/>
      <c r="H1382" s="101"/>
      <c r="I1382" s="93"/>
      <c r="J1382" s="91"/>
      <c r="L1382" s="94" t="str">
        <f t="shared" si="2"/>
        <v>No infirmation</v>
      </c>
      <c r="M1382" s="94" t="str">
        <f t="shared" si="3"/>
        <v/>
      </c>
    </row>
    <row r="1383" ht="15.75" customHeight="1">
      <c r="B1383" s="77">
        <f t="shared" si="1"/>
        <v>0</v>
      </c>
      <c r="C1383" s="67"/>
      <c r="D1383" s="78"/>
      <c r="E1383" s="101"/>
      <c r="F1383" s="108"/>
      <c r="G1383" s="120"/>
      <c r="H1383" s="101"/>
      <c r="I1383" s="93"/>
      <c r="J1383" s="91"/>
      <c r="L1383" s="94" t="str">
        <f t="shared" si="2"/>
        <v>No infirmation</v>
      </c>
      <c r="M1383" s="94" t="str">
        <f t="shared" si="3"/>
        <v/>
      </c>
    </row>
    <row r="1384" ht="15.75" customHeight="1">
      <c r="B1384" s="77">
        <f t="shared" si="1"/>
        <v>0</v>
      </c>
      <c r="C1384" s="67"/>
      <c r="D1384" s="78"/>
      <c r="E1384" s="101"/>
      <c r="F1384" s="108"/>
      <c r="G1384" s="120"/>
      <c r="H1384" s="101"/>
      <c r="I1384" s="93"/>
      <c r="J1384" s="91"/>
      <c r="L1384" s="94" t="str">
        <f t="shared" si="2"/>
        <v>No infirmation</v>
      </c>
      <c r="M1384" s="94" t="str">
        <f t="shared" si="3"/>
        <v/>
      </c>
    </row>
    <row r="1385" ht="15.75" customHeight="1">
      <c r="B1385" s="77">
        <f t="shared" si="1"/>
        <v>0</v>
      </c>
      <c r="C1385" s="67"/>
      <c r="D1385" s="78"/>
      <c r="E1385" s="101"/>
      <c r="F1385" s="108"/>
      <c r="G1385" s="120"/>
      <c r="H1385" s="101"/>
      <c r="I1385" s="93"/>
      <c r="J1385" s="91"/>
      <c r="L1385" s="94" t="str">
        <f t="shared" si="2"/>
        <v>No infirmation</v>
      </c>
      <c r="M1385" s="94" t="str">
        <f t="shared" si="3"/>
        <v/>
      </c>
    </row>
    <row r="1386" ht="15.75" customHeight="1">
      <c r="B1386" s="77">
        <f t="shared" si="1"/>
        <v>0</v>
      </c>
      <c r="C1386" s="67"/>
      <c r="D1386" s="78"/>
      <c r="E1386" s="101"/>
      <c r="F1386" s="108"/>
      <c r="G1386" s="120"/>
      <c r="H1386" s="101"/>
      <c r="I1386" s="93"/>
      <c r="J1386" s="91"/>
      <c r="L1386" s="94" t="str">
        <f t="shared" si="2"/>
        <v>No infirmation</v>
      </c>
      <c r="M1386" s="94" t="str">
        <f t="shared" si="3"/>
        <v/>
      </c>
    </row>
    <row r="1387" ht="15.75" customHeight="1">
      <c r="B1387" s="77">
        <f t="shared" si="1"/>
        <v>0</v>
      </c>
      <c r="C1387" s="67"/>
      <c r="D1387" s="78"/>
      <c r="E1387" s="101"/>
      <c r="F1387" s="108"/>
      <c r="G1387" s="120"/>
      <c r="H1387" s="101"/>
      <c r="I1387" s="93"/>
      <c r="J1387" s="91"/>
      <c r="L1387" s="94" t="str">
        <f t="shared" si="2"/>
        <v>No infirmation</v>
      </c>
      <c r="M1387" s="94" t="str">
        <f t="shared" si="3"/>
        <v/>
      </c>
    </row>
    <row r="1388" ht="15.75" customHeight="1">
      <c r="B1388" s="77">
        <f t="shared" si="1"/>
        <v>0</v>
      </c>
      <c r="C1388" s="67"/>
      <c r="D1388" s="78"/>
      <c r="E1388" s="101"/>
      <c r="F1388" s="108"/>
      <c r="G1388" s="120"/>
      <c r="H1388" s="101"/>
      <c r="I1388" s="93"/>
      <c r="J1388" s="91"/>
      <c r="L1388" s="94" t="str">
        <f t="shared" si="2"/>
        <v>No infirmation</v>
      </c>
      <c r="M1388" s="94" t="str">
        <f t="shared" si="3"/>
        <v/>
      </c>
    </row>
    <row r="1389" ht="15.75" customHeight="1">
      <c r="B1389" s="77">
        <f t="shared" si="1"/>
        <v>0</v>
      </c>
      <c r="C1389" s="67"/>
      <c r="D1389" s="78"/>
      <c r="E1389" s="101"/>
      <c r="F1389" s="108"/>
      <c r="G1389" s="120"/>
      <c r="H1389" s="101"/>
      <c r="I1389" s="93"/>
      <c r="J1389" s="91"/>
      <c r="L1389" s="94" t="str">
        <f t="shared" si="2"/>
        <v>No infirmation</v>
      </c>
      <c r="M1389" s="94" t="str">
        <f t="shared" si="3"/>
        <v/>
      </c>
    </row>
    <row r="1390" ht="15.75" customHeight="1">
      <c r="B1390" s="77">
        <f t="shared" si="1"/>
        <v>0</v>
      </c>
      <c r="C1390" s="67"/>
      <c r="D1390" s="78"/>
      <c r="E1390" s="101"/>
      <c r="F1390" s="108"/>
      <c r="G1390" s="120"/>
      <c r="H1390" s="101"/>
      <c r="I1390" s="93"/>
      <c r="J1390" s="91"/>
      <c r="L1390" s="94" t="str">
        <f t="shared" si="2"/>
        <v>No infirmation</v>
      </c>
      <c r="M1390" s="94" t="str">
        <f t="shared" si="3"/>
        <v/>
      </c>
    </row>
    <row r="1391" ht="15.75" customHeight="1">
      <c r="B1391" s="77">
        <f t="shared" si="1"/>
        <v>0</v>
      </c>
      <c r="C1391" s="67"/>
      <c r="D1391" s="78"/>
      <c r="E1391" s="101"/>
      <c r="F1391" s="108"/>
      <c r="G1391" s="120"/>
      <c r="H1391" s="101"/>
      <c r="I1391" s="93"/>
      <c r="J1391" s="91"/>
      <c r="L1391" s="94" t="str">
        <f t="shared" si="2"/>
        <v>No infirmation</v>
      </c>
      <c r="M1391" s="94" t="str">
        <f t="shared" si="3"/>
        <v/>
      </c>
    </row>
    <row r="1392" ht="15.75" customHeight="1">
      <c r="B1392" s="77">
        <f t="shared" si="1"/>
        <v>0</v>
      </c>
      <c r="C1392" s="67"/>
      <c r="D1392" s="78"/>
      <c r="E1392" s="101"/>
      <c r="F1392" s="108"/>
      <c r="G1392" s="120"/>
      <c r="H1392" s="101"/>
      <c r="I1392" s="93"/>
      <c r="J1392" s="91"/>
      <c r="L1392" s="94" t="str">
        <f t="shared" si="2"/>
        <v>No infirmation</v>
      </c>
      <c r="M1392" s="94" t="str">
        <f t="shared" si="3"/>
        <v/>
      </c>
    </row>
    <row r="1393" ht="15.75" customHeight="1">
      <c r="B1393" s="77">
        <f t="shared" si="1"/>
        <v>0</v>
      </c>
      <c r="C1393" s="67"/>
      <c r="D1393" s="78"/>
      <c r="E1393" s="101"/>
      <c r="F1393" s="108"/>
      <c r="G1393" s="120"/>
      <c r="H1393" s="101"/>
      <c r="I1393" s="93"/>
      <c r="J1393" s="91"/>
      <c r="L1393" s="94" t="str">
        <f t="shared" si="2"/>
        <v>No infirmation</v>
      </c>
      <c r="M1393" s="94" t="str">
        <f t="shared" si="3"/>
        <v/>
      </c>
    </row>
    <row r="1394" ht="15.75" customHeight="1">
      <c r="B1394" s="77">
        <f t="shared" si="1"/>
        <v>0</v>
      </c>
      <c r="C1394" s="67"/>
      <c r="D1394" s="78"/>
      <c r="E1394" s="101"/>
      <c r="F1394" s="108"/>
      <c r="G1394" s="120"/>
      <c r="H1394" s="101"/>
      <c r="I1394" s="93"/>
      <c r="J1394" s="91"/>
      <c r="L1394" s="94" t="str">
        <f t="shared" si="2"/>
        <v>No infirmation</v>
      </c>
      <c r="M1394" s="94" t="str">
        <f t="shared" si="3"/>
        <v/>
      </c>
    </row>
    <row r="1395" ht="15.75" customHeight="1">
      <c r="B1395" s="77">
        <f t="shared" si="1"/>
        <v>0</v>
      </c>
      <c r="C1395" s="67"/>
      <c r="D1395" s="78"/>
      <c r="E1395" s="101"/>
      <c r="F1395" s="108"/>
      <c r="G1395" s="120"/>
      <c r="H1395" s="101"/>
      <c r="I1395" s="93"/>
      <c r="J1395" s="91"/>
      <c r="L1395" s="94" t="str">
        <f t="shared" si="2"/>
        <v>No infirmation</v>
      </c>
      <c r="M1395" s="94" t="str">
        <f t="shared" si="3"/>
        <v/>
      </c>
    </row>
    <row r="1396" ht="15.75" customHeight="1">
      <c r="B1396" s="77">
        <f t="shared" si="1"/>
        <v>0</v>
      </c>
      <c r="C1396" s="67"/>
      <c r="D1396" s="78"/>
      <c r="E1396" s="101"/>
      <c r="F1396" s="108"/>
      <c r="G1396" s="120"/>
      <c r="H1396" s="101"/>
      <c r="I1396" s="93"/>
      <c r="J1396" s="91"/>
      <c r="L1396" s="94" t="str">
        <f t="shared" si="2"/>
        <v>No infirmation</v>
      </c>
      <c r="M1396" s="94" t="str">
        <f t="shared" si="3"/>
        <v/>
      </c>
    </row>
    <row r="1397" ht="15.75" customHeight="1">
      <c r="B1397" s="77">
        <f t="shared" si="1"/>
        <v>0</v>
      </c>
      <c r="C1397" s="67"/>
      <c r="D1397" s="78"/>
      <c r="E1397" s="101"/>
      <c r="F1397" s="108"/>
      <c r="G1397" s="120"/>
      <c r="H1397" s="101"/>
      <c r="I1397" s="93"/>
      <c r="J1397" s="91"/>
      <c r="L1397" s="94" t="str">
        <f t="shared" si="2"/>
        <v>No infirmation</v>
      </c>
      <c r="M1397" s="94" t="str">
        <f t="shared" si="3"/>
        <v/>
      </c>
    </row>
    <row r="1398" ht="15.75" customHeight="1">
      <c r="B1398" s="77">
        <f t="shared" si="1"/>
        <v>0</v>
      </c>
      <c r="C1398" s="67"/>
      <c r="D1398" s="78"/>
      <c r="E1398" s="101"/>
      <c r="F1398" s="108"/>
      <c r="G1398" s="120"/>
      <c r="H1398" s="101"/>
      <c r="I1398" s="93"/>
      <c r="J1398" s="91"/>
      <c r="L1398" s="94" t="str">
        <f t="shared" si="2"/>
        <v>No infirmation</v>
      </c>
      <c r="M1398" s="94" t="str">
        <f t="shared" si="3"/>
        <v/>
      </c>
    </row>
    <row r="1399" ht="15.75" customHeight="1">
      <c r="B1399" s="77">
        <f t="shared" si="1"/>
        <v>0</v>
      </c>
      <c r="C1399" s="67"/>
      <c r="D1399" s="78"/>
      <c r="E1399" s="101"/>
      <c r="F1399" s="108"/>
      <c r="G1399" s="120"/>
      <c r="H1399" s="101"/>
      <c r="I1399" s="93"/>
      <c r="J1399" s="91"/>
      <c r="L1399" s="94" t="str">
        <f t="shared" si="2"/>
        <v>No infirmation</v>
      </c>
      <c r="M1399" s="94" t="str">
        <f t="shared" si="3"/>
        <v/>
      </c>
    </row>
    <row r="1400" ht="15.75" customHeight="1">
      <c r="B1400" s="77">
        <f t="shared" si="1"/>
        <v>0</v>
      </c>
      <c r="C1400" s="67"/>
      <c r="D1400" s="78"/>
      <c r="E1400" s="101"/>
      <c r="F1400" s="108"/>
      <c r="G1400" s="120"/>
      <c r="H1400" s="101"/>
      <c r="I1400" s="93"/>
      <c r="J1400" s="91"/>
      <c r="L1400" s="94" t="str">
        <f t="shared" si="2"/>
        <v>No infirmation</v>
      </c>
      <c r="M1400" s="94" t="str">
        <f t="shared" si="3"/>
        <v/>
      </c>
    </row>
    <row r="1401" ht="15.75" customHeight="1">
      <c r="B1401" s="77">
        <f t="shared" si="1"/>
        <v>0</v>
      </c>
      <c r="C1401" s="67"/>
      <c r="D1401" s="78"/>
      <c r="E1401" s="101"/>
      <c r="F1401" s="108"/>
      <c r="G1401" s="120"/>
      <c r="H1401" s="101"/>
      <c r="I1401" s="93"/>
      <c r="J1401" s="91"/>
      <c r="L1401" s="94" t="str">
        <f t="shared" si="2"/>
        <v>No infirmation</v>
      </c>
      <c r="M1401" s="94" t="str">
        <f t="shared" si="3"/>
        <v/>
      </c>
    </row>
    <row r="1402" ht="15.75" customHeight="1">
      <c r="B1402" s="77">
        <f t="shared" si="1"/>
        <v>0</v>
      </c>
      <c r="C1402" s="67"/>
      <c r="D1402" s="78"/>
      <c r="E1402" s="101"/>
      <c r="F1402" s="108"/>
      <c r="G1402" s="120"/>
      <c r="H1402" s="101"/>
      <c r="I1402" s="93"/>
      <c r="J1402" s="91"/>
      <c r="L1402" s="94" t="str">
        <f t="shared" si="2"/>
        <v>No infirmation</v>
      </c>
      <c r="M1402" s="94" t="str">
        <f t="shared" si="3"/>
        <v/>
      </c>
    </row>
    <row r="1403" ht="15.75" customHeight="1">
      <c r="B1403" s="77">
        <f t="shared" si="1"/>
        <v>0</v>
      </c>
      <c r="C1403" s="67"/>
      <c r="D1403" s="78"/>
      <c r="E1403" s="101"/>
      <c r="F1403" s="108"/>
      <c r="G1403" s="120"/>
      <c r="H1403" s="101"/>
      <c r="I1403" s="93"/>
      <c r="J1403" s="91"/>
      <c r="L1403" s="94" t="str">
        <f t="shared" si="2"/>
        <v>No infirmation</v>
      </c>
      <c r="M1403" s="94" t="str">
        <f t="shared" si="3"/>
        <v/>
      </c>
    </row>
    <row r="1404" ht="15.75" customHeight="1">
      <c r="B1404" s="77">
        <f t="shared" si="1"/>
        <v>0</v>
      </c>
      <c r="C1404" s="67"/>
      <c r="D1404" s="78"/>
      <c r="E1404" s="101"/>
      <c r="F1404" s="108"/>
      <c r="G1404" s="120"/>
      <c r="H1404" s="101"/>
      <c r="I1404" s="93"/>
      <c r="J1404" s="91"/>
      <c r="L1404" s="94" t="str">
        <f t="shared" si="2"/>
        <v>No infirmation</v>
      </c>
      <c r="M1404" s="94" t="str">
        <f t="shared" si="3"/>
        <v/>
      </c>
    </row>
    <row r="1405" ht="15.75" customHeight="1">
      <c r="B1405" s="77">
        <f t="shared" si="1"/>
        <v>0</v>
      </c>
      <c r="C1405" s="67"/>
      <c r="D1405" s="78"/>
      <c r="E1405" s="101"/>
      <c r="F1405" s="108"/>
      <c r="G1405" s="120"/>
      <c r="H1405" s="101"/>
      <c r="I1405" s="93"/>
      <c r="J1405" s="91"/>
      <c r="L1405" s="94" t="str">
        <f t="shared" si="2"/>
        <v>No infirmation</v>
      </c>
      <c r="M1405" s="94" t="str">
        <f t="shared" si="3"/>
        <v/>
      </c>
    </row>
    <row r="1406" ht="15.75" customHeight="1">
      <c r="B1406" s="77">
        <f t="shared" si="1"/>
        <v>0</v>
      </c>
      <c r="C1406" s="67"/>
      <c r="D1406" s="78"/>
      <c r="E1406" s="101"/>
      <c r="F1406" s="108"/>
      <c r="G1406" s="120"/>
      <c r="H1406" s="101"/>
      <c r="I1406" s="93"/>
      <c r="J1406" s="91"/>
      <c r="L1406" s="94" t="str">
        <f t="shared" si="2"/>
        <v>No infirmation</v>
      </c>
      <c r="M1406" s="94" t="str">
        <f t="shared" si="3"/>
        <v/>
      </c>
    </row>
    <row r="1407" ht="15.75" customHeight="1">
      <c r="B1407" s="77">
        <f t="shared" si="1"/>
        <v>0</v>
      </c>
      <c r="C1407" s="67"/>
      <c r="D1407" s="78"/>
      <c r="E1407" s="101"/>
      <c r="F1407" s="108"/>
      <c r="G1407" s="120"/>
      <c r="H1407" s="101"/>
      <c r="I1407" s="93"/>
      <c r="J1407" s="91"/>
      <c r="L1407" s="94" t="str">
        <f t="shared" si="2"/>
        <v>No infirmation</v>
      </c>
      <c r="M1407" s="94" t="str">
        <f t="shared" si="3"/>
        <v/>
      </c>
    </row>
    <row r="1408" ht="15.75" customHeight="1">
      <c r="B1408" s="77">
        <f t="shared" si="1"/>
        <v>0</v>
      </c>
      <c r="C1408" s="67"/>
      <c r="D1408" s="78"/>
      <c r="E1408" s="101"/>
      <c r="F1408" s="108"/>
      <c r="G1408" s="120"/>
      <c r="H1408" s="101"/>
      <c r="I1408" s="93"/>
      <c r="J1408" s="91"/>
      <c r="L1408" s="94" t="str">
        <f t="shared" si="2"/>
        <v>No infirmation</v>
      </c>
      <c r="M1408" s="94" t="str">
        <f t="shared" si="3"/>
        <v/>
      </c>
    </row>
    <row r="1409" ht="15.75" customHeight="1">
      <c r="B1409" s="77">
        <f t="shared" si="1"/>
        <v>0</v>
      </c>
      <c r="C1409" s="67"/>
      <c r="D1409" s="78"/>
      <c r="E1409" s="101"/>
      <c r="F1409" s="108"/>
      <c r="G1409" s="120"/>
      <c r="H1409" s="101"/>
      <c r="I1409" s="93"/>
      <c r="J1409" s="91"/>
      <c r="L1409" s="94" t="str">
        <f t="shared" si="2"/>
        <v>No infirmation</v>
      </c>
      <c r="M1409" s="94" t="str">
        <f t="shared" si="3"/>
        <v/>
      </c>
    </row>
    <row r="1410" ht="15.75" customHeight="1">
      <c r="B1410" s="77">
        <f t="shared" si="1"/>
        <v>0</v>
      </c>
      <c r="C1410" s="67"/>
      <c r="D1410" s="78"/>
      <c r="E1410" s="101"/>
      <c r="F1410" s="108"/>
      <c r="G1410" s="120"/>
      <c r="H1410" s="101"/>
      <c r="I1410" s="93"/>
      <c r="J1410" s="91"/>
      <c r="L1410" s="94" t="str">
        <f t="shared" si="2"/>
        <v>No infirmation</v>
      </c>
      <c r="M1410" s="94" t="str">
        <f t="shared" si="3"/>
        <v/>
      </c>
    </row>
    <row r="1411" ht="15.75" customHeight="1">
      <c r="B1411" s="77">
        <f t="shared" si="1"/>
        <v>0</v>
      </c>
      <c r="C1411" s="67"/>
      <c r="D1411" s="78"/>
      <c r="E1411" s="101"/>
      <c r="F1411" s="108"/>
      <c r="G1411" s="120"/>
      <c r="H1411" s="101"/>
      <c r="I1411" s="93"/>
      <c r="J1411" s="91"/>
      <c r="L1411" s="94" t="str">
        <f t="shared" si="2"/>
        <v>No infirmation</v>
      </c>
      <c r="M1411" s="94" t="str">
        <f t="shared" si="3"/>
        <v/>
      </c>
    </row>
    <row r="1412" ht="15.75" customHeight="1">
      <c r="B1412" s="77">
        <f t="shared" si="1"/>
        <v>0</v>
      </c>
      <c r="C1412" s="67"/>
      <c r="D1412" s="78"/>
      <c r="E1412" s="101"/>
      <c r="F1412" s="108"/>
      <c r="G1412" s="120"/>
      <c r="H1412" s="101"/>
      <c r="I1412" s="93"/>
      <c r="J1412" s="91"/>
      <c r="L1412" s="94" t="str">
        <f t="shared" si="2"/>
        <v>No infirmation</v>
      </c>
      <c r="M1412" s="94" t="str">
        <f t="shared" si="3"/>
        <v/>
      </c>
    </row>
    <row r="1413" ht="15.75" customHeight="1">
      <c r="B1413" s="77">
        <f t="shared" si="1"/>
        <v>0</v>
      </c>
      <c r="C1413" s="67"/>
      <c r="D1413" s="78"/>
      <c r="E1413" s="101"/>
      <c r="F1413" s="108"/>
      <c r="G1413" s="120"/>
      <c r="H1413" s="101"/>
      <c r="I1413" s="93"/>
      <c r="J1413" s="91"/>
      <c r="L1413" s="94" t="str">
        <f t="shared" si="2"/>
        <v>No infirmation</v>
      </c>
      <c r="M1413" s="94" t="str">
        <f t="shared" si="3"/>
        <v/>
      </c>
    </row>
    <row r="1414" ht="15.75" customHeight="1">
      <c r="B1414" s="77">
        <f t="shared" si="1"/>
        <v>0</v>
      </c>
      <c r="C1414" s="67"/>
      <c r="D1414" s="78"/>
      <c r="E1414" s="101"/>
      <c r="F1414" s="108"/>
      <c r="G1414" s="120"/>
      <c r="H1414" s="101"/>
      <c r="I1414" s="93"/>
      <c r="J1414" s="91"/>
      <c r="L1414" s="94" t="str">
        <f t="shared" si="2"/>
        <v>No infirmation</v>
      </c>
      <c r="M1414" s="94" t="str">
        <f t="shared" si="3"/>
        <v/>
      </c>
    </row>
    <row r="1415" ht="15.75" customHeight="1">
      <c r="B1415" s="77">
        <f t="shared" si="1"/>
        <v>0</v>
      </c>
      <c r="C1415" s="67"/>
      <c r="D1415" s="78"/>
      <c r="E1415" s="101"/>
      <c r="F1415" s="108"/>
      <c r="G1415" s="120"/>
      <c r="H1415" s="101"/>
      <c r="I1415" s="93"/>
      <c r="J1415" s="91"/>
      <c r="L1415" s="94" t="str">
        <f t="shared" si="2"/>
        <v>No infirmation</v>
      </c>
      <c r="M1415" s="94" t="str">
        <f t="shared" si="3"/>
        <v/>
      </c>
    </row>
    <row r="1416" ht="15.75" customHeight="1">
      <c r="B1416" s="77">
        <f t="shared" si="1"/>
        <v>0</v>
      </c>
      <c r="C1416" s="67"/>
      <c r="D1416" s="78"/>
      <c r="E1416" s="101"/>
      <c r="F1416" s="108"/>
      <c r="G1416" s="120"/>
      <c r="H1416" s="101"/>
      <c r="I1416" s="93"/>
      <c r="J1416" s="91"/>
      <c r="L1416" s="94" t="str">
        <f t="shared" si="2"/>
        <v>No infirmation</v>
      </c>
      <c r="M1416" s="94" t="str">
        <f t="shared" si="3"/>
        <v/>
      </c>
    </row>
    <row r="1417" ht="15.75" customHeight="1">
      <c r="B1417" s="77">
        <f t="shared" si="1"/>
        <v>0</v>
      </c>
      <c r="C1417" s="67"/>
      <c r="D1417" s="78"/>
      <c r="E1417" s="101"/>
      <c r="F1417" s="108"/>
      <c r="G1417" s="120"/>
      <c r="H1417" s="101"/>
      <c r="I1417" s="93"/>
      <c r="J1417" s="91"/>
      <c r="L1417" s="94" t="str">
        <f t="shared" si="2"/>
        <v>No infirmation</v>
      </c>
      <c r="M1417" s="94" t="str">
        <f t="shared" si="3"/>
        <v/>
      </c>
    </row>
    <row r="1418" ht="15.75" customHeight="1">
      <c r="B1418" s="77">
        <f t="shared" si="1"/>
        <v>0</v>
      </c>
      <c r="C1418" s="67"/>
      <c r="D1418" s="78"/>
      <c r="E1418" s="101"/>
      <c r="F1418" s="108"/>
      <c r="G1418" s="120"/>
      <c r="H1418" s="101"/>
      <c r="I1418" s="93"/>
      <c r="J1418" s="91"/>
      <c r="L1418" s="94" t="str">
        <f t="shared" si="2"/>
        <v>No infirmation</v>
      </c>
      <c r="M1418" s="94" t="str">
        <f t="shared" si="3"/>
        <v/>
      </c>
    </row>
    <row r="1419" ht="15.75" customHeight="1">
      <c r="B1419" s="77">
        <f t="shared" si="1"/>
        <v>0</v>
      </c>
      <c r="C1419" s="67"/>
      <c r="D1419" s="78"/>
      <c r="E1419" s="101"/>
      <c r="F1419" s="108"/>
      <c r="G1419" s="120"/>
      <c r="H1419" s="101"/>
      <c r="I1419" s="93"/>
      <c r="J1419" s="91"/>
      <c r="L1419" s="94" t="str">
        <f t="shared" si="2"/>
        <v>No infirmation</v>
      </c>
      <c r="M1419" s="94" t="str">
        <f t="shared" si="3"/>
        <v/>
      </c>
    </row>
    <row r="1420" ht="15.75" customHeight="1">
      <c r="B1420" s="77">
        <f t="shared" si="1"/>
        <v>0</v>
      </c>
      <c r="C1420" s="67"/>
      <c r="D1420" s="78"/>
      <c r="E1420" s="101"/>
      <c r="F1420" s="108"/>
      <c r="G1420" s="120"/>
      <c r="H1420" s="101"/>
      <c r="I1420" s="93"/>
      <c r="J1420" s="91"/>
      <c r="L1420" s="94" t="str">
        <f t="shared" si="2"/>
        <v>No infirmation</v>
      </c>
      <c r="M1420" s="94" t="str">
        <f t="shared" si="3"/>
        <v/>
      </c>
    </row>
    <row r="1421" ht="15.75" customHeight="1">
      <c r="B1421" s="77">
        <f t="shared" si="1"/>
        <v>0</v>
      </c>
      <c r="C1421" s="67"/>
      <c r="D1421" s="78"/>
      <c r="E1421" s="101"/>
      <c r="F1421" s="108"/>
      <c r="G1421" s="120"/>
      <c r="H1421" s="101"/>
      <c r="I1421" s="93"/>
      <c r="J1421" s="91"/>
      <c r="L1421" s="94" t="str">
        <f t="shared" si="2"/>
        <v>No infirmation</v>
      </c>
      <c r="M1421" s="94" t="str">
        <f t="shared" si="3"/>
        <v/>
      </c>
    </row>
    <row r="1422" ht="15.75" customHeight="1">
      <c r="B1422" s="77">
        <f t="shared" si="1"/>
        <v>0</v>
      </c>
      <c r="C1422" s="67"/>
      <c r="D1422" s="78"/>
      <c r="E1422" s="101"/>
      <c r="F1422" s="108"/>
      <c r="G1422" s="120"/>
      <c r="H1422" s="101"/>
      <c r="I1422" s="93"/>
      <c r="J1422" s="91"/>
      <c r="L1422" s="94" t="str">
        <f t="shared" si="2"/>
        <v>No infirmation</v>
      </c>
      <c r="M1422" s="94" t="str">
        <f t="shared" si="3"/>
        <v/>
      </c>
    </row>
    <row r="1423" ht="15.75" customHeight="1">
      <c r="B1423" s="77">
        <f t="shared" si="1"/>
        <v>0</v>
      </c>
      <c r="C1423" s="67"/>
      <c r="D1423" s="78"/>
      <c r="E1423" s="101"/>
      <c r="F1423" s="108"/>
      <c r="G1423" s="120"/>
      <c r="H1423" s="101"/>
      <c r="I1423" s="93"/>
      <c r="J1423" s="91"/>
      <c r="L1423" s="94" t="str">
        <f t="shared" si="2"/>
        <v>No infirmation</v>
      </c>
      <c r="M1423" s="94" t="str">
        <f t="shared" si="3"/>
        <v/>
      </c>
    </row>
    <row r="1424" ht="15.75" customHeight="1">
      <c r="B1424" s="77">
        <f t="shared" si="1"/>
        <v>0</v>
      </c>
      <c r="C1424" s="67"/>
      <c r="D1424" s="78"/>
      <c r="E1424" s="101"/>
      <c r="F1424" s="108"/>
      <c r="G1424" s="120"/>
      <c r="H1424" s="101"/>
      <c r="I1424" s="93"/>
      <c r="J1424" s="91"/>
      <c r="L1424" s="94" t="str">
        <f t="shared" si="2"/>
        <v>No infirmation</v>
      </c>
      <c r="M1424" s="94" t="str">
        <f t="shared" si="3"/>
        <v/>
      </c>
    </row>
    <row r="1425" ht="15.75" customHeight="1">
      <c r="B1425" s="77">
        <f t="shared" si="1"/>
        <v>0</v>
      </c>
      <c r="C1425" s="67"/>
      <c r="D1425" s="78"/>
      <c r="E1425" s="101"/>
      <c r="F1425" s="108"/>
      <c r="G1425" s="120"/>
      <c r="H1425" s="101"/>
      <c r="I1425" s="93"/>
      <c r="J1425" s="91"/>
      <c r="L1425" s="94" t="str">
        <f t="shared" si="2"/>
        <v>No infirmation</v>
      </c>
      <c r="M1425" s="94" t="str">
        <f t="shared" si="3"/>
        <v/>
      </c>
    </row>
    <row r="1426" ht="15.75" customHeight="1">
      <c r="B1426" s="77">
        <f t="shared" si="1"/>
        <v>0</v>
      </c>
      <c r="C1426" s="67"/>
      <c r="D1426" s="78"/>
      <c r="E1426" s="101"/>
      <c r="F1426" s="108"/>
      <c r="G1426" s="120"/>
      <c r="H1426" s="101"/>
      <c r="I1426" s="93"/>
      <c r="J1426" s="91"/>
      <c r="L1426" s="94" t="str">
        <f t="shared" si="2"/>
        <v>No infirmation</v>
      </c>
      <c r="M1426" s="94" t="str">
        <f t="shared" si="3"/>
        <v/>
      </c>
    </row>
    <row r="1427" ht="15.75" customHeight="1">
      <c r="B1427" s="77">
        <f t="shared" si="1"/>
        <v>0</v>
      </c>
      <c r="C1427" s="67"/>
      <c r="D1427" s="78"/>
      <c r="E1427" s="101"/>
      <c r="F1427" s="108"/>
      <c r="G1427" s="120"/>
      <c r="H1427" s="101"/>
      <c r="I1427" s="93"/>
      <c r="J1427" s="91"/>
      <c r="L1427" s="94" t="str">
        <f t="shared" si="2"/>
        <v>No infirmation</v>
      </c>
      <c r="M1427" s="94" t="str">
        <f t="shared" si="3"/>
        <v/>
      </c>
    </row>
    <row r="1428" ht="15.75" customHeight="1">
      <c r="B1428" s="77">
        <f t="shared" si="1"/>
        <v>0</v>
      </c>
      <c r="C1428" s="67"/>
      <c r="D1428" s="78"/>
      <c r="E1428" s="101"/>
      <c r="F1428" s="108"/>
      <c r="G1428" s="120"/>
      <c r="H1428" s="101"/>
      <c r="I1428" s="93"/>
      <c r="J1428" s="91"/>
      <c r="L1428" s="94" t="str">
        <f t="shared" si="2"/>
        <v>No infirmation</v>
      </c>
      <c r="M1428" s="94" t="str">
        <f t="shared" si="3"/>
        <v/>
      </c>
    </row>
    <row r="1429" ht="15.75" customHeight="1">
      <c r="B1429" s="77">
        <f t="shared" si="1"/>
        <v>0</v>
      </c>
      <c r="C1429" s="67"/>
      <c r="D1429" s="78"/>
      <c r="E1429" s="101"/>
      <c r="F1429" s="108"/>
      <c r="G1429" s="120"/>
      <c r="H1429" s="101"/>
      <c r="I1429" s="93"/>
      <c r="J1429" s="91"/>
      <c r="L1429" s="94" t="str">
        <f t="shared" si="2"/>
        <v>No infirmation</v>
      </c>
      <c r="M1429" s="94" t="str">
        <f t="shared" si="3"/>
        <v/>
      </c>
    </row>
    <row r="1430" ht="15.75" customHeight="1">
      <c r="B1430" s="77">
        <f t="shared" si="1"/>
        <v>0</v>
      </c>
      <c r="C1430" s="67"/>
      <c r="D1430" s="78"/>
      <c r="E1430" s="101"/>
      <c r="F1430" s="108"/>
      <c r="G1430" s="120"/>
      <c r="H1430" s="101"/>
      <c r="I1430" s="93"/>
      <c r="J1430" s="91"/>
      <c r="L1430" s="94" t="str">
        <f t="shared" si="2"/>
        <v>No infirmation</v>
      </c>
      <c r="M1430" s="94" t="str">
        <f t="shared" si="3"/>
        <v/>
      </c>
    </row>
    <row r="1431" ht="15.75" customHeight="1">
      <c r="B1431" s="77">
        <f t="shared" si="1"/>
        <v>0</v>
      </c>
      <c r="C1431" s="67"/>
      <c r="D1431" s="78"/>
      <c r="E1431" s="101"/>
      <c r="F1431" s="108"/>
      <c r="G1431" s="120"/>
      <c r="H1431" s="101"/>
      <c r="I1431" s="93"/>
      <c r="J1431" s="91"/>
      <c r="L1431" s="94" t="str">
        <f t="shared" si="2"/>
        <v>No infirmation</v>
      </c>
      <c r="M1431" s="94" t="str">
        <f t="shared" si="3"/>
        <v/>
      </c>
    </row>
    <row r="1432" ht="15.75" customHeight="1">
      <c r="B1432" s="77">
        <f t="shared" si="1"/>
        <v>0</v>
      </c>
      <c r="C1432" s="67"/>
      <c r="D1432" s="78"/>
      <c r="E1432" s="101"/>
      <c r="F1432" s="108"/>
      <c r="G1432" s="120"/>
      <c r="H1432" s="101"/>
      <c r="I1432" s="93"/>
      <c r="J1432" s="91"/>
      <c r="L1432" s="94" t="str">
        <f t="shared" si="2"/>
        <v>No infirmation</v>
      </c>
      <c r="M1432" s="94" t="str">
        <f t="shared" si="3"/>
        <v/>
      </c>
    </row>
    <row r="1433" ht="15.75" customHeight="1">
      <c r="B1433" s="77">
        <f t="shared" si="1"/>
        <v>0</v>
      </c>
      <c r="C1433" s="67"/>
      <c r="D1433" s="78"/>
      <c r="E1433" s="101"/>
      <c r="F1433" s="108"/>
      <c r="G1433" s="120"/>
      <c r="H1433" s="101"/>
      <c r="I1433" s="93"/>
      <c r="J1433" s="91"/>
      <c r="L1433" s="94" t="str">
        <f t="shared" si="2"/>
        <v>No infirmation</v>
      </c>
      <c r="M1433" s="94" t="str">
        <f t="shared" si="3"/>
        <v/>
      </c>
    </row>
    <row r="1434" ht="15.75" customHeight="1">
      <c r="B1434" s="77">
        <f t="shared" si="1"/>
        <v>0</v>
      </c>
      <c r="C1434" s="67"/>
      <c r="D1434" s="78"/>
      <c r="E1434" s="101"/>
      <c r="F1434" s="108"/>
      <c r="G1434" s="120"/>
      <c r="H1434" s="101"/>
      <c r="I1434" s="93"/>
      <c r="J1434" s="91"/>
      <c r="L1434" s="94" t="str">
        <f t="shared" si="2"/>
        <v>No infirmation</v>
      </c>
      <c r="M1434" s="94" t="str">
        <f t="shared" si="3"/>
        <v/>
      </c>
    </row>
    <row r="1435" ht="15.75" customHeight="1">
      <c r="B1435" s="77">
        <f t="shared" si="1"/>
        <v>0</v>
      </c>
      <c r="C1435" s="67"/>
      <c r="D1435" s="78"/>
      <c r="E1435" s="101"/>
      <c r="F1435" s="108"/>
      <c r="G1435" s="120"/>
      <c r="H1435" s="101"/>
      <c r="I1435" s="93"/>
      <c r="J1435" s="91"/>
      <c r="L1435" s="94" t="str">
        <f t="shared" si="2"/>
        <v>No infirmation</v>
      </c>
      <c r="M1435" s="94" t="str">
        <f t="shared" si="3"/>
        <v/>
      </c>
    </row>
    <row r="1436" ht="15.75" customHeight="1">
      <c r="B1436" s="77">
        <f t="shared" si="1"/>
        <v>0</v>
      </c>
      <c r="C1436" s="67"/>
      <c r="D1436" s="78"/>
      <c r="E1436" s="101"/>
      <c r="F1436" s="108"/>
      <c r="G1436" s="120"/>
      <c r="H1436" s="101"/>
      <c r="I1436" s="93"/>
      <c r="J1436" s="91"/>
      <c r="L1436" s="94" t="str">
        <f t="shared" si="2"/>
        <v>No infirmation</v>
      </c>
      <c r="M1436" s="94" t="str">
        <f t="shared" si="3"/>
        <v/>
      </c>
    </row>
    <row r="1437" ht="15.75" customHeight="1">
      <c r="B1437" s="77">
        <f t="shared" si="1"/>
        <v>0</v>
      </c>
      <c r="C1437" s="67"/>
      <c r="D1437" s="78"/>
      <c r="E1437" s="101"/>
      <c r="F1437" s="108"/>
      <c r="G1437" s="120"/>
      <c r="H1437" s="101"/>
      <c r="I1437" s="93"/>
      <c r="J1437" s="91"/>
      <c r="L1437" s="94" t="str">
        <f t="shared" si="2"/>
        <v>No infirmation</v>
      </c>
      <c r="M1437" s="94" t="str">
        <f t="shared" si="3"/>
        <v/>
      </c>
    </row>
    <row r="1438" ht="15.75" customHeight="1">
      <c r="B1438" s="77">
        <f t="shared" si="1"/>
        <v>0</v>
      </c>
      <c r="C1438" s="67"/>
      <c r="D1438" s="78"/>
      <c r="E1438" s="101"/>
      <c r="F1438" s="108"/>
      <c r="G1438" s="120"/>
      <c r="H1438" s="101"/>
      <c r="I1438" s="93"/>
      <c r="J1438" s="91"/>
      <c r="L1438" s="94" t="str">
        <f t="shared" si="2"/>
        <v>No infirmation</v>
      </c>
      <c r="M1438" s="94" t="str">
        <f t="shared" si="3"/>
        <v/>
      </c>
    </row>
    <row r="1439" ht="15.75" customHeight="1">
      <c r="B1439" s="77">
        <f t="shared" si="1"/>
        <v>0</v>
      </c>
      <c r="C1439" s="67"/>
      <c r="D1439" s="78"/>
      <c r="E1439" s="101"/>
      <c r="F1439" s="108"/>
      <c r="G1439" s="120"/>
      <c r="H1439" s="101"/>
      <c r="I1439" s="93"/>
      <c r="J1439" s="91"/>
      <c r="L1439" s="94" t="str">
        <f t="shared" si="2"/>
        <v>No infirmation</v>
      </c>
      <c r="M1439" s="94" t="str">
        <f t="shared" si="3"/>
        <v/>
      </c>
    </row>
    <row r="1440" ht="15.75" customHeight="1">
      <c r="B1440" s="77">
        <f t="shared" si="1"/>
        <v>0</v>
      </c>
      <c r="C1440" s="67"/>
      <c r="D1440" s="78"/>
      <c r="E1440" s="101"/>
      <c r="F1440" s="108"/>
      <c r="G1440" s="120"/>
      <c r="H1440" s="101"/>
      <c r="I1440" s="93"/>
      <c r="J1440" s="91"/>
      <c r="L1440" s="94" t="str">
        <f t="shared" si="2"/>
        <v>No infirmation</v>
      </c>
      <c r="M1440" s="94" t="str">
        <f t="shared" si="3"/>
        <v/>
      </c>
    </row>
    <row r="1441" ht="15.75" customHeight="1">
      <c r="B1441" s="77">
        <f t="shared" si="1"/>
        <v>0</v>
      </c>
      <c r="C1441" s="67"/>
      <c r="D1441" s="78"/>
      <c r="E1441" s="101"/>
      <c r="F1441" s="108"/>
      <c r="G1441" s="120"/>
      <c r="H1441" s="101"/>
      <c r="I1441" s="93"/>
      <c r="J1441" s="91"/>
      <c r="L1441" s="94" t="str">
        <f t="shared" si="2"/>
        <v>No infirmation</v>
      </c>
      <c r="M1441" s="94" t="str">
        <f t="shared" si="3"/>
        <v/>
      </c>
    </row>
    <row r="1442" ht="15.75" customHeight="1">
      <c r="B1442" s="77">
        <f t="shared" si="1"/>
        <v>0</v>
      </c>
      <c r="C1442" s="67"/>
      <c r="D1442" s="78"/>
      <c r="E1442" s="101"/>
      <c r="F1442" s="108"/>
      <c r="G1442" s="120"/>
      <c r="H1442" s="101"/>
      <c r="I1442" s="93"/>
      <c r="J1442" s="91"/>
      <c r="L1442" s="94" t="str">
        <f t="shared" si="2"/>
        <v>No infirmation</v>
      </c>
      <c r="M1442" s="94" t="str">
        <f t="shared" si="3"/>
        <v/>
      </c>
    </row>
    <row r="1443" ht="15.75" customHeight="1">
      <c r="B1443" s="77">
        <f t="shared" si="1"/>
        <v>0</v>
      </c>
      <c r="C1443" s="67"/>
      <c r="D1443" s="78"/>
      <c r="E1443" s="101"/>
      <c r="F1443" s="108"/>
      <c r="G1443" s="120"/>
      <c r="H1443" s="101"/>
      <c r="I1443" s="93"/>
      <c r="J1443" s="91"/>
      <c r="L1443" s="94" t="str">
        <f t="shared" si="2"/>
        <v>No infirmation</v>
      </c>
      <c r="M1443" s="94" t="str">
        <f t="shared" si="3"/>
        <v/>
      </c>
    </row>
    <row r="1444" ht="15.75" customHeight="1">
      <c r="B1444" s="77">
        <f t="shared" si="1"/>
        <v>0</v>
      </c>
      <c r="C1444" s="67"/>
      <c r="D1444" s="78"/>
      <c r="E1444" s="101"/>
      <c r="F1444" s="108"/>
      <c r="G1444" s="120"/>
      <c r="H1444" s="101"/>
      <c r="I1444" s="93"/>
      <c r="J1444" s="91"/>
      <c r="L1444" s="94" t="str">
        <f t="shared" si="2"/>
        <v>No infirmation</v>
      </c>
      <c r="M1444" s="94" t="str">
        <f t="shared" si="3"/>
        <v/>
      </c>
    </row>
    <row r="1445" ht="15.75" customHeight="1">
      <c r="B1445" s="77">
        <f t="shared" si="1"/>
        <v>0</v>
      </c>
      <c r="C1445" s="67"/>
      <c r="D1445" s="78"/>
      <c r="E1445" s="101"/>
      <c r="F1445" s="108"/>
      <c r="G1445" s="120"/>
      <c r="H1445" s="101"/>
      <c r="I1445" s="93"/>
      <c r="J1445" s="91"/>
      <c r="L1445" s="94" t="str">
        <f t="shared" si="2"/>
        <v>No infirmation</v>
      </c>
      <c r="M1445" s="94" t="str">
        <f t="shared" si="3"/>
        <v/>
      </c>
    </row>
    <row r="1446" ht="15.75" customHeight="1">
      <c r="B1446" s="77">
        <f t="shared" si="1"/>
        <v>0</v>
      </c>
      <c r="C1446" s="67"/>
      <c r="D1446" s="78"/>
      <c r="E1446" s="101"/>
      <c r="F1446" s="108"/>
      <c r="G1446" s="120"/>
      <c r="H1446" s="101"/>
      <c r="I1446" s="93"/>
      <c r="J1446" s="91"/>
      <c r="L1446" s="94" t="str">
        <f t="shared" si="2"/>
        <v>No infirmation</v>
      </c>
      <c r="M1446" s="94" t="str">
        <f t="shared" si="3"/>
        <v/>
      </c>
    </row>
    <row r="1447" ht="15.75" customHeight="1">
      <c r="B1447" s="77">
        <f t="shared" si="1"/>
        <v>0</v>
      </c>
      <c r="C1447" s="67"/>
      <c r="D1447" s="78"/>
      <c r="E1447" s="101"/>
      <c r="F1447" s="108"/>
      <c r="G1447" s="120"/>
      <c r="H1447" s="101"/>
      <c r="I1447" s="93"/>
      <c r="J1447" s="91"/>
      <c r="L1447" s="94" t="str">
        <f t="shared" si="2"/>
        <v>No infirmation</v>
      </c>
      <c r="M1447" s="94" t="str">
        <f t="shared" si="3"/>
        <v/>
      </c>
    </row>
    <row r="1448" ht="15.75" customHeight="1">
      <c r="B1448" s="77">
        <f t="shared" si="1"/>
        <v>0</v>
      </c>
      <c r="C1448" s="67"/>
      <c r="D1448" s="78"/>
      <c r="E1448" s="101"/>
      <c r="F1448" s="108"/>
      <c r="G1448" s="120"/>
      <c r="H1448" s="101"/>
      <c r="I1448" s="93"/>
      <c r="J1448" s="91"/>
      <c r="L1448" s="94" t="str">
        <f t="shared" si="2"/>
        <v>No infirmation</v>
      </c>
      <c r="M1448" s="94" t="str">
        <f t="shared" si="3"/>
        <v/>
      </c>
    </row>
    <row r="1449" ht="15.75" customHeight="1">
      <c r="B1449" s="77">
        <f t="shared" si="1"/>
        <v>0</v>
      </c>
      <c r="C1449" s="67"/>
      <c r="D1449" s="78"/>
      <c r="E1449" s="101"/>
      <c r="F1449" s="108"/>
      <c r="G1449" s="120"/>
      <c r="H1449" s="101"/>
      <c r="I1449" s="93"/>
      <c r="J1449" s="91"/>
      <c r="L1449" s="94" t="str">
        <f t="shared" si="2"/>
        <v>No infirmation</v>
      </c>
      <c r="M1449" s="94" t="str">
        <f t="shared" si="3"/>
        <v/>
      </c>
    </row>
    <row r="1450" ht="15.75" customHeight="1">
      <c r="B1450" s="77">
        <f t="shared" si="1"/>
        <v>0</v>
      </c>
      <c r="C1450" s="67"/>
      <c r="D1450" s="78"/>
      <c r="E1450" s="101"/>
      <c r="F1450" s="108"/>
      <c r="G1450" s="120"/>
      <c r="H1450" s="101"/>
      <c r="I1450" s="93"/>
      <c r="J1450" s="91"/>
      <c r="L1450" s="94" t="str">
        <f t="shared" si="2"/>
        <v>No infirmation</v>
      </c>
      <c r="M1450" s="94" t="str">
        <f t="shared" si="3"/>
        <v/>
      </c>
    </row>
    <row r="1451" ht="15.75" customHeight="1">
      <c r="B1451" s="77">
        <f t="shared" si="1"/>
        <v>0</v>
      </c>
      <c r="C1451" s="67"/>
      <c r="D1451" s="78"/>
      <c r="E1451" s="101"/>
      <c r="F1451" s="108"/>
      <c r="G1451" s="120"/>
      <c r="H1451" s="101"/>
      <c r="I1451" s="93"/>
      <c r="J1451" s="91"/>
      <c r="L1451" s="94" t="str">
        <f t="shared" si="2"/>
        <v>No infirmation</v>
      </c>
      <c r="M1451" s="94" t="str">
        <f t="shared" si="3"/>
        <v/>
      </c>
    </row>
    <row r="1452" ht="15.75" customHeight="1">
      <c r="B1452" s="77">
        <f t="shared" si="1"/>
        <v>0</v>
      </c>
      <c r="C1452" s="67"/>
      <c r="D1452" s="78"/>
      <c r="E1452" s="101"/>
      <c r="F1452" s="108"/>
      <c r="G1452" s="120"/>
      <c r="H1452" s="101"/>
      <c r="I1452" s="93"/>
      <c r="J1452" s="91"/>
      <c r="L1452" s="94" t="str">
        <f t="shared" si="2"/>
        <v>No infirmation</v>
      </c>
      <c r="M1452" s="94" t="str">
        <f t="shared" si="3"/>
        <v/>
      </c>
    </row>
    <row r="1453" ht="15.75" customHeight="1">
      <c r="B1453" s="77">
        <f t="shared" si="1"/>
        <v>0</v>
      </c>
      <c r="C1453" s="67"/>
      <c r="D1453" s="78"/>
      <c r="E1453" s="101"/>
      <c r="F1453" s="108"/>
      <c r="G1453" s="120"/>
      <c r="H1453" s="101"/>
      <c r="I1453" s="93"/>
      <c r="J1453" s="91"/>
      <c r="L1453" s="94" t="str">
        <f t="shared" si="2"/>
        <v>No infirmation</v>
      </c>
      <c r="M1453" s="94" t="str">
        <f t="shared" si="3"/>
        <v/>
      </c>
    </row>
    <row r="1454" ht="15.75" customHeight="1">
      <c r="B1454" s="77">
        <f t="shared" si="1"/>
        <v>0</v>
      </c>
      <c r="C1454" s="67"/>
      <c r="D1454" s="78"/>
      <c r="E1454" s="101"/>
      <c r="F1454" s="108"/>
      <c r="G1454" s="120"/>
      <c r="H1454" s="101"/>
      <c r="I1454" s="93"/>
      <c r="J1454" s="91"/>
      <c r="L1454" s="94" t="str">
        <f t="shared" si="2"/>
        <v>No infirmation</v>
      </c>
      <c r="M1454" s="94" t="str">
        <f t="shared" si="3"/>
        <v/>
      </c>
    </row>
    <row r="1455" ht="15.75" customHeight="1">
      <c r="B1455" s="77">
        <f t="shared" si="1"/>
        <v>0</v>
      </c>
      <c r="C1455" s="67"/>
      <c r="D1455" s="78"/>
      <c r="E1455" s="101"/>
      <c r="F1455" s="108"/>
      <c r="G1455" s="120"/>
      <c r="H1455" s="101"/>
      <c r="I1455" s="93"/>
      <c r="J1455" s="91"/>
      <c r="L1455" s="94" t="str">
        <f t="shared" si="2"/>
        <v>No infirmation</v>
      </c>
      <c r="M1455" s="94" t="str">
        <f t="shared" si="3"/>
        <v/>
      </c>
    </row>
    <row r="1456" ht="15.75" customHeight="1">
      <c r="B1456" s="77">
        <f t="shared" si="1"/>
        <v>0</v>
      </c>
      <c r="C1456" s="67"/>
      <c r="D1456" s="78"/>
      <c r="E1456" s="101"/>
      <c r="F1456" s="108"/>
      <c r="G1456" s="120"/>
      <c r="H1456" s="101"/>
      <c r="I1456" s="93"/>
      <c r="J1456" s="91"/>
      <c r="L1456" s="94" t="str">
        <f t="shared" si="2"/>
        <v>No infirmation</v>
      </c>
      <c r="M1456" s="94" t="str">
        <f t="shared" si="3"/>
        <v/>
      </c>
    </row>
    <row r="1457" ht="15.75" customHeight="1">
      <c r="B1457" s="77">
        <f t="shared" si="1"/>
        <v>0</v>
      </c>
      <c r="C1457" s="67"/>
      <c r="D1457" s="78"/>
      <c r="E1457" s="101"/>
      <c r="F1457" s="108"/>
      <c r="G1457" s="120"/>
      <c r="H1457" s="101"/>
      <c r="I1457" s="93"/>
      <c r="J1457" s="91"/>
      <c r="L1457" s="94" t="str">
        <f t="shared" si="2"/>
        <v>No infirmation</v>
      </c>
      <c r="M1457" s="94" t="str">
        <f t="shared" si="3"/>
        <v/>
      </c>
    </row>
    <row r="1458" ht="15.75" customHeight="1">
      <c r="B1458" s="77">
        <f t="shared" si="1"/>
        <v>0</v>
      </c>
      <c r="C1458" s="67"/>
      <c r="D1458" s="78"/>
      <c r="E1458" s="101"/>
      <c r="F1458" s="108"/>
      <c r="G1458" s="120"/>
      <c r="H1458" s="101"/>
      <c r="I1458" s="93"/>
      <c r="J1458" s="91"/>
      <c r="L1458" s="94" t="str">
        <f t="shared" si="2"/>
        <v>No infirmation</v>
      </c>
      <c r="M1458" s="94" t="str">
        <f t="shared" si="3"/>
        <v/>
      </c>
    </row>
    <row r="1459" ht="15.75" customHeight="1">
      <c r="B1459" s="77">
        <f t="shared" si="1"/>
        <v>0</v>
      </c>
      <c r="C1459" s="67"/>
      <c r="D1459" s="78"/>
      <c r="E1459" s="101"/>
      <c r="F1459" s="108"/>
      <c r="G1459" s="120"/>
      <c r="H1459" s="101"/>
      <c r="I1459" s="93"/>
      <c r="J1459" s="91"/>
      <c r="L1459" s="94" t="str">
        <f t="shared" si="2"/>
        <v>No infirmation</v>
      </c>
      <c r="M1459" s="94" t="str">
        <f t="shared" si="3"/>
        <v/>
      </c>
    </row>
    <row r="1460" ht="15.75" customHeight="1">
      <c r="B1460" s="77">
        <f t="shared" si="1"/>
        <v>0</v>
      </c>
      <c r="C1460" s="67"/>
      <c r="D1460" s="78"/>
      <c r="E1460" s="101"/>
      <c r="F1460" s="108"/>
      <c r="G1460" s="120"/>
      <c r="H1460" s="101"/>
      <c r="I1460" s="93"/>
      <c r="J1460" s="91"/>
      <c r="L1460" s="94" t="str">
        <f t="shared" si="2"/>
        <v>No infirmation</v>
      </c>
      <c r="M1460" s="94" t="str">
        <f t="shared" si="3"/>
        <v/>
      </c>
    </row>
    <row r="1461" ht="15.75" customHeight="1">
      <c r="B1461" s="77">
        <f t="shared" si="1"/>
        <v>0</v>
      </c>
      <c r="C1461" s="67"/>
      <c r="D1461" s="78"/>
      <c r="E1461" s="101"/>
      <c r="F1461" s="108"/>
      <c r="G1461" s="120"/>
      <c r="H1461" s="101"/>
      <c r="I1461" s="93"/>
      <c r="J1461" s="91"/>
      <c r="L1461" s="94" t="str">
        <f t="shared" si="2"/>
        <v>No infirmation</v>
      </c>
      <c r="M1461" s="94" t="str">
        <f t="shared" si="3"/>
        <v/>
      </c>
    </row>
    <row r="1462" ht="15.75" customHeight="1">
      <c r="B1462" s="77">
        <f t="shared" si="1"/>
        <v>0</v>
      </c>
      <c r="C1462" s="67"/>
      <c r="D1462" s="78"/>
      <c r="E1462" s="101"/>
      <c r="F1462" s="108"/>
      <c r="G1462" s="120"/>
      <c r="H1462" s="101"/>
      <c r="I1462" s="93"/>
      <c r="J1462" s="91"/>
      <c r="L1462" s="94" t="str">
        <f t="shared" si="2"/>
        <v>No infirmation</v>
      </c>
      <c r="M1462" s="94" t="str">
        <f t="shared" si="3"/>
        <v/>
      </c>
    </row>
    <row r="1463" ht="15.75" customHeight="1">
      <c r="B1463" s="77">
        <f t="shared" si="1"/>
        <v>0</v>
      </c>
      <c r="C1463" s="67"/>
      <c r="D1463" s="78"/>
      <c r="E1463" s="101"/>
      <c r="F1463" s="108"/>
      <c r="G1463" s="120"/>
      <c r="H1463" s="101"/>
      <c r="I1463" s="93"/>
      <c r="J1463" s="91"/>
      <c r="L1463" s="94" t="str">
        <f t="shared" si="2"/>
        <v>No infirmation</v>
      </c>
      <c r="M1463" s="94" t="str">
        <f t="shared" si="3"/>
        <v/>
      </c>
    </row>
    <row r="1464" ht="15.75" customHeight="1">
      <c r="B1464" s="77">
        <f t="shared" si="1"/>
        <v>0</v>
      </c>
      <c r="C1464" s="67"/>
      <c r="D1464" s="78"/>
      <c r="E1464" s="101"/>
      <c r="F1464" s="108"/>
      <c r="G1464" s="120"/>
      <c r="H1464" s="101"/>
      <c r="I1464" s="93"/>
      <c r="J1464" s="91"/>
      <c r="L1464" s="94" t="str">
        <f t="shared" si="2"/>
        <v>No infirmation</v>
      </c>
      <c r="M1464" s="94" t="str">
        <f t="shared" si="3"/>
        <v/>
      </c>
    </row>
    <row r="1465" ht="15.75" customHeight="1">
      <c r="B1465" s="77">
        <f t="shared" si="1"/>
        <v>0</v>
      </c>
      <c r="C1465" s="67"/>
      <c r="D1465" s="78"/>
      <c r="E1465" s="101"/>
      <c r="F1465" s="108"/>
      <c r="G1465" s="120"/>
      <c r="H1465" s="101"/>
      <c r="I1465" s="93"/>
      <c r="J1465" s="91"/>
      <c r="L1465" s="94" t="str">
        <f t="shared" si="2"/>
        <v>No infirmation</v>
      </c>
      <c r="M1465" s="94" t="str">
        <f t="shared" si="3"/>
        <v/>
      </c>
    </row>
    <row r="1466" ht="15.75" customHeight="1">
      <c r="B1466" s="77">
        <f t="shared" si="1"/>
        <v>0</v>
      </c>
      <c r="C1466" s="67"/>
      <c r="D1466" s="78"/>
      <c r="E1466" s="101"/>
      <c r="F1466" s="108"/>
      <c r="G1466" s="120"/>
      <c r="H1466" s="101"/>
      <c r="I1466" s="93"/>
      <c r="J1466" s="91"/>
      <c r="L1466" s="94" t="str">
        <f t="shared" si="2"/>
        <v>No infirmation</v>
      </c>
      <c r="M1466" s="94" t="str">
        <f t="shared" si="3"/>
        <v/>
      </c>
    </row>
    <row r="1467" ht="15.75" customHeight="1">
      <c r="B1467" s="77">
        <f t="shared" si="1"/>
        <v>0</v>
      </c>
      <c r="C1467" s="67"/>
      <c r="D1467" s="78"/>
      <c r="E1467" s="101"/>
      <c r="F1467" s="108"/>
      <c r="G1467" s="120"/>
      <c r="H1467" s="101"/>
      <c r="I1467" s="93"/>
      <c r="J1467" s="91"/>
      <c r="L1467" s="94" t="str">
        <f t="shared" si="2"/>
        <v>No infirmation</v>
      </c>
      <c r="M1467" s="94" t="str">
        <f t="shared" si="3"/>
        <v/>
      </c>
    </row>
    <row r="1468" ht="15.75" customHeight="1">
      <c r="B1468" s="77">
        <f t="shared" si="1"/>
        <v>0</v>
      </c>
      <c r="C1468" s="67"/>
      <c r="D1468" s="78"/>
      <c r="E1468" s="101"/>
      <c r="F1468" s="108"/>
      <c r="G1468" s="120"/>
      <c r="H1468" s="101"/>
      <c r="I1468" s="93"/>
      <c r="J1468" s="91"/>
      <c r="L1468" s="94" t="str">
        <f t="shared" si="2"/>
        <v>No infirmation</v>
      </c>
      <c r="M1468" s="94" t="str">
        <f t="shared" si="3"/>
        <v/>
      </c>
    </row>
    <row r="1469" ht="15.75" customHeight="1">
      <c r="B1469" s="77">
        <f t="shared" si="1"/>
        <v>0</v>
      </c>
      <c r="C1469" s="67"/>
      <c r="D1469" s="78"/>
      <c r="E1469" s="101"/>
      <c r="F1469" s="108"/>
      <c r="G1469" s="120"/>
      <c r="H1469" s="101"/>
      <c r="I1469" s="93"/>
      <c r="J1469" s="91"/>
      <c r="L1469" s="94" t="str">
        <f t="shared" si="2"/>
        <v>No infirmation</v>
      </c>
      <c r="M1469" s="94" t="str">
        <f t="shared" si="3"/>
        <v/>
      </c>
    </row>
    <row r="1470" ht="15.75" customHeight="1">
      <c r="B1470" s="77">
        <f t="shared" si="1"/>
        <v>0</v>
      </c>
      <c r="C1470" s="67"/>
      <c r="D1470" s="78"/>
      <c r="E1470" s="101"/>
      <c r="F1470" s="108"/>
      <c r="G1470" s="120"/>
      <c r="H1470" s="101"/>
      <c r="I1470" s="93"/>
      <c r="J1470" s="91"/>
      <c r="L1470" s="94" t="str">
        <f t="shared" si="2"/>
        <v>No infirmation</v>
      </c>
      <c r="M1470" s="94" t="str">
        <f t="shared" si="3"/>
        <v/>
      </c>
    </row>
    <row r="1471" ht="15.75" customHeight="1">
      <c r="B1471" s="77">
        <f t="shared" si="1"/>
        <v>0</v>
      </c>
      <c r="C1471" s="67"/>
      <c r="D1471" s="78"/>
      <c r="E1471" s="101"/>
      <c r="F1471" s="108"/>
      <c r="G1471" s="120"/>
      <c r="H1471" s="101"/>
      <c r="I1471" s="93"/>
      <c r="J1471" s="91"/>
      <c r="L1471" s="94" t="str">
        <f t="shared" si="2"/>
        <v>No infirmation</v>
      </c>
      <c r="M1471" s="94" t="str">
        <f t="shared" si="3"/>
        <v/>
      </c>
    </row>
    <row r="1472" ht="15.75" customHeight="1">
      <c r="B1472" s="77">
        <f t="shared" si="1"/>
        <v>0</v>
      </c>
      <c r="C1472" s="67"/>
      <c r="D1472" s="78"/>
      <c r="E1472" s="101"/>
      <c r="F1472" s="108"/>
      <c r="G1472" s="120"/>
      <c r="H1472" s="101"/>
      <c r="I1472" s="93"/>
      <c r="J1472" s="91"/>
      <c r="L1472" s="94" t="str">
        <f t="shared" si="2"/>
        <v>No infirmation</v>
      </c>
      <c r="M1472" s="94" t="str">
        <f t="shared" si="3"/>
        <v/>
      </c>
    </row>
    <row r="1473" ht="15.75" customHeight="1">
      <c r="B1473" s="77">
        <f t="shared" si="1"/>
        <v>0</v>
      </c>
      <c r="C1473" s="67"/>
      <c r="D1473" s="78"/>
      <c r="E1473" s="101"/>
      <c r="F1473" s="108"/>
      <c r="G1473" s="120"/>
      <c r="H1473" s="101"/>
      <c r="I1473" s="93"/>
      <c r="J1473" s="91"/>
      <c r="L1473" s="94" t="str">
        <f t="shared" si="2"/>
        <v>No infirmation</v>
      </c>
      <c r="M1473" s="94" t="str">
        <f t="shared" si="3"/>
        <v/>
      </c>
    </row>
    <row r="1474" ht="15.75" customHeight="1">
      <c r="B1474" s="77">
        <f t="shared" si="1"/>
        <v>0</v>
      </c>
      <c r="C1474" s="67"/>
      <c r="D1474" s="78"/>
      <c r="E1474" s="101"/>
      <c r="F1474" s="108"/>
      <c r="G1474" s="120"/>
      <c r="H1474" s="101"/>
      <c r="I1474" s="93"/>
      <c r="J1474" s="91"/>
      <c r="L1474" s="94" t="str">
        <f t="shared" si="2"/>
        <v>No infirmation</v>
      </c>
      <c r="M1474" s="94" t="str">
        <f t="shared" si="3"/>
        <v/>
      </c>
    </row>
    <row r="1475" ht="15.75" customHeight="1">
      <c r="B1475" s="77">
        <f t="shared" si="1"/>
        <v>0</v>
      </c>
      <c r="C1475" s="67"/>
      <c r="D1475" s="78"/>
      <c r="E1475" s="101"/>
      <c r="F1475" s="108"/>
      <c r="G1475" s="120"/>
      <c r="H1475" s="101"/>
      <c r="I1475" s="93"/>
      <c r="J1475" s="91"/>
      <c r="L1475" s="94" t="str">
        <f t="shared" si="2"/>
        <v>No infirmation</v>
      </c>
      <c r="M1475" s="94" t="str">
        <f t="shared" si="3"/>
        <v/>
      </c>
    </row>
    <row r="1476" ht="15.75" customHeight="1">
      <c r="B1476" s="77">
        <f t="shared" si="1"/>
        <v>0</v>
      </c>
      <c r="C1476" s="67"/>
      <c r="D1476" s="78"/>
      <c r="E1476" s="101"/>
      <c r="F1476" s="108"/>
      <c r="G1476" s="120"/>
      <c r="H1476" s="101"/>
      <c r="I1476" s="93"/>
      <c r="J1476" s="91"/>
      <c r="L1476" s="94" t="str">
        <f t="shared" si="2"/>
        <v>No infirmation</v>
      </c>
      <c r="M1476" s="94" t="str">
        <f t="shared" si="3"/>
        <v/>
      </c>
    </row>
    <row r="1477" ht="15.75" customHeight="1">
      <c r="B1477" s="77">
        <f t="shared" si="1"/>
        <v>0</v>
      </c>
      <c r="C1477" s="67"/>
      <c r="D1477" s="78"/>
      <c r="E1477" s="101"/>
      <c r="F1477" s="108"/>
      <c r="G1477" s="120"/>
      <c r="H1477" s="101"/>
      <c r="I1477" s="93"/>
      <c r="J1477" s="91"/>
      <c r="L1477" s="94" t="str">
        <f t="shared" si="2"/>
        <v>No infirmation</v>
      </c>
      <c r="M1477" s="94" t="str">
        <f t="shared" si="3"/>
        <v/>
      </c>
    </row>
    <row r="1478" ht="15.75" customHeight="1">
      <c r="B1478" s="77">
        <f t="shared" si="1"/>
        <v>0</v>
      </c>
      <c r="C1478" s="67"/>
      <c r="D1478" s="78"/>
      <c r="E1478" s="101"/>
      <c r="F1478" s="108"/>
      <c r="G1478" s="120"/>
      <c r="H1478" s="101"/>
      <c r="I1478" s="93"/>
      <c r="J1478" s="91"/>
      <c r="L1478" s="94" t="str">
        <f t="shared" si="2"/>
        <v>No infirmation</v>
      </c>
      <c r="M1478" s="94" t="str">
        <f t="shared" si="3"/>
        <v/>
      </c>
    </row>
    <row r="1479" ht="15.75" customHeight="1">
      <c r="B1479" s="77">
        <f t="shared" si="1"/>
        <v>0</v>
      </c>
      <c r="C1479" s="67"/>
      <c r="D1479" s="78"/>
      <c r="E1479" s="101"/>
      <c r="F1479" s="108"/>
      <c r="G1479" s="120"/>
      <c r="H1479" s="101"/>
      <c r="I1479" s="93"/>
      <c r="J1479" s="91"/>
      <c r="L1479" s="94" t="str">
        <f t="shared" si="2"/>
        <v>No infirmation</v>
      </c>
      <c r="M1479" s="94" t="str">
        <f t="shared" si="3"/>
        <v/>
      </c>
    </row>
    <row r="1480" ht="15.75" customHeight="1">
      <c r="B1480" s="77">
        <f t="shared" si="1"/>
        <v>0</v>
      </c>
      <c r="C1480" s="67"/>
      <c r="D1480" s="78"/>
      <c r="E1480" s="101"/>
      <c r="F1480" s="108"/>
      <c r="G1480" s="120"/>
      <c r="H1480" s="101"/>
      <c r="I1480" s="93"/>
      <c r="J1480" s="91"/>
      <c r="L1480" s="94" t="str">
        <f t="shared" si="2"/>
        <v>No infirmation</v>
      </c>
      <c r="M1480" s="94" t="str">
        <f t="shared" si="3"/>
        <v/>
      </c>
    </row>
    <row r="1481" ht="15.75" customHeight="1">
      <c r="B1481" s="77">
        <f t="shared" si="1"/>
        <v>0</v>
      </c>
      <c r="C1481" s="67"/>
      <c r="D1481" s="78"/>
      <c r="E1481" s="101"/>
      <c r="F1481" s="108"/>
      <c r="G1481" s="120"/>
      <c r="H1481" s="101"/>
      <c r="I1481" s="93"/>
      <c r="J1481" s="91"/>
      <c r="L1481" s="94" t="str">
        <f t="shared" si="2"/>
        <v>No infirmation</v>
      </c>
      <c r="M1481" s="94" t="str">
        <f t="shared" si="3"/>
        <v/>
      </c>
    </row>
    <row r="1482" ht="15.75" customHeight="1">
      <c r="B1482" s="77">
        <f t="shared" si="1"/>
        <v>0</v>
      </c>
      <c r="C1482" s="67"/>
      <c r="D1482" s="78"/>
      <c r="E1482" s="101"/>
      <c r="F1482" s="108"/>
      <c r="G1482" s="120"/>
      <c r="H1482" s="101"/>
      <c r="I1482" s="93"/>
      <c r="J1482" s="91"/>
      <c r="L1482" s="94" t="str">
        <f t="shared" si="2"/>
        <v>No infirmation</v>
      </c>
      <c r="M1482" s="94" t="str">
        <f t="shared" si="3"/>
        <v/>
      </c>
    </row>
    <row r="1483" ht="15.75" customHeight="1">
      <c r="B1483" s="77">
        <f t="shared" si="1"/>
        <v>0</v>
      </c>
      <c r="C1483" s="67"/>
      <c r="D1483" s="78"/>
      <c r="E1483" s="101"/>
      <c r="F1483" s="108"/>
      <c r="G1483" s="120"/>
      <c r="H1483" s="101"/>
      <c r="I1483" s="93"/>
      <c r="J1483" s="91"/>
      <c r="L1483" s="94" t="str">
        <f t="shared" si="2"/>
        <v>No infirmation</v>
      </c>
      <c r="M1483" s="94" t="str">
        <f t="shared" si="3"/>
        <v/>
      </c>
    </row>
    <row r="1484" ht="15.75" customHeight="1">
      <c r="B1484" s="77">
        <f t="shared" si="1"/>
        <v>0</v>
      </c>
      <c r="C1484" s="67"/>
      <c r="D1484" s="78"/>
      <c r="E1484" s="101"/>
      <c r="F1484" s="108"/>
      <c r="G1484" s="120"/>
      <c r="H1484" s="101"/>
      <c r="I1484" s="93"/>
      <c r="J1484" s="91"/>
      <c r="L1484" s="94" t="str">
        <f t="shared" si="2"/>
        <v>No infirmation</v>
      </c>
      <c r="M1484" s="94" t="str">
        <f t="shared" si="3"/>
        <v/>
      </c>
    </row>
    <row r="1485" ht="15.75" customHeight="1">
      <c r="B1485" s="77">
        <f t="shared" si="1"/>
        <v>0</v>
      </c>
      <c r="C1485" s="67"/>
      <c r="D1485" s="78"/>
      <c r="E1485" s="101"/>
      <c r="F1485" s="108"/>
      <c r="G1485" s="120"/>
      <c r="H1485" s="101"/>
      <c r="I1485" s="93"/>
      <c r="J1485" s="91"/>
      <c r="L1485" s="94" t="str">
        <f t="shared" si="2"/>
        <v>No infirmation</v>
      </c>
      <c r="M1485" s="94" t="str">
        <f t="shared" si="3"/>
        <v/>
      </c>
    </row>
    <row r="1486" ht="15.75" customHeight="1">
      <c r="B1486" s="77">
        <f t="shared" si="1"/>
        <v>0</v>
      </c>
      <c r="C1486" s="67"/>
      <c r="D1486" s="78"/>
      <c r="E1486" s="101"/>
      <c r="F1486" s="108"/>
      <c r="G1486" s="120"/>
      <c r="H1486" s="101"/>
      <c r="I1486" s="93"/>
      <c r="J1486" s="91"/>
      <c r="L1486" s="94" t="str">
        <f t="shared" si="2"/>
        <v>No infirmation</v>
      </c>
      <c r="M1486" s="94" t="str">
        <f t="shared" si="3"/>
        <v/>
      </c>
    </row>
    <row r="1487" ht="15.75" customHeight="1">
      <c r="B1487" s="77">
        <f t="shared" si="1"/>
        <v>0</v>
      </c>
      <c r="C1487" s="67"/>
      <c r="D1487" s="78"/>
      <c r="E1487" s="101"/>
      <c r="F1487" s="108"/>
      <c r="G1487" s="120"/>
      <c r="H1487" s="101"/>
      <c r="I1487" s="93"/>
      <c r="J1487" s="91"/>
      <c r="L1487" s="94" t="str">
        <f t="shared" si="2"/>
        <v>No infirmation</v>
      </c>
      <c r="M1487" s="94" t="str">
        <f t="shared" si="3"/>
        <v/>
      </c>
    </row>
    <row r="1488" ht="15.75" customHeight="1">
      <c r="B1488" s="77">
        <f t="shared" si="1"/>
        <v>0</v>
      </c>
      <c r="C1488" s="67"/>
      <c r="D1488" s="78"/>
      <c r="E1488" s="101"/>
      <c r="F1488" s="108"/>
      <c r="G1488" s="120"/>
      <c r="H1488" s="101"/>
      <c r="I1488" s="93"/>
      <c r="J1488" s="91"/>
      <c r="L1488" s="94" t="str">
        <f t="shared" si="2"/>
        <v>No infirmation</v>
      </c>
      <c r="M1488" s="94" t="str">
        <f t="shared" si="3"/>
        <v/>
      </c>
    </row>
    <row r="1489" ht="15.75" customHeight="1">
      <c r="B1489" s="77">
        <f t="shared" si="1"/>
        <v>0</v>
      </c>
      <c r="C1489" s="67"/>
      <c r="D1489" s="78"/>
      <c r="E1489" s="101"/>
      <c r="F1489" s="108"/>
      <c r="G1489" s="120"/>
      <c r="H1489" s="101"/>
      <c r="I1489" s="93"/>
      <c r="J1489" s="91"/>
      <c r="L1489" s="94" t="str">
        <f t="shared" si="2"/>
        <v>No infirmation</v>
      </c>
      <c r="M1489" s="94" t="str">
        <f t="shared" si="3"/>
        <v/>
      </c>
    </row>
    <row r="1490" ht="15.75" customHeight="1">
      <c r="B1490" s="77">
        <f t="shared" si="1"/>
        <v>0</v>
      </c>
      <c r="C1490" s="67"/>
      <c r="D1490" s="78"/>
      <c r="E1490" s="101"/>
      <c r="F1490" s="108"/>
      <c r="G1490" s="120"/>
      <c r="H1490" s="101"/>
      <c r="I1490" s="93"/>
      <c r="J1490" s="91"/>
      <c r="L1490" s="94" t="str">
        <f t="shared" si="2"/>
        <v>No infirmation</v>
      </c>
      <c r="M1490" s="94" t="str">
        <f t="shared" si="3"/>
        <v/>
      </c>
    </row>
    <row r="1491" ht="15.75" customHeight="1">
      <c r="B1491" s="77">
        <f t="shared" si="1"/>
        <v>0</v>
      </c>
      <c r="C1491" s="67"/>
      <c r="D1491" s="78"/>
      <c r="E1491" s="101"/>
      <c r="F1491" s="108"/>
      <c r="G1491" s="120"/>
      <c r="H1491" s="101"/>
      <c r="I1491" s="93"/>
      <c r="J1491" s="91"/>
      <c r="L1491" s="94" t="str">
        <f t="shared" si="2"/>
        <v>No infirmation</v>
      </c>
      <c r="M1491" s="94" t="str">
        <f t="shared" si="3"/>
        <v/>
      </c>
    </row>
    <row r="1492" ht="15.75" customHeight="1">
      <c r="B1492" s="77">
        <f t="shared" si="1"/>
        <v>0</v>
      </c>
      <c r="C1492" s="67"/>
      <c r="D1492" s="78"/>
      <c r="E1492" s="101"/>
      <c r="F1492" s="108"/>
      <c r="G1492" s="120"/>
      <c r="H1492" s="101"/>
      <c r="I1492" s="93"/>
      <c r="J1492" s="91"/>
      <c r="L1492" s="94" t="str">
        <f t="shared" si="2"/>
        <v>No infirmation</v>
      </c>
      <c r="M1492" s="94" t="str">
        <f t="shared" si="3"/>
        <v/>
      </c>
    </row>
    <row r="1493" ht="15.75" customHeight="1">
      <c r="B1493" s="77">
        <f t="shared" si="1"/>
        <v>0</v>
      </c>
      <c r="C1493" s="67"/>
      <c r="D1493" s="78"/>
      <c r="E1493" s="101"/>
      <c r="F1493" s="108"/>
      <c r="G1493" s="120"/>
      <c r="H1493" s="101"/>
      <c r="I1493" s="93"/>
      <c r="J1493" s="91"/>
      <c r="L1493" s="94" t="str">
        <f t="shared" si="2"/>
        <v>No infirmation</v>
      </c>
      <c r="M1493" s="94" t="str">
        <f t="shared" si="3"/>
        <v/>
      </c>
    </row>
    <row r="1494" ht="15.75" customHeight="1">
      <c r="B1494" s="77">
        <f t="shared" si="1"/>
        <v>0</v>
      </c>
      <c r="C1494" s="67"/>
      <c r="D1494" s="78"/>
      <c r="E1494" s="101"/>
      <c r="F1494" s="108"/>
      <c r="G1494" s="120"/>
      <c r="H1494" s="101"/>
      <c r="I1494" s="93"/>
      <c r="J1494" s="91"/>
      <c r="L1494" s="94" t="str">
        <f t="shared" si="2"/>
        <v>No infirmation</v>
      </c>
      <c r="M1494" s="94" t="str">
        <f t="shared" si="3"/>
        <v/>
      </c>
    </row>
    <row r="1495" ht="15.75" customHeight="1">
      <c r="B1495" s="77">
        <f t="shared" si="1"/>
        <v>0</v>
      </c>
      <c r="C1495" s="67"/>
      <c r="D1495" s="78"/>
      <c r="E1495" s="101"/>
      <c r="F1495" s="108"/>
      <c r="G1495" s="120"/>
      <c r="H1495" s="101"/>
      <c r="I1495" s="93"/>
      <c r="J1495" s="91"/>
      <c r="L1495" s="94" t="str">
        <f t="shared" si="2"/>
        <v>No infirmation</v>
      </c>
      <c r="M1495" s="94" t="str">
        <f t="shared" si="3"/>
        <v/>
      </c>
    </row>
    <row r="1496" ht="15.75" customHeight="1">
      <c r="B1496" s="77">
        <f t="shared" si="1"/>
        <v>0</v>
      </c>
      <c r="C1496" s="67"/>
      <c r="D1496" s="78"/>
      <c r="E1496" s="101"/>
      <c r="F1496" s="108"/>
      <c r="G1496" s="120"/>
      <c r="H1496" s="101"/>
      <c r="I1496" s="93"/>
      <c r="J1496" s="91"/>
      <c r="L1496" s="94" t="str">
        <f t="shared" si="2"/>
        <v>No infirmation</v>
      </c>
      <c r="M1496" s="94" t="str">
        <f t="shared" si="3"/>
        <v/>
      </c>
    </row>
    <row r="1497" ht="15.75" customHeight="1">
      <c r="B1497" s="77">
        <f t="shared" si="1"/>
        <v>0</v>
      </c>
      <c r="C1497" s="67"/>
      <c r="D1497" s="78"/>
      <c r="E1497" s="101"/>
      <c r="F1497" s="108"/>
      <c r="G1497" s="120"/>
      <c r="H1497" s="101"/>
      <c r="I1497" s="93"/>
      <c r="J1497" s="91"/>
      <c r="L1497" s="94" t="str">
        <f t="shared" si="2"/>
        <v>No infirmation</v>
      </c>
      <c r="M1497" s="94" t="str">
        <f t="shared" si="3"/>
        <v/>
      </c>
    </row>
    <row r="1498" ht="15.75" customHeight="1">
      <c r="B1498" s="77">
        <f t="shared" si="1"/>
        <v>0</v>
      </c>
      <c r="C1498" s="67"/>
      <c r="D1498" s="78"/>
      <c r="E1498" s="101"/>
      <c r="F1498" s="108"/>
      <c r="G1498" s="120"/>
      <c r="H1498" s="101"/>
      <c r="I1498" s="93"/>
      <c r="J1498" s="91"/>
      <c r="L1498" s="94" t="str">
        <f t="shared" si="2"/>
        <v>No infirmation</v>
      </c>
      <c r="M1498" s="94" t="str">
        <f t="shared" si="3"/>
        <v/>
      </c>
    </row>
    <row r="1499" ht="15.75" customHeight="1">
      <c r="B1499" s="77">
        <f t="shared" si="1"/>
        <v>0</v>
      </c>
      <c r="C1499" s="67"/>
      <c r="D1499" s="78"/>
      <c r="E1499" s="101"/>
      <c r="F1499" s="108"/>
      <c r="G1499" s="120"/>
      <c r="H1499" s="101"/>
      <c r="I1499" s="93"/>
      <c r="J1499" s="91"/>
      <c r="L1499" s="94" t="str">
        <f t="shared" si="2"/>
        <v>No infirmation</v>
      </c>
      <c r="M1499" s="94" t="str">
        <f t="shared" si="3"/>
        <v/>
      </c>
    </row>
    <row r="1500" ht="15.75" customHeight="1">
      <c r="B1500" s="77">
        <f t="shared" si="1"/>
        <v>0</v>
      </c>
      <c r="C1500" s="67"/>
      <c r="D1500" s="78"/>
      <c r="E1500" s="101"/>
      <c r="F1500" s="108"/>
      <c r="G1500" s="120"/>
      <c r="H1500" s="101"/>
      <c r="I1500" s="93"/>
      <c r="J1500" s="91"/>
      <c r="L1500" s="94" t="str">
        <f t="shared" si="2"/>
        <v>No infirmation</v>
      </c>
      <c r="M1500" s="94" t="str">
        <f t="shared" si="3"/>
        <v/>
      </c>
    </row>
    <row r="1501" ht="15.75" customHeight="1">
      <c r="B1501" s="77">
        <f t="shared" si="1"/>
        <v>0</v>
      </c>
      <c r="C1501" s="67"/>
      <c r="D1501" s="78"/>
      <c r="E1501" s="101"/>
      <c r="F1501" s="108"/>
      <c r="G1501" s="120"/>
      <c r="H1501" s="101"/>
      <c r="I1501" s="93"/>
      <c r="J1501" s="91"/>
      <c r="L1501" s="94" t="str">
        <f t="shared" si="2"/>
        <v>No infirmation</v>
      </c>
      <c r="M1501" s="94" t="str">
        <f t="shared" si="3"/>
        <v/>
      </c>
    </row>
    <row r="1502" ht="15.75" customHeight="1">
      <c r="B1502" s="77">
        <f t="shared" si="1"/>
        <v>0</v>
      </c>
      <c r="C1502" s="67"/>
      <c r="D1502" s="78"/>
      <c r="E1502" s="101"/>
      <c r="F1502" s="108"/>
      <c r="G1502" s="120"/>
      <c r="H1502" s="101"/>
      <c r="I1502" s="93"/>
      <c r="J1502" s="91"/>
      <c r="L1502" s="94" t="str">
        <f t="shared" si="2"/>
        <v>No infirmation</v>
      </c>
      <c r="M1502" s="94" t="str">
        <f t="shared" si="3"/>
        <v/>
      </c>
    </row>
    <row r="1503" ht="15.75" customHeight="1">
      <c r="B1503" s="77">
        <f t="shared" si="1"/>
        <v>0</v>
      </c>
      <c r="C1503" s="67"/>
      <c r="D1503" s="78"/>
      <c r="E1503" s="101"/>
      <c r="F1503" s="108"/>
      <c r="G1503" s="120"/>
      <c r="H1503" s="101"/>
      <c r="I1503" s="93"/>
      <c r="J1503" s="91"/>
      <c r="L1503" s="94" t="str">
        <f t="shared" si="2"/>
        <v>No infirmation</v>
      </c>
      <c r="M1503" s="94" t="str">
        <f t="shared" si="3"/>
        <v/>
      </c>
    </row>
    <row r="1504" ht="15.75" customHeight="1">
      <c r="B1504" s="77">
        <f t="shared" si="1"/>
        <v>0</v>
      </c>
      <c r="C1504" s="67"/>
      <c r="D1504" s="78"/>
      <c r="E1504" s="101"/>
      <c r="F1504" s="108"/>
      <c r="G1504" s="120"/>
      <c r="H1504" s="101"/>
      <c r="I1504" s="93"/>
      <c r="J1504" s="91"/>
      <c r="L1504" s="94" t="str">
        <f t="shared" si="2"/>
        <v>No infirmation</v>
      </c>
      <c r="M1504" s="94" t="str">
        <f t="shared" si="3"/>
        <v/>
      </c>
    </row>
    <row r="1505" ht="15.75" customHeight="1">
      <c r="B1505" s="77">
        <f t="shared" si="1"/>
        <v>0</v>
      </c>
      <c r="C1505" s="67"/>
      <c r="D1505" s="78"/>
      <c r="E1505" s="101"/>
      <c r="F1505" s="108"/>
      <c r="G1505" s="120"/>
      <c r="H1505" s="101"/>
      <c r="I1505" s="93"/>
      <c r="J1505" s="91"/>
      <c r="L1505" s="94" t="str">
        <f t="shared" si="2"/>
        <v>No infirmation</v>
      </c>
      <c r="M1505" s="94" t="str">
        <f t="shared" si="3"/>
        <v/>
      </c>
    </row>
    <row r="1506" ht="15.75" customHeight="1">
      <c r="B1506" s="77">
        <f t="shared" si="1"/>
        <v>0</v>
      </c>
      <c r="C1506" s="67"/>
      <c r="D1506" s="78"/>
      <c r="E1506" s="101"/>
      <c r="F1506" s="108"/>
      <c r="G1506" s="120"/>
      <c r="H1506" s="101"/>
      <c r="I1506" s="93"/>
      <c r="J1506" s="91"/>
      <c r="L1506" s="94" t="str">
        <f t="shared" si="2"/>
        <v>No infirmation</v>
      </c>
      <c r="M1506" s="94" t="str">
        <f t="shared" si="3"/>
        <v/>
      </c>
    </row>
    <row r="1507" ht="15.75" customHeight="1">
      <c r="B1507" s="77">
        <f t="shared" si="1"/>
        <v>0</v>
      </c>
      <c r="C1507" s="67"/>
      <c r="D1507" s="78"/>
      <c r="E1507" s="101"/>
      <c r="F1507" s="108"/>
      <c r="G1507" s="120"/>
      <c r="H1507" s="101"/>
      <c r="I1507" s="93"/>
      <c r="J1507" s="91"/>
      <c r="L1507" s="94" t="str">
        <f t="shared" si="2"/>
        <v>No infirmation</v>
      </c>
      <c r="M1507" s="94" t="str">
        <f t="shared" si="3"/>
        <v/>
      </c>
    </row>
    <row r="1508" ht="15.75" customHeight="1">
      <c r="B1508" s="77">
        <f t="shared" si="1"/>
        <v>0</v>
      </c>
      <c r="C1508" s="67"/>
      <c r="D1508" s="78"/>
      <c r="E1508" s="101"/>
      <c r="F1508" s="108"/>
      <c r="G1508" s="120"/>
      <c r="H1508" s="101"/>
      <c r="I1508" s="93"/>
      <c r="J1508" s="91"/>
      <c r="L1508" s="94" t="str">
        <f t="shared" si="2"/>
        <v>No infirmation</v>
      </c>
      <c r="M1508" s="94" t="str">
        <f t="shared" si="3"/>
        <v/>
      </c>
    </row>
    <row r="1509" ht="15.75" customHeight="1">
      <c r="B1509" s="77">
        <f t="shared" si="1"/>
        <v>0</v>
      </c>
      <c r="C1509" s="67"/>
      <c r="D1509" s="78"/>
      <c r="E1509" s="101"/>
      <c r="F1509" s="108"/>
      <c r="G1509" s="120"/>
      <c r="H1509" s="101"/>
      <c r="I1509" s="93"/>
      <c r="J1509" s="91"/>
      <c r="L1509" s="94" t="str">
        <f t="shared" si="2"/>
        <v>No infirmation</v>
      </c>
      <c r="M1509" s="94" t="str">
        <f t="shared" si="3"/>
        <v/>
      </c>
    </row>
    <row r="1510" ht="15.75" customHeight="1">
      <c r="B1510" s="77">
        <f t="shared" si="1"/>
        <v>0</v>
      </c>
      <c r="C1510" s="67"/>
      <c r="D1510" s="78"/>
      <c r="E1510" s="101"/>
      <c r="F1510" s="108"/>
      <c r="G1510" s="120"/>
      <c r="H1510" s="101"/>
      <c r="I1510" s="93"/>
      <c r="J1510" s="91"/>
      <c r="L1510" s="94" t="str">
        <f t="shared" si="2"/>
        <v>No infirmation</v>
      </c>
      <c r="M1510" s="94" t="str">
        <f t="shared" si="3"/>
        <v/>
      </c>
    </row>
    <row r="1511" ht="15.75" customHeight="1">
      <c r="B1511" s="77">
        <f t="shared" si="1"/>
        <v>0</v>
      </c>
      <c r="C1511" s="67"/>
      <c r="D1511" s="78"/>
      <c r="E1511" s="101"/>
      <c r="F1511" s="108"/>
      <c r="G1511" s="120"/>
      <c r="H1511" s="101"/>
      <c r="I1511" s="93"/>
      <c r="J1511" s="91"/>
      <c r="L1511" s="94" t="str">
        <f t="shared" si="2"/>
        <v>No infirmation</v>
      </c>
      <c r="M1511" s="94" t="str">
        <f t="shared" si="3"/>
        <v/>
      </c>
    </row>
    <row r="1512" ht="15.75" customHeight="1">
      <c r="B1512" s="77">
        <f t="shared" si="1"/>
        <v>0</v>
      </c>
      <c r="C1512" s="67"/>
      <c r="D1512" s="78"/>
      <c r="E1512" s="101"/>
      <c r="F1512" s="108"/>
      <c r="G1512" s="120"/>
      <c r="H1512" s="101"/>
      <c r="I1512" s="93"/>
      <c r="J1512" s="91"/>
      <c r="L1512" s="94" t="str">
        <f t="shared" si="2"/>
        <v>No infirmation</v>
      </c>
      <c r="M1512" s="94" t="str">
        <f t="shared" si="3"/>
        <v/>
      </c>
    </row>
    <row r="1513" ht="15.75" customHeight="1">
      <c r="B1513" s="77">
        <f t="shared" si="1"/>
        <v>0</v>
      </c>
      <c r="C1513" s="67"/>
      <c r="D1513" s="78"/>
      <c r="E1513" s="101"/>
      <c r="F1513" s="108"/>
      <c r="G1513" s="120"/>
      <c r="H1513" s="101"/>
      <c r="I1513" s="93"/>
      <c r="J1513" s="91"/>
      <c r="L1513" s="94" t="str">
        <f t="shared" si="2"/>
        <v>No infirmation</v>
      </c>
      <c r="M1513" s="94" t="str">
        <f t="shared" si="3"/>
        <v/>
      </c>
    </row>
    <row r="1514" ht="15.75" customHeight="1">
      <c r="B1514" s="77">
        <f t="shared" si="1"/>
        <v>0</v>
      </c>
      <c r="C1514" s="67"/>
      <c r="D1514" s="78"/>
      <c r="E1514" s="101"/>
      <c r="F1514" s="108"/>
      <c r="G1514" s="120"/>
      <c r="H1514" s="101"/>
      <c r="I1514" s="93"/>
      <c r="J1514" s="91"/>
      <c r="L1514" s="94" t="str">
        <f t="shared" si="2"/>
        <v>No infirmation</v>
      </c>
      <c r="M1514" s="94" t="str">
        <f t="shared" si="3"/>
        <v/>
      </c>
    </row>
    <row r="1515" ht="15.75" customHeight="1">
      <c r="B1515" s="77">
        <f t="shared" si="1"/>
        <v>0</v>
      </c>
      <c r="C1515" s="67"/>
      <c r="D1515" s="78"/>
      <c r="E1515" s="101"/>
      <c r="F1515" s="108"/>
      <c r="G1515" s="120"/>
      <c r="H1515" s="101"/>
      <c r="I1515" s="93"/>
      <c r="J1515" s="91"/>
      <c r="L1515" s="94" t="str">
        <f t="shared" si="2"/>
        <v>No infirmation</v>
      </c>
      <c r="M1515" s="94" t="str">
        <f t="shared" si="3"/>
        <v/>
      </c>
    </row>
    <row r="1516" ht="15.75" customHeight="1">
      <c r="B1516" s="77">
        <f t="shared" si="1"/>
        <v>0</v>
      </c>
      <c r="C1516" s="67"/>
      <c r="D1516" s="78"/>
      <c r="E1516" s="101"/>
      <c r="F1516" s="108"/>
      <c r="G1516" s="120"/>
      <c r="H1516" s="101"/>
      <c r="I1516" s="93"/>
      <c r="J1516" s="91"/>
      <c r="L1516" s="94" t="str">
        <f t="shared" si="2"/>
        <v>No infirmation</v>
      </c>
      <c r="M1516" s="94" t="str">
        <f t="shared" si="3"/>
        <v/>
      </c>
    </row>
    <row r="1517" ht="15.75" customHeight="1">
      <c r="B1517" s="77">
        <f t="shared" si="1"/>
        <v>0</v>
      </c>
      <c r="C1517" s="67"/>
      <c r="D1517" s="78"/>
      <c r="E1517" s="101"/>
      <c r="F1517" s="108"/>
      <c r="G1517" s="120"/>
      <c r="H1517" s="101"/>
      <c r="I1517" s="93"/>
      <c r="J1517" s="91"/>
      <c r="L1517" s="94" t="str">
        <f t="shared" si="2"/>
        <v>No infirmation</v>
      </c>
      <c r="M1517" s="94" t="str">
        <f t="shared" si="3"/>
        <v/>
      </c>
    </row>
    <row r="1518" ht="15.75" customHeight="1">
      <c r="B1518" s="77">
        <f t="shared" si="1"/>
        <v>0</v>
      </c>
      <c r="C1518" s="67"/>
      <c r="D1518" s="78"/>
      <c r="E1518" s="101"/>
      <c r="F1518" s="108"/>
      <c r="G1518" s="120"/>
      <c r="H1518" s="101"/>
      <c r="I1518" s="93"/>
      <c r="J1518" s="91"/>
      <c r="L1518" s="94" t="str">
        <f t="shared" si="2"/>
        <v>No infirmation</v>
      </c>
      <c r="M1518" s="94" t="str">
        <f t="shared" si="3"/>
        <v/>
      </c>
    </row>
    <row r="1519" ht="15.75" customHeight="1">
      <c r="B1519" s="77">
        <f t="shared" si="1"/>
        <v>0</v>
      </c>
      <c r="C1519" s="67"/>
      <c r="D1519" s="78"/>
      <c r="E1519" s="101"/>
      <c r="F1519" s="108"/>
      <c r="G1519" s="120"/>
      <c r="H1519" s="101"/>
      <c r="I1519" s="93"/>
      <c r="J1519" s="91"/>
      <c r="L1519" s="94" t="str">
        <f t="shared" si="2"/>
        <v>No infirmation</v>
      </c>
      <c r="M1519" s="94" t="str">
        <f t="shared" si="3"/>
        <v/>
      </c>
    </row>
    <row r="1520" ht="15.75" customHeight="1">
      <c r="B1520" s="77">
        <f t="shared" si="1"/>
        <v>0</v>
      </c>
      <c r="C1520" s="67"/>
      <c r="D1520" s="78"/>
      <c r="E1520" s="101"/>
      <c r="F1520" s="108"/>
      <c r="G1520" s="120"/>
      <c r="H1520" s="101"/>
      <c r="I1520" s="93"/>
      <c r="J1520" s="91"/>
      <c r="L1520" s="94" t="str">
        <f t="shared" si="2"/>
        <v>No infirmation</v>
      </c>
      <c r="M1520" s="94" t="str">
        <f t="shared" si="3"/>
        <v/>
      </c>
    </row>
    <row r="1521" ht="15.75" customHeight="1">
      <c r="B1521" s="77">
        <f t="shared" si="1"/>
        <v>0</v>
      </c>
      <c r="C1521" s="67"/>
      <c r="D1521" s="78"/>
      <c r="E1521" s="101"/>
      <c r="F1521" s="108"/>
      <c r="G1521" s="120"/>
      <c r="H1521" s="101"/>
      <c r="I1521" s="93"/>
      <c r="J1521" s="91"/>
      <c r="L1521" s="94" t="str">
        <f t="shared" si="2"/>
        <v>No infirmation</v>
      </c>
      <c r="M1521" s="94" t="str">
        <f t="shared" si="3"/>
        <v/>
      </c>
    </row>
    <row r="1522" ht="15.75" customHeight="1">
      <c r="B1522" s="77">
        <f t="shared" si="1"/>
        <v>0</v>
      </c>
      <c r="C1522" s="67"/>
      <c r="D1522" s="78"/>
      <c r="E1522" s="101"/>
      <c r="F1522" s="108"/>
      <c r="G1522" s="120"/>
      <c r="H1522" s="101"/>
      <c r="I1522" s="93"/>
      <c r="J1522" s="91"/>
      <c r="L1522" s="94" t="str">
        <f t="shared" si="2"/>
        <v>No infirmation</v>
      </c>
      <c r="M1522" s="94" t="str">
        <f t="shared" si="3"/>
        <v/>
      </c>
    </row>
    <row r="1523" ht="15.75" customHeight="1">
      <c r="B1523" s="77">
        <f t="shared" si="1"/>
        <v>0</v>
      </c>
      <c r="C1523" s="67"/>
      <c r="D1523" s="78"/>
      <c r="E1523" s="101"/>
      <c r="F1523" s="108"/>
      <c r="G1523" s="120"/>
      <c r="H1523" s="101"/>
      <c r="I1523" s="93"/>
      <c r="J1523" s="91"/>
      <c r="L1523" s="94" t="str">
        <f t="shared" si="2"/>
        <v>No infirmation</v>
      </c>
      <c r="M1523" s="94" t="str">
        <f t="shared" si="3"/>
        <v/>
      </c>
    </row>
    <row r="1524" ht="15.75" customHeight="1">
      <c r="B1524" s="77">
        <f t="shared" si="1"/>
        <v>0</v>
      </c>
      <c r="C1524" s="67"/>
      <c r="D1524" s="78"/>
      <c r="E1524" s="101"/>
      <c r="F1524" s="108"/>
      <c r="G1524" s="120"/>
      <c r="H1524" s="101"/>
      <c r="I1524" s="93"/>
      <c r="J1524" s="91"/>
      <c r="L1524" s="94" t="str">
        <f t="shared" si="2"/>
        <v>No infirmation</v>
      </c>
      <c r="M1524" s="94" t="str">
        <f t="shared" si="3"/>
        <v/>
      </c>
    </row>
    <row r="1525" ht="15.75" customHeight="1">
      <c r="B1525" s="77">
        <f t="shared" si="1"/>
        <v>0</v>
      </c>
      <c r="C1525" s="67"/>
      <c r="D1525" s="78"/>
      <c r="E1525" s="101"/>
      <c r="F1525" s="108"/>
      <c r="G1525" s="120"/>
      <c r="H1525" s="101"/>
      <c r="I1525" s="93"/>
      <c r="J1525" s="91"/>
      <c r="L1525" s="94" t="str">
        <f t="shared" si="2"/>
        <v>No infirmation</v>
      </c>
      <c r="M1525" s="94" t="str">
        <f t="shared" si="3"/>
        <v/>
      </c>
    </row>
    <row r="1526" ht="15.75" customHeight="1">
      <c r="B1526" s="77">
        <f t="shared" si="1"/>
        <v>0</v>
      </c>
      <c r="C1526" s="67"/>
      <c r="D1526" s="78"/>
      <c r="E1526" s="101"/>
      <c r="F1526" s="108"/>
      <c r="G1526" s="120"/>
      <c r="H1526" s="101"/>
      <c r="I1526" s="93"/>
      <c r="J1526" s="91"/>
      <c r="L1526" s="94" t="str">
        <f t="shared" si="2"/>
        <v>No infirmation</v>
      </c>
      <c r="M1526" s="94" t="str">
        <f t="shared" si="3"/>
        <v/>
      </c>
    </row>
    <row r="1527" ht="15.75" customHeight="1">
      <c r="B1527" s="77">
        <f t="shared" si="1"/>
        <v>0</v>
      </c>
      <c r="C1527" s="67"/>
      <c r="D1527" s="78"/>
      <c r="E1527" s="101"/>
      <c r="F1527" s="108"/>
      <c r="G1527" s="120"/>
      <c r="H1527" s="101"/>
      <c r="I1527" s="93"/>
      <c r="J1527" s="91"/>
      <c r="L1527" s="94" t="str">
        <f t="shared" si="2"/>
        <v>No infirmation</v>
      </c>
      <c r="M1527" s="94" t="str">
        <f t="shared" si="3"/>
        <v/>
      </c>
    </row>
    <row r="1528" ht="15.75" customHeight="1">
      <c r="B1528" s="77">
        <f t="shared" si="1"/>
        <v>0</v>
      </c>
      <c r="C1528" s="67"/>
      <c r="D1528" s="78"/>
      <c r="E1528" s="101"/>
      <c r="F1528" s="108"/>
      <c r="G1528" s="120"/>
      <c r="H1528" s="101"/>
      <c r="I1528" s="93"/>
      <c r="J1528" s="91"/>
      <c r="L1528" s="94" t="str">
        <f t="shared" si="2"/>
        <v>No infirmation</v>
      </c>
      <c r="M1528" s="94" t="str">
        <f t="shared" si="3"/>
        <v/>
      </c>
    </row>
    <row r="1529" ht="15.75" customHeight="1">
      <c r="B1529" s="77">
        <f t="shared" si="1"/>
        <v>0</v>
      </c>
      <c r="C1529" s="67"/>
      <c r="D1529" s="78"/>
      <c r="E1529" s="101"/>
      <c r="F1529" s="108"/>
      <c r="G1529" s="120"/>
      <c r="H1529" s="101"/>
      <c r="I1529" s="93"/>
      <c r="J1529" s="91"/>
      <c r="L1529" s="94" t="str">
        <f t="shared" si="2"/>
        <v>No infirmation</v>
      </c>
      <c r="M1529" s="94" t="str">
        <f t="shared" si="3"/>
        <v/>
      </c>
    </row>
    <row r="1530" ht="15.75" customHeight="1">
      <c r="B1530" s="77">
        <f t="shared" si="1"/>
        <v>0</v>
      </c>
      <c r="C1530" s="67"/>
      <c r="D1530" s="78"/>
      <c r="E1530" s="101"/>
      <c r="F1530" s="108"/>
      <c r="G1530" s="120"/>
      <c r="H1530" s="101"/>
      <c r="I1530" s="93"/>
      <c r="J1530" s="91"/>
      <c r="L1530" s="94" t="str">
        <f t="shared" si="2"/>
        <v>No infirmation</v>
      </c>
      <c r="M1530" s="94" t="str">
        <f t="shared" si="3"/>
        <v/>
      </c>
    </row>
    <row r="1531" ht="15.75" customHeight="1">
      <c r="B1531" s="77">
        <f t="shared" si="1"/>
        <v>0</v>
      </c>
      <c r="C1531" s="67"/>
      <c r="D1531" s="78"/>
      <c r="E1531" s="101"/>
      <c r="F1531" s="108"/>
      <c r="G1531" s="120"/>
      <c r="H1531" s="101"/>
      <c r="I1531" s="93"/>
      <c r="J1531" s="91"/>
      <c r="L1531" s="94" t="str">
        <f t="shared" si="2"/>
        <v>No infirmation</v>
      </c>
      <c r="M1531" s="94" t="str">
        <f t="shared" si="3"/>
        <v/>
      </c>
    </row>
    <row r="1532" ht="15.75" customHeight="1">
      <c r="B1532" s="77">
        <f t="shared" si="1"/>
        <v>0</v>
      </c>
      <c r="C1532" s="67"/>
      <c r="D1532" s="78"/>
      <c r="E1532" s="101"/>
      <c r="F1532" s="108"/>
      <c r="G1532" s="120"/>
      <c r="H1532" s="101"/>
      <c r="I1532" s="93"/>
      <c r="J1532" s="91"/>
      <c r="L1532" s="94" t="str">
        <f t="shared" si="2"/>
        <v>No infirmation</v>
      </c>
      <c r="M1532" s="94" t="str">
        <f t="shared" si="3"/>
        <v/>
      </c>
    </row>
    <row r="1533" ht="15.75" customHeight="1">
      <c r="B1533" s="77">
        <f t="shared" si="1"/>
        <v>0</v>
      </c>
      <c r="C1533" s="67"/>
      <c r="D1533" s="78"/>
      <c r="E1533" s="101"/>
      <c r="F1533" s="108"/>
      <c r="G1533" s="120"/>
      <c r="H1533" s="101"/>
      <c r="I1533" s="93"/>
      <c r="J1533" s="91"/>
      <c r="L1533" s="94" t="str">
        <f t="shared" si="2"/>
        <v>No infirmation</v>
      </c>
      <c r="M1533" s="94" t="str">
        <f t="shared" si="3"/>
        <v/>
      </c>
    </row>
    <row r="1534" ht="15.75" customHeight="1">
      <c r="B1534" s="77">
        <f t="shared" si="1"/>
        <v>0</v>
      </c>
      <c r="C1534" s="67"/>
      <c r="D1534" s="78"/>
      <c r="E1534" s="101"/>
      <c r="F1534" s="108"/>
      <c r="G1534" s="120"/>
      <c r="H1534" s="101"/>
      <c r="I1534" s="93"/>
      <c r="J1534" s="91"/>
      <c r="L1534" s="94" t="str">
        <f t="shared" si="2"/>
        <v>No infirmation</v>
      </c>
      <c r="M1534" s="94" t="str">
        <f t="shared" si="3"/>
        <v/>
      </c>
    </row>
    <row r="1535" ht="15.75" customHeight="1">
      <c r="B1535" s="77">
        <f t="shared" si="1"/>
        <v>0</v>
      </c>
      <c r="C1535" s="67"/>
      <c r="D1535" s="78"/>
      <c r="E1535" s="101"/>
      <c r="F1535" s="108"/>
      <c r="G1535" s="120"/>
      <c r="H1535" s="101"/>
      <c r="I1535" s="93"/>
      <c r="J1535" s="91"/>
      <c r="L1535" s="94" t="str">
        <f t="shared" si="2"/>
        <v>No infirmation</v>
      </c>
      <c r="M1535" s="94" t="str">
        <f t="shared" si="3"/>
        <v/>
      </c>
    </row>
    <row r="1536" ht="15.75" customHeight="1">
      <c r="B1536" s="77">
        <f t="shared" si="1"/>
        <v>0</v>
      </c>
      <c r="C1536" s="67"/>
      <c r="D1536" s="78"/>
      <c r="E1536" s="101"/>
      <c r="F1536" s="108"/>
      <c r="G1536" s="120"/>
      <c r="H1536" s="101"/>
      <c r="I1536" s="93"/>
      <c r="J1536" s="91"/>
      <c r="L1536" s="94" t="str">
        <f t="shared" si="2"/>
        <v>No infirmation</v>
      </c>
      <c r="M1536" s="94" t="str">
        <f t="shared" si="3"/>
        <v/>
      </c>
    </row>
    <row r="1537" ht="15.75" customHeight="1">
      <c r="B1537" s="77">
        <f t="shared" si="1"/>
        <v>0</v>
      </c>
      <c r="C1537" s="67"/>
      <c r="D1537" s="78"/>
      <c r="E1537" s="101"/>
      <c r="F1537" s="108"/>
      <c r="G1537" s="120"/>
      <c r="H1537" s="101"/>
      <c r="I1537" s="93"/>
      <c r="J1537" s="91"/>
      <c r="L1537" s="94" t="str">
        <f t="shared" si="2"/>
        <v>No infirmation</v>
      </c>
      <c r="M1537" s="94" t="str">
        <f t="shared" si="3"/>
        <v/>
      </c>
    </row>
    <row r="1538" ht="15.75" customHeight="1">
      <c r="B1538" s="77">
        <f t="shared" si="1"/>
        <v>0</v>
      </c>
      <c r="C1538" s="67"/>
      <c r="D1538" s="78"/>
      <c r="E1538" s="101"/>
      <c r="F1538" s="108"/>
      <c r="G1538" s="120"/>
      <c r="H1538" s="101"/>
      <c r="I1538" s="93"/>
      <c r="J1538" s="91"/>
      <c r="L1538" s="94" t="str">
        <f t="shared" si="2"/>
        <v>No infirmation</v>
      </c>
      <c r="M1538" s="94" t="str">
        <f t="shared" si="3"/>
        <v/>
      </c>
    </row>
    <row r="1539" ht="15.75" customHeight="1">
      <c r="B1539" s="77">
        <f t="shared" si="1"/>
        <v>0</v>
      </c>
      <c r="C1539" s="67"/>
      <c r="D1539" s="78"/>
      <c r="E1539" s="101"/>
      <c r="F1539" s="108"/>
      <c r="G1539" s="120"/>
      <c r="H1539" s="101"/>
      <c r="I1539" s="93"/>
      <c r="J1539" s="91"/>
      <c r="L1539" s="94" t="str">
        <f t="shared" si="2"/>
        <v>No infirmation</v>
      </c>
      <c r="M1539" s="94" t="str">
        <f t="shared" si="3"/>
        <v/>
      </c>
    </row>
    <row r="1540" ht="15.75" customHeight="1">
      <c r="B1540" s="77">
        <f t="shared" si="1"/>
        <v>0</v>
      </c>
      <c r="C1540" s="67"/>
      <c r="D1540" s="78"/>
      <c r="E1540" s="101"/>
      <c r="F1540" s="108"/>
      <c r="G1540" s="120"/>
      <c r="H1540" s="101"/>
      <c r="I1540" s="93"/>
      <c r="J1540" s="91"/>
      <c r="L1540" s="94" t="str">
        <f t="shared" si="2"/>
        <v>No infirmation</v>
      </c>
      <c r="M1540" s="94" t="str">
        <f t="shared" si="3"/>
        <v/>
      </c>
    </row>
    <row r="1541" ht="15.75" customHeight="1">
      <c r="B1541" s="77">
        <f t="shared" si="1"/>
        <v>0</v>
      </c>
      <c r="C1541" s="67"/>
      <c r="D1541" s="78"/>
      <c r="E1541" s="101"/>
      <c r="F1541" s="108"/>
      <c r="G1541" s="120"/>
      <c r="H1541" s="101"/>
      <c r="I1541" s="93"/>
      <c r="J1541" s="91"/>
      <c r="L1541" s="94" t="str">
        <f t="shared" si="2"/>
        <v>No infirmation</v>
      </c>
      <c r="M1541" s="94" t="str">
        <f t="shared" si="3"/>
        <v/>
      </c>
    </row>
    <row r="1542" ht="15.75" customHeight="1">
      <c r="B1542" s="77">
        <f t="shared" si="1"/>
        <v>0</v>
      </c>
      <c r="C1542" s="67"/>
      <c r="D1542" s="78"/>
      <c r="E1542" s="101"/>
      <c r="F1542" s="108"/>
      <c r="G1542" s="120"/>
      <c r="H1542" s="101"/>
      <c r="I1542" s="93"/>
      <c r="J1542" s="91"/>
      <c r="L1542" s="94" t="str">
        <f t="shared" si="2"/>
        <v>No infirmation</v>
      </c>
      <c r="M1542" s="94" t="str">
        <f t="shared" si="3"/>
        <v/>
      </c>
    </row>
    <row r="1543" ht="15.75" customHeight="1">
      <c r="B1543" s="77">
        <f t="shared" si="1"/>
        <v>0</v>
      </c>
      <c r="C1543" s="67"/>
      <c r="D1543" s="78"/>
      <c r="E1543" s="101"/>
      <c r="F1543" s="108"/>
      <c r="G1543" s="120"/>
      <c r="H1543" s="101"/>
      <c r="I1543" s="93"/>
      <c r="J1543" s="91"/>
      <c r="L1543" s="94" t="str">
        <f t="shared" si="2"/>
        <v>No infirmation</v>
      </c>
      <c r="M1543" s="94" t="str">
        <f t="shared" si="3"/>
        <v/>
      </c>
    </row>
    <row r="1544" ht="15.75" customHeight="1">
      <c r="B1544" s="77">
        <f t="shared" si="1"/>
        <v>0</v>
      </c>
      <c r="C1544" s="67"/>
      <c r="D1544" s="78"/>
      <c r="E1544" s="101"/>
      <c r="F1544" s="108"/>
      <c r="G1544" s="120"/>
      <c r="H1544" s="101"/>
      <c r="I1544" s="93"/>
      <c r="J1544" s="91"/>
      <c r="L1544" s="94" t="str">
        <f t="shared" si="2"/>
        <v>No infirmation</v>
      </c>
      <c r="M1544" s="94" t="str">
        <f t="shared" si="3"/>
        <v/>
      </c>
    </row>
    <row r="1545" ht="15.75" customHeight="1">
      <c r="B1545" s="77">
        <f t="shared" si="1"/>
        <v>0</v>
      </c>
      <c r="C1545" s="67"/>
      <c r="D1545" s="78"/>
      <c r="E1545" s="101"/>
      <c r="F1545" s="108"/>
      <c r="G1545" s="120"/>
      <c r="H1545" s="101"/>
      <c r="I1545" s="93"/>
      <c r="J1545" s="91"/>
      <c r="L1545" s="94" t="str">
        <f t="shared" si="2"/>
        <v>No infirmation</v>
      </c>
      <c r="M1545" s="94" t="str">
        <f t="shared" si="3"/>
        <v/>
      </c>
    </row>
    <row r="1546" ht="15.75" customHeight="1">
      <c r="B1546" s="77">
        <f t="shared" si="1"/>
        <v>0</v>
      </c>
      <c r="C1546" s="67"/>
      <c r="D1546" s="78"/>
      <c r="E1546" s="101"/>
      <c r="F1546" s="108"/>
      <c r="G1546" s="120"/>
      <c r="H1546" s="101"/>
      <c r="I1546" s="93"/>
      <c r="J1546" s="91"/>
      <c r="L1546" s="94" t="str">
        <f t="shared" si="2"/>
        <v>No infirmation</v>
      </c>
      <c r="M1546" s="94" t="str">
        <f t="shared" si="3"/>
        <v/>
      </c>
    </row>
    <row r="1547" ht="15.75" customHeight="1">
      <c r="B1547" s="77">
        <f t="shared" si="1"/>
        <v>0</v>
      </c>
      <c r="C1547" s="67"/>
      <c r="D1547" s="78"/>
      <c r="E1547" s="101"/>
      <c r="F1547" s="108"/>
      <c r="G1547" s="120"/>
      <c r="H1547" s="101"/>
      <c r="I1547" s="93"/>
      <c r="J1547" s="91"/>
      <c r="L1547" s="94" t="str">
        <f t="shared" si="2"/>
        <v>No infirmation</v>
      </c>
      <c r="M1547" s="94" t="str">
        <f t="shared" si="3"/>
        <v/>
      </c>
    </row>
    <row r="1548" ht="15.75" customHeight="1">
      <c r="B1548" s="77">
        <f t="shared" si="1"/>
        <v>0</v>
      </c>
      <c r="C1548" s="67"/>
      <c r="D1548" s="78"/>
      <c r="E1548" s="101"/>
      <c r="F1548" s="108"/>
      <c r="G1548" s="120"/>
      <c r="H1548" s="101"/>
      <c r="I1548" s="93"/>
      <c r="J1548" s="91"/>
      <c r="L1548" s="94" t="str">
        <f t="shared" si="2"/>
        <v>No infirmation</v>
      </c>
      <c r="M1548" s="94" t="str">
        <f t="shared" si="3"/>
        <v/>
      </c>
    </row>
    <row r="1549" ht="15.75" customHeight="1">
      <c r="B1549" s="77">
        <f t="shared" si="1"/>
        <v>0</v>
      </c>
      <c r="C1549" s="67"/>
      <c r="D1549" s="78"/>
      <c r="E1549" s="101"/>
      <c r="F1549" s="108"/>
      <c r="G1549" s="120"/>
      <c r="H1549" s="101"/>
      <c r="I1549" s="93"/>
      <c r="J1549" s="91"/>
      <c r="L1549" s="94" t="str">
        <f t="shared" si="2"/>
        <v>No infirmation</v>
      </c>
      <c r="M1549" s="94" t="str">
        <f t="shared" si="3"/>
        <v/>
      </c>
    </row>
    <row r="1550" ht="15.75" customHeight="1">
      <c r="B1550" s="77">
        <f t="shared" si="1"/>
        <v>0</v>
      </c>
      <c r="C1550" s="67"/>
      <c r="D1550" s="78"/>
      <c r="E1550" s="101"/>
      <c r="F1550" s="108"/>
      <c r="G1550" s="120"/>
      <c r="H1550" s="101"/>
      <c r="I1550" s="93"/>
      <c r="J1550" s="91"/>
      <c r="L1550" s="94" t="str">
        <f t="shared" si="2"/>
        <v>No infirmation</v>
      </c>
      <c r="M1550" s="94" t="str">
        <f t="shared" si="3"/>
        <v/>
      </c>
    </row>
    <row r="1551" ht="15.75" customHeight="1">
      <c r="B1551" s="77">
        <f t="shared" si="1"/>
        <v>0</v>
      </c>
      <c r="C1551" s="67"/>
      <c r="D1551" s="78"/>
      <c r="E1551" s="101"/>
      <c r="F1551" s="108"/>
      <c r="G1551" s="120"/>
      <c r="H1551" s="101"/>
      <c r="I1551" s="93"/>
      <c r="J1551" s="91"/>
      <c r="L1551" s="94" t="str">
        <f t="shared" si="2"/>
        <v>No infirmation</v>
      </c>
      <c r="M1551" s="94" t="str">
        <f t="shared" si="3"/>
        <v/>
      </c>
    </row>
    <row r="1552" ht="15.75" customHeight="1">
      <c r="B1552" s="77">
        <f t="shared" si="1"/>
        <v>0</v>
      </c>
      <c r="C1552" s="67"/>
      <c r="D1552" s="78"/>
      <c r="E1552" s="101"/>
      <c r="F1552" s="108"/>
      <c r="G1552" s="120"/>
      <c r="H1552" s="101"/>
      <c r="I1552" s="93"/>
      <c r="J1552" s="91"/>
      <c r="L1552" s="94" t="str">
        <f t="shared" si="2"/>
        <v>No infirmation</v>
      </c>
      <c r="M1552" s="94" t="str">
        <f t="shared" si="3"/>
        <v/>
      </c>
    </row>
    <row r="1553" ht="15.75" customHeight="1">
      <c r="B1553" s="77">
        <f t="shared" si="1"/>
        <v>0</v>
      </c>
      <c r="C1553" s="67"/>
      <c r="D1553" s="78"/>
      <c r="E1553" s="101"/>
      <c r="F1553" s="108"/>
      <c r="G1553" s="120"/>
      <c r="H1553" s="101"/>
      <c r="I1553" s="93"/>
      <c r="J1553" s="91"/>
      <c r="L1553" s="94" t="str">
        <f t="shared" si="2"/>
        <v>No infirmation</v>
      </c>
      <c r="M1553" s="94" t="str">
        <f t="shared" si="3"/>
        <v/>
      </c>
    </row>
    <row r="1554" ht="15.75" customHeight="1">
      <c r="B1554" s="77">
        <f t="shared" si="1"/>
        <v>0</v>
      </c>
      <c r="C1554" s="67"/>
      <c r="D1554" s="78"/>
      <c r="E1554" s="101"/>
      <c r="F1554" s="108"/>
      <c r="G1554" s="120"/>
      <c r="H1554" s="101"/>
      <c r="I1554" s="93"/>
      <c r="J1554" s="91"/>
      <c r="L1554" s="94" t="str">
        <f t="shared" si="2"/>
        <v>No infirmation</v>
      </c>
      <c r="M1554" s="94" t="str">
        <f t="shared" si="3"/>
        <v/>
      </c>
    </row>
    <row r="1555" ht="15.75" customHeight="1">
      <c r="B1555" s="77">
        <f t="shared" si="1"/>
        <v>0</v>
      </c>
      <c r="C1555" s="67"/>
      <c r="D1555" s="78"/>
      <c r="E1555" s="101"/>
      <c r="F1555" s="108"/>
      <c r="G1555" s="120"/>
      <c r="H1555" s="101"/>
      <c r="I1555" s="93"/>
      <c r="J1555" s="91"/>
      <c r="L1555" s="94" t="str">
        <f t="shared" si="2"/>
        <v>No infirmation</v>
      </c>
      <c r="M1555" s="94" t="str">
        <f t="shared" si="3"/>
        <v/>
      </c>
    </row>
    <row r="1556" ht="15.75" customHeight="1">
      <c r="B1556" s="77">
        <f t="shared" si="1"/>
        <v>0</v>
      </c>
      <c r="C1556" s="67"/>
      <c r="D1556" s="78"/>
      <c r="E1556" s="101"/>
      <c r="F1556" s="108"/>
      <c r="G1556" s="120"/>
      <c r="H1556" s="101"/>
      <c r="I1556" s="93"/>
      <c r="J1556" s="91"/>
      <c r="L1556" s="94" t="str">
        <f t="shared" si="2"/>
        <v>No infirmation</v>
      </c>
      <c r="M1556" s="94" t="str">
        <f t="shared" si="3"/>
        <v/>
      </c>
    </row>
    <row r="1557" ht="15.75" customHeight="1">
      <c r="B1557" s="77">
        <f t="shared" si="1"/>
        <v>0</v>
      </c>
      <c r="C1557" s="67"/>
      <c r="D1557" s="78"/>
      <c r="E1557" s="101"/>
      <c r="F1557" s="108"/>
      <c r="G1557" s="120"/>
      <c r="H1557" s="101"/>
      <c r="I1557" s="93"/>
      <c r="J1557" s="91"/>
      <c r="L1557" s="94" t="str">
        <f t="shared" si="2"/>
        <v>No infirmation</v>
      </c>
      <c r="M1557" s="94" t="str">
        <f t="shared" si="3"/>
        <v/>
      </c>
    </row>
    <row r="1558" ht="15.75" customHeight="1">
      <c r="B1558" s="77">
        <f t="shared" si="1"/>
        <v>0</v>
      </c>
      <c r="C1558" s="67"/>
      <c r="D1558" s="78"/>
      <c r="E1558" s="101"/>
      <c r="F1558" s="108"/>
      <c r="G1558" s="120"/>
      <c r="H1558" s="101"/>
      <c r="I1558" s="93"/>
      <c r="J1558" s="91"/>
      <c r="L1558" s="94" t="str">
        <f t="shared" si="2"/>
        <v>No infirmation</v>
      </c>
      <c r="M1558" s="94" t="str">
        <f t="shared" si="3"/>
        <v/>
      </c>
    </row>
    <row r="1559" ht="15.75" customHeight="1">
      <c r="B1559" s="77">
        <f t="shared" si="1"/>
        <v>0</v>
      </c>
      <c r="C1559" s="67"/>
      <c r="D1559" s="78"/>
      <c r="E1559" s="101"/>
      <c r="F1559" s="108"/>
      <c r="G1559" s="120"/>
      <c r="H1559" s="101"/>
      <c r="I1559" s="93"/>
      <c r="J1559" s="91"/>
      <c r="L1559" s="94" t="str">
        <f t="shared" si="2"/>
        <v>No infirmation</v>
      </c>
      <c r="M1559" s="94" t="str">
        <f t="shared" si="3"/>
        <v/>
      </c>
    </row>
    <row r="1560" ht="15.75" customHeight="1">
      <c r="B1560" s="77">
        <f t="shared" si="1"/>
        <v>0</v>
      </c>
      <c r="C1560" s="67"/>
      <c r="D1560" s="78"/>
      <c r="E1560" s="101"/>
      <c r="F1560" s="108"/>
      <c r="G1560" s="120"/>
      <c r="H1560" s="101"/>
      <c r="I1560" s="93"/>
      <c r="J1560" s="91"/>
      <c r="L1560" s="94" t="str">
        <f t="shared" si="2"/>
        <v>No infirmation</v>
      </c>
      <c r="M1560" s="94" t="str">
        <f t="shared" si="3"/>
        <v/>
      </c>
    </row>
    <row r="1561" ht="15.75" customHeight="1">
      <c r="B1561" s="77">
        <f t="shared" si="1"/>
        <v>0</v>
      </c>
      <c r="C1561" s="67"/>
      <c r="D1561" s="78"/>
      <c r="E1561" s="101"/>
      <c r="F1561" s="108"/>
      <c r="G1561" s="120"/>
      <c r="H1561" s="101"/>
      <c r="I1561" s="93"/>
      <c r="J1561" s="91"/>
      <c r="L1561" s="94" t="str">
        <f t="shared" si="2"/>
        <v>No infirmation</v>
      </c>
      <c r="M1561" s="94" t="str">
        <f t="shared" si="3"/>
        <v/>
      </c>
    </row>
    <row r="1562" ht="15.75" customHeight="1">
      <c r="B1562" s="77">
        <f t="shared" si="1"/>
        <v>0</v>
      </c>
      <c r="C1562" s="67"/>
      <c r="D1562" s="78"/>
      <c r="E1562" s="101"/>
      <c r="F1562" s="108"/>
      <c r="G1562" s="120"/>
      <c r="H1562" s="101"/>
      <c r="I1562" s="93"/>
      <c r="J1562" s="91"/>
      <c r="L1562" s="94" t="str">
        <f t="shared" si="2"/>
        <v>No infirmation</v>
      </c>
      <c r="M1562" s="94" t="str">
        <f t="shared" si="3"/>
        <v/>
      </c>
    </row>
    <row r="1563" ht="15.75" customHeight="1">
      <c r="B1563" s="77">
        <f t="shared" si="1"/>
        <v>0</v>
      </c>
      <c r="C1563" s="67"/>
      <c r="D1563" s="78"/>
      <c r="E1563" s="101"/>
      <c r="F1563" s="108"/>
      <c r="G1563" s="120"/>
      <c r="H1563" s="101"/>
      <c r="I1563" s="93"/>
      <c r="J1563" s="91"/>
      <c r="L1563" s="94" t="str">
        <f t="shared" si="2"/>
        <v>No infirmation</v>
      </c>
      <c r="M1563" s="94" t="str">
        <f t="shared" si="3"/>
        <v/>
      </c>
    </row>
    <row r="1564" ht="15.75" customHeight="1">
      <c r="B1564" s="77">
        <f t="shared" si="1"/>
        <v>0</v>
      </c>
      <c r="C1564" s="67"/>
      <c r="D1564" s="78"/>
      <c r="E1564" s="101"/>
      <c r="F1564" s="108"/>
      <c r="G1564" s="120"/>
      <c r="H1564" s="101"/>
      <c r="I1564" s="93"/>
      <c r="J1564" s="91"/>
      <c r="L1564" s="94" t="str">
        <f t="shared" si="2"/>
        <v>No infirmation</v>
      </c>
      <c r="M1564" s="94" t="str">
        <f t="shared" si="3"/>
        <v/>
      </c>
    </row>
    <row r="1565" ht="15.75" customHeight="1">
      <c r="B1565" s="77">
        <f t="shared" si="1"/>
        <v>0</v>
      </c>
      <c r="C1565" s="67"/>
      <c r="D1565" s="78"/>
      <c r="E1565" s="101"/>
      <c r="F1565" s="108"/>
      <c r="G1565" s="120"/>
      <c r="H1565" s="101"/>
      <c r="I1565" s="93"/>
      <c r="J1565" s="91"/>
      <c r="L1565" s="94" t="str">
        <f t="shared" si="2"/>
        <v>No infirmation</v>
      </c>
      <c r="M1565" s="94" t="str">
        <f t="shared" si="3"/>
        <v/>
      </c>
    </row>
    <row r="1566" ht="15.75" customHeight="1">
      <c r="B1566" s="77">
        <f t="shared" si="1"/>
        <v>0</v>
      </c>
      <c r="C1566" s="67"/>
      <c r="D1566" s="78"/>
      <c r="E1566" s="101"/>
      <c r="F1566" s="108"/>
      <c r="G1566" s="120"/>
      <c r="H1566" s="101"/>
      <c r="I1566" s="93"/>
      <c r="J1566" s="91"/>
      <c r="L1566" s="94" t="str">
        <f t="shared" si="2"/>
        <v>No infirmation</v>
      </c>
      <c r="M1566" s="94" t="str">
        <f t="shared" si="3"/>
        <v/>
      </c>
    </row>
    <row r="1567" ht="15.75" customHeight="1">
      <c r="B1567" s="77">
        <f t="shared" si="1"/>
        <v>0</v>
      </c>
      <c r="C1567" s="67"/>
      <c r="D1567" s="78"/>
      <c r="E1567" s="101"/>
      <c r="F1567" s="108"/>
      <c r="G1567" s="120"/>
      <c r="H1567" s="101"/>
      <c r="I1567" s="93"/>
      <c r="J1567" s="91"/>
      <c r="L1567" s="94" t="str">
        <f t="shared" si="2"/>
        <v>No infirmation</v>
      </c>
      <c r="M1567" s="94" t="str">
        <f t="shared" si="3"/>
        <v/>
      </c>
    </row>
    <row r="1568" ht="15.75" customHeight="1">
      <c r="B1568" s="77">
        <f t="shared" si="1"/>
        <v>0</v>
      </c>
      <c r="C1568" s="67"/>
      <c r="D1568" s="78"/>
      <c r="E1568" s="101"/>
      <c r="F1568" s="108"/>
      <c r="G1568" s="120"/>
      <c r="H1568" s="101"/>
      <c r="I1568" s="93"/>
      <c r="J1568" s="91"/>
      <c r="L1568" s="94" t="str">
        <f t="shared" si="2"/>
        <v>No infirmation</v>
      </c>
      <c r="M1568" s="94" t="str">
        <f t="shared" si="3"/>
        <v/>
      </c>
    </row>
    <row r="1569" ht="15.75" customHeight="1">
      <c r="B1569" s="77">
        <f t="shared" si="1"/>
        <v>0</v>
      </c>
      <c r="C1569" s="67"/>
      <c r="D1569" s="78"/>
      <c r="E1569" s="101"/>
      <c r="F1569" s="108"/>
      <c r="G1569" s="120"/>
      <c r="H1569" s="101"/>
      <c r="I1569" s="93"/>
      <c r="J1569" s="91"/>
      <c r="L1569" s="94" t="str">
        <f t="shared" si="2"/>
        <v>No infirmation</v>
      </c>
      <c r="M1569" s="94" t="str">
        <f t="shared" si="3"/>
        <v/>
      </c>
    </row>
    <row r="1570" ht="15.75" customHeight="1">
      <c r="B1570" s="77">
        <f t="shared" si="1"/>
        <v>0</v>
      </c>
      <c r="C1570" s="67"/>
      <c r="D1570" s="78"/>
      <c r="E1570" s="101"/>
      <c r="F1570" s="108"/>
      <c r="G1570" s="120"/>
      <c r="H1570" s="101"/>
      <c r="I1570" s="93"/>
      <c r="J1570" s="91"/>
      <c r="L1570" s="94" t="str">
        <f t="shared" si="2"/>
        <v>No infirmation</v>
      </c>
      <c r="M1570" s="94" t="str">
        <f t="shared" si="3"/>
        <v/>
      </c>
    </row>
    <row r="1571" ht="15.75" customHeight="1">
      <c r="B1571" s="77">
        <f t="shared" si="1"/>
        <v>0</v>
      </c>
      <c r="C1571" s="67"/>
      <c r="D1571" s="78"/>
      <c r="E1571" s="101"/>
      <c r="F1571" s="108"/>
      <c r="G1571" s="120"/>
      <c r="H1571" s="101"/>
      <c r="I1571" s="93"/>
      <c r="J1571" s="91"/>
      <c r="L1571" s="94" t="str">
        <f t="shared" si="2"/>
        <v>No infirmation</v>
      </c>
      <c r="M1571" s="94" t="str">
        <f t="shared" si="3"/>
        <v/>
      </c>
    </row>
    <row r="1572" ht="15.75" customHeight="1">
      <c r="B1572" s="77">
        <f t="shared" si="1"/>
        <v>0</v>
      </c>
      <c r="C1572" s="67"/>
      <c r="D1572" s="78"/>
      <c r="E1572" s="101"/>
      <c r="F1572" s="108"/>
      <c r="G1572" s="120"/>
      <c r="H1572" s="101"/>
      <c r="I1572" s="93"/>
      <c r="J1572" s="91"/>
      <c r="L1572" s="94" t="str">
        <f t="shared" si="2"/>
        <v>No infirmation</v>
      </c>
      <c r="M1572" s="94" t="str">
        <f t="shared" si="3"/>
        <v/>
      </c>
    </row>
    <row r="1573" ht="15.75" customHeight="1">
      <c r="B1573" s="77">
        <f t="shared" si="1"/>
        <v>0</v>
      </c>
      <c r="C1573" s="67"/>
      <c r="D1573" s="78"/>
      <c r="E1573" s="101"/>
      <c r="F1573" s="108"/>
      <c r="G1573" s="120"/>
      <c r="H1573" s="101"/>
      <c r="I1573" s="93"/>
      <c r="J1573" s="91"/>
      <c r="L1573" s="94" t="str">
        <f t="shared" si="2"/>
        <v>No infirmation</v>
      </c>
      <c r="M1573" s="94" t="str">
        <f t="shared" si="3"/>
        <v/>
      </c>
    </row>
    <row r="1574" ht="15.75" customHeight="1">
      <c r="B1574" s="77">
        <f t="shared" si="1"/>
        <v>0</v>
      </c>
      <c r="C1574" s="67"/>
      <c r="D1574" s="78"/>
      <c r="E1574" s="101"/>
      <c r="F1574" s="108"/>
      <c r="G1574" s="120"/>
      <c r="H1574" s="101"/>
      <c r="I1574" s="93"/>
      <c r="J1574" s="91"/>
      <c r="L1574" s="94" t="str">
        <f t="shared" si="2"/>
        <v>No infirmation</v>
      </c>
      <c r="M1574" s="94" t="str">
        <f t="shared" si="3"/>
        <v/>
      </c>
    </row>
    <row r="1575" ht="15.75" customHeight="1">
      <c r="B1575" s="77">
        <f t="shared" si="1"/>
        <v>0</v>
      </c>
      <c r="C1575" s="67"/>
      <c r="D1575" s="78"/>
      <c r="E1575" s="101"/>
      <c r="F1575" s="108"/>
      <c r="G1575" s="120"/>
      <c r="H1575" s="101"/>
      <c r="I1575" s="93"/>
      <c r="J1575" s="91"/>
      <c r="L1575" s="94" t="str">
        <f t="shared" si="2"/>
        <v>No infirmation</v>
      </c>
      <c r="M1575" s="94" t="str">
        <f t="shared" si="3"/>
        <v/>
      </c>
    </row>
    <row r="1576" ht="15.75" customHeight="1">
      <c r="B1576" s="77">
        <f t="shared" si="1"/>
        <v>0</v>
      </c>
      <c r="C1576" s="67"/>
      <c r="D1576" s="78"/>
      <c r="E1576" s="101"/>
      <c r="F1576" s="108"/>
      <c r="G1576" s="120"/>
      <c r="H1576" s="101"/>
      <c r="I1576" s="93"/>
      <c r="J1576" s="91"/>
      <c r="L1576" s="94" t="str">
        <f t="shared" si="2"/>
        <v>No infirmation</v>
      </c>
      <c r="M1576" s="94" t="str">
        <f t="shared" si="3"/>
        <v/>
      </c>
    </row>
    <row r="1577" ht="15.75" customHeight="1">
      <c r="B1577" s="77">
        <f t="shared" si="1"/>
        <v>0</v>
      </c>
      <c r="C1577" s="67"/>
      <c r="D1577" s="78"/>
      <c r="E1577" s="101"/>
      <c r="F1577" s="108"/>
      <c r="G1577" s="120"/>
      <c r="H1577" s="101"/>
      <c r="I1577" s="93"/>
      <c r="J1577" s="91"/>
      <c r="L1577" s="94" t="str">
        <f t="shared" si="2"/>
        <v>No infirmation</v>
      </c>
      <c r="M1577" s="94" t="str">
        <f t="shared" si="3"/>
        <v/>
      </c>
    </row>
    <row r="1578" ht="15.75" customHeight="1">
      <c r="B1578" s="77">
        <f t="shared" si="1"/>
        <v>0</v>
      </c>
      <c r="C1578" s="67"/>
      <c r="D1578" s="78"/>
      <c r="E1578" s="101"/>
      <c r="F1578" s="108"/>
      <c r="G1578" s="120"/>
      <c r="H1578" s="101"/>
      <c r="I1578" s="93"/>
      <c r="J1578" s="91"/>
      <c r="L1578" s="94" t="str">
        <f t="shared" si="2"/>
        <v>No infirmation</v>
      </c>
      <c r="M1578" s="94" t="str">
        <f t="shared" si="3"/>
        <v/>
      </c>
    </row>
    <row r="1579" ht="15.75" customHeight="1">
      <c r="B1579" s="77">
        <f t="shared" si="1"/>
        <v>0</v>
      </c>
      <c r="C1579" s="67"/>
      <c r="D1579" s="78"/>
      <c r="E1579" s="101"/>
      <c r="F1579" s="108"/>
      <c r="G1579" s="120"/>
      <c r="H1579" s="101"/>
      <c r="I1579" s="93"/>
      <c r="J1579" s="91"/>
      <c r="L1579" s="94" t="str">
        <f t="shared" si="2"/>
        <v>No infirmation</v>
      </c>
      <c r="M1579" s="94" t="str">
        <f t="shared" si="3"/>
        <v/>
      </c>
    </row>
    <row r="1580" ht="15.75" customHeight="1">
      <c r="B1580" s="77">
        <f t="shared" si="1"/>
        <v>0</v>
      </c>
      <c r="C1580" s="67"/>
      <c r="D1580" s="78"/>
      <c r="E1580" s="101"/>
      <c r="F1580" s="108"/>
      <c r="G1580" s="120"/>
      <c r="H1580" s="101"/>
      <c r="I1580" s="93"/>
      <c r="J1580" s="91"/>
      <c r="L1580" s="94" t="str">
        <f t="shared" si="2"/>
        <v>No infirmation</v>
      </c>
      <c r="M1580" s="94" t="str">
        <f t="shared" si="3"/>
        <v/>
      </c>
    </row>
    <row r="1581" ht="15.75" customHeight="1">
      <c r="B1581" s="77">
        <f t="shared" si="1"/>
        <v>0</v>
      </c>
      <c r="C1581" s="67"/>
      <c r="D1581" s="78"/>
      <c r="E1581" s="101"/>
      <c r="F1581" s="108"/>
      <c r="G1581" s="120"/>
      <c r="H1581" s="101"/>
      <c r="I1581" s="93"/>
      <c r="J1581" s="91"/>
      <c r="L1581" s="94" t="str">
        <f t="shared" si="2"/>
        <v>No infirmation</v>
      </c>
      <c r="M1581" s="94" t="str">
        <f t="shared" si="3"/>
        <v/>
      </c>
    </row>
    <row r="1582" ht="15.75" customHeight="1">
      <c r="B1582" s="77">
        <f t="shared" si="1"/>
        <v>0</v>
      </c>
      <c r="C1582" s="67"/>
      <c r="D1582" s="78"/>
      <c r="E1582" s="101"/>
      <c r="F1582" s="108"/>
      <c r="G1582" s="120"/>
      <c r="H1582" s="101"/>
      <c r="I1582" s="93"/>
      <c r="J1582" s="91"/>
      <c r="L1582" s="94" t="str">
        <f t="shared" si="2"/>
        <v>No infirmation</v>
      </c>
      <c r="M1582" s="94" t="str">
        <f t="shared" si="3"/>
        <v/>
      </c>
    </row>
    <row r="1583" ht="15.75" customHeight="1">
      <c r="B1583" s="77">
        <f t="shared" si="1"/>
        <v>0</v>
      </c>
      <c r="C1583" s="67"/>
      <c r="D1583" s="78"/>
      <c r="E1583" s="101"/>
      <c r="F1583" s="108"/>
      <c r="G1583" s="120"/>
      <c r="H1583" s="101"/>
      <c r="I1583" s="93"/>
      <c r="J1583" s="91"/>
      <c r="L1583" s="94" t="str">
        <f t="shared" si="2"/>
        <v>No infirmation</v>
      </c>
      <c r="M1583" s="94" t="str">
        <f t="shared" si="3"/>
        <v/>
      </c>
    </row>
    <row r="1584" ht="15.75" customHeight="1">
      <c r="B1584" s="77">
        <f t="shared" si="1"/>
        <v>0</v>
      </c>
      <c r="C1584" s="67"/>
      <c r="D1584" s="78"/>
      <c r="E1584" s="101"/>
      <c r="F1584" s="108"/>
      <c r="G1584" s="120"/>
      <c r="H1584" s="101"/>
      <c r="I1584" s="93"/>
      <c r="J1584" s="91"/>
      <c r="L1584" s="94" t="str">
        <f t="shared" si="2"/>
        <v>No infirmation</v>
      </c>
      <c r="M1584" s="94" t="str">
        <f t="shared" si="3"/>
        <v/>
      </c>
    </row>
    <row r="1585" ht="15.75" customHeight="1">
      <c r="B1585" s="77">
        <f t="shared" si="1"/>
        <v>0</v>
      </c>
      <c r="C1585" s="67"/>
      <c r="D1585" s="78"/>
      <c r="E1585" s="101"/>
      <c r="F1585" s="108"/>
      <c r="G1585" s="120"/>
      <c r="H1585" s="101"/>
      <c r="I1585" s="93"/>
      <c r="J1585" s="91"/>
      <c r="L1585" s="94" t="str">
        <f t="shared" si="2"/>
        <v>No infirmation</v>
      </c>
      <c r="M1585" s="94" t="str">
        <f t="shared" si="3"/>
        <v/>
      </c>
    </row>
    <row r="1586" ht="15.75" customHeight="1">
      <c r="B1586" s="77">
        <f t="shared" si="1"/>
        <v>0</v>
      </c>
      <c r="C1586" s="67"/>
      <c r="D1586" s="78"/>
      <c r="E1586" s="101"/>
      <c r="F1586" s="108"/>
      <c r="G1586" s="120"/>
      <c r="H1586" s="101"/>
      <c r="I1586" s="93"/>
      <c r="J1586" s="91"/>
      <c r="L1586" s="94" t="str">
        <f t="shared" si="2"/>
        <v>No infirmation</v>
      </c>
      <c r="M1586" s="94" t="str">
        <f t="shared" si="3"/>
        <v/>
      </c>
    </row>
    <row r="1587" ht="15.75" customHeight="1">
      <c r="B1587" s="77">
        <f t="shared" si="1"/>
        <v>0</v>
      </c>
      <c r="C1587" s="67"/>
      <c r="D1587" s="78"/>
      <c r="E1587" s="101"/>
      <c r="F1587" s="108"/>
      <c r="G1587" s="120"/>
      <c r="H1587" s="101"/>
      <c r="I1587" s="93"/>
      <c r="J1587" s="91"/>
      <c r="L1587" s="94" t="str">
        <f t="shared" si="2"/>
        <v>No infirmation</v>
      </c>
      <c r="M1587" s="94" t="str">
        <f t="shared" si="3"/>
        <v/>
      </c>
    </row>
    <row r="1588" ht="15.75" customHeight="1">
      <c r="B1588" s="77">
        <f t="shared" si="1"/>
        <v>0</v>
      </c>
      <c r="C1588" s="67"/>
      <c r="D1588" s="78"/>
      <c r="E1588" s="101"/>
      <c r="F1588" s="108"/>
      <c r="G1588" s="120"/>
      <c r="H1588" s="101"/>
      <c r="I1588" s="93"/>
      <c r="J1588" s="91"/>
      <c r="L1588" s="94" t="str">
        <f t="shared" si="2"/>
        <v>No infirmation</v>
      </c>
      <c r="M1588" s="94" t="str">
        <f t="shared" si="3"/>
        <v/>
      </c>
    </row>
    <row r="1589" ht="15.75" customHeight="1">
      <c r="B1589" s="77">
        <f t="shared" si="1"/>
        <v>0</v>
      </c>
      <c r="C1589" s="67"/>
      <c r="D1589" s="78"/>
      <c r="E1589" s="101"/>
      <c r="F1589" s="108"/>
      <c r="G1589" s="120"/>
      <c r="H1589" s="101"/>
      <c r="I1589" s="93"/>
      <c r="J1589" s="91"/>
      <c r="L1589" s="94" t="str">
        <f t="shared" si="2"/>
        <v>No infirmation</v>
      </c>
      <c r="M1589" s="94" t="str">
        <f t="shared" si="3"/>
        <v/>
      </c>
    </row>
    <row r="1590" ht="15.75" customHeight="1">
      <c r="B1590" s="77">
        <f t="shared" si="1"/>
        <v>0</v>
      </c>
      <c r="C1590" s="67"/>
      <c r="D1590" s="78"/>
      <c r="E1590" s="101"/>
      <c r="F1590" s="108"/>
      <c r="G1590" s="120"/>
      <c r="H1590" s="101"/>
      <c r="I1590" s="93"/>
      <c r="J1590" s="91"/>
      <c r="L1590" s="94" t="str">
        <f t="shared" si="2"/>
        <v>No infirmation</v>
      </c>
      <c r="M1590" s="94" t="str">
        <f t="shared" si="3"/>
        <v/>
      </c>
    </row>
    <row r="1591" ht="15.75" customHeight="1">
      <c r="B1591" s="77">
        <f t="shared" si="1"/>
        <v>0</v>
      </c>
      <c r="C1591" s="67"/>
      <c r="D1591" s="78"/>
      <c r="E1591" s="101"/>
      <c r="F1591" s="108"/>
      <c r="G1591" s="120"/>
      <c r="H1591" s="101"/>
      <c r="I1591" s="93"/>
      <c r="J1591" s="91"/>
      <c r="L1591" s="94" t="str">
        <f t="shared" si="2"/>
        <v>No infirmation</v>
      </c>
      <c r="M1591" s="94" t="str">
        <f t="shared" si="3"/>
        <v/>
      </c>
    </row>
    <row r="1592" ht="15.75" customHeight="1">
      <c r="B1592" s="77">
        <f t="shared" si="1"/>
        <v>0</v>
      </c>
      <c r="C1592" s="67"/>
      <c r="D1592" s="78"/>
      <c r="E1592" s="101"/>
      <c r="F1592" s="108"/>
      <c r="G1592" s="120"/>
      <c r="H1592" s="101"/>
      <c r="I1592" s="93"/>
      <c r="J1592" s="91"/>
      <c r="L1592" s="94" t="str">
        <f t="shared" si="2"/>
        <v>No infirmation</v>
      </c>
      <c r="M1592" s="94" t="str">
        <f t="shared" si="3"/>
        <v/>
      </c>
    </row>
    <row r="1593" ht="15.75" customHeight="1">
      <c r="B1593" s="77">
        <f t="shared" si="1"/>
        <v>0</v>
      </c>
      <c r="C1593" s="67"/>
      <c r="D1593" s="78"/>
      <c r="E1593" s="101"/>
      <c r="F1593" s="108"/>
      <c r="G1593" s="120"/>
      <c r="H1593" s="101"/>
      <c r="I1593" s="93"/>
      <c r="J1593" s="91"/>
      <c r="L1593" s="94" t="str">
        <f t="shared" si="2"/>
        <v>No infirmation</v>
      </c>
      <c r="M1593" s="94" t="str">
        <f t="shared" si="3"/>
        <v/>
      </c>
    </row>
    <row r="1594" ht="15.75" customHeight="1">
      <c r="B1594" s="77">
        <f t="shared" si="1"/>
        <v>0</v>
      </c>
      <c r="C1594" s="67"/>
      <c r="D1594" s="78"/>
      <c r="E1594" s="101"/>
      <c r="F1594" s="108"/>
      <c r="G1594" s="120"/>
      <c r="H1594" s="101"/>
      <c r="I1594" s="93"/>
      <c r="J1594" s="91"/>
      <c r="L1594" s="94" t="str">
        <f t="shared" si="2"/>
        <v>No infirmation</v>
      </c>
      <c r="M1594" s="94" t="str">
        <f t="shared" si="3"/>
        <v/>
      </c>
    </row>
    <row r="1595" ht="15.75" customHeight="1">
      <c r="B1595" s="77">
        <f t="shared" si="1"/>
        <v>0</v>
      </c>
      <c r="C1595" s="67"/>
      <c r="D1595" s="78"/>
      <c r="E1595" s="101"/>
      <c r="F1595" s="108"/>
      <c r="G1595" s="120"/>
      <c r="H1595" s="101"/>
      <c r="I1595" s="93"/>
      <c r="J1595" s="91"/>
      <c r="L1595" s="94" t="str">
        <f t="shared" si="2"/>
        <v>No infirmation</v>
      </c>
      <c r="M1595" s="94" t="str">
        <f t="shared" si="3"/>
        <v/>
      </c>
    </row>
    <row r="1596" ht="15.75" customHeight="1">
      <c r="B1596" s="77">
        <f t="shared" si="1"/>
        <v>0</v>
      </c>
      <c r="C1596" s="67"/>
      <c r="D1596" s="78"/>
      <c r="E1596" s="101"/>
      <c r="F1596" s="108"/>
      <c r="G1596" s="120"/>
      <c r="H1596" s="101"/>
      <c r="I1596" s="93"/>
      <c r="J1596" s="91"/>
      <c r="L1596" s="94" t="str">
        <f t="shared" si="2"/>
        <v>No infirmation</v>
      </c>
      <c r="M1596" s="94" t="str">
        <f t="shared" si="3"/>
        <v/>
      </c>
    </row>
    <row r="1597" ht="15.75" customHeight="1">
      <c r="B1597" s="77">
        <f t="shared" si="1"/>
        <v>0</v>
      </c>
      <c r="C1597" s="67"/>
      <c r="D1597" s="78"/>
      <c r="E1597" s="101"/>
      <c r="F1597" s="108"/>
      <c r="G1597" s="120"/>
      <c r="H1597" s="101"/>
      <c r="I1597" s="93"/>
      <c r="J1597" s="91"/>
      <c r="L1597" s="94" t="str">
        <f t="shared" si="2"/>
        <v>No infirmation</v>
      </c>
      <c r="M1597" s="94" t="str">
        <f t="shared" si="3"/>
        <v/>
      </c>
    </row>
    <row r="1598" ht="15.75" customHeight="1">
      <c r="B1598" s="77">
        <f t="shared" si="1"/>
        <v>0</v>
      </c>
      <c r="C1598" s="67"/>
      <c r="D1598" s="78"/>
      <c r="E1598" s="101"/>
      <c r="F1598" s="108"/>
      <c r="G1598" s="120"/>
      <c r="H1598" s="101"/>
      <c r="I1598" s="93"/>
      <c r="J1598" s="91"/>
      <c r="L1598" s="94" t="str">
        <f t="shared" si="2"/>
        <v>No infirmation</v>
      </c>
      <c r="M1598" s="94" t="str">
        <f t="shared" si="3"/>
        <v/>
      </c>
    </row>
    <row r="1599" ht="15.75" customHeight="1">
      <c r="B1599" s="77">
        <f t="shared" si="1"/>
        <v>0</v>
      </c>
      <c r="C1599" s="67"/>
      <c r="D1599" s="78"/>
      <c r="E1599" s="101"/>
      <c r="F1599" s="108"/>
      <c r="G1599" s="120"/>
      <c r="H1599" s="101"/>
      <c r="I1599" s="93"/>
      <c r="J1599" s="91"/>
      <c r="L1599" s="94" t="str">
        <f t="shared" si="2"/>
        <v>No infirmation</v>
      </c>
      <c r="M1599" s="94" t="str">
        <f t="shared" si="3"/>
        <v/>
      </c>
    </row>
    <row r="1600" ht="15.75" customHeight="1">
      <c r="B1600" s="77">
        <f t="shared" si="1"/>
        <v>0</v>
      </c>
      <c r="C1600" s="67"/>
      <c r="D1600" s="78"/>
      <c r="E1600" s="101"/>
      <c r="F1600" s="108"/>
      <c r="G1600" s="120"/>
      <c r="H1600" s="101"/>
      <c r="I1600" s="93"/>
      <c r="J1600" s="91"/>
      <c r="L1600" s="94" t="str">
        <f t="shared" si="2"/>
        <v>No infirmation</v>
      </c>
      <c r="M1600" s="94" t="str">
        <f t="shared" si="3"/>
        <v/>
      </c>
    </row>
    <row r="1601" ht="15.75" customHeight="1">
      <c r="B1601" s="77">
        <f t="shared" si="1"/>
        <v>0</v>
      </c>
      <c r="C1601" s="67"/>
      <c r="D1601" s="78"/>
      <c r="E1601" s="101"/>
      <c r="F1601" s="108"/>
      <c r="G1601" s="120"/>
      <c r="H1601" s="101"/>
      <c r="I1601" s="93"/>
      <c r="J1601" s="91"/>
      <c r="L1601" s="94" t="str">
        <f t="shared" si="2"/>
        <v>No infirmation</v>
      </c>
      <c r="M1601" s="94" t="str">
        <f t="shared" si="3"/>
        <v/>
      </c>
    </row>
    <row r="1602" ht="15.75" customHeight="1">
      <c r="B1602" s="77">
        <f t="shared" si="1"/>
        <v>0</v>
      </c>
      <c r="C1602" s="67"/>
      <c r="D1602" s="78"/>
      <c r="E1602" s="101"/>
      <c r="F1602" s="108"/>
      <c r="G1602" s="120"/>
      <c r="H1602" s="101"/>
      <c r="I1602" s="93"/>
      <c r="J1602" s="91"/>
      <c r="L1602" s="94" t="str">
        <f t="shared" si="2"/>
        <v>No infirmation</v>
      </c>
      <c r="M1602" s="94" t="str">
        <f t="shared" si="3"/>
        <v/>
      </c>
    </row>
    <row r="1603" ht="15.75" customHeight="1">
      <c r="B1603" s="77">
        <f t="shared" si="1"/>
        <v>0</v>
      </c>
      <c r="C1603" s="67"/>
      <c r="D1603" s="78"/>
      <c r="E1603" s="101"/>
      <c r="F1603" s="108"/>
      <c r="G1603" s="120"/>
      <c r="H1603" s="101"/>
      <c r="I1603" s="93"/>
      <c r="J1603" s="91"/>
      <c r="L1603" s="94" t="str">
        <f t="shared" si="2"/>
        <v>No infirmation</v>
      </c>
      <c r="M1603" s="94" t="str">
        <f t="shared" si="3"/>
        <v/>
      </c>
    </row>
    <row r="1604" ht="15.75" customHeight="1">
      <c r="B1604" s="77">
        <f t="shared" si="1"/>
        <v>0</v>
      </c>
      <c r="C1604" s="67"/>
      <c r="D1604" s="78"/>
      <c r="E1604" s="101"/>
      <c r="F1604" s="108"/>
      <c r="G1604" s="120"/>
      <c r="H1604" s="101"/>
      <c r="I1604" s="93"/>
      <c r="J1604" s="91"/>
      <c r="L1604" s="94" t="str">
        <f t="shared" si="2"/>
        <v>No infirmation</v>
      </c>
      <c r="M1604" s="94" t="str">
        <f t="shared" si="3"/>
        <v/>
      </c>
    </row>
    <row r="1605" ht="15.75" customHeight="1">
      <c r="B1605" s="77">
        <f t="shared" si="1"/>
        <v>0</v>
      </c>
      <c r="C1605" s="67"/>
      <c r="D1605" s="78"/>
      <c r="E1605" s="101"/>
      <c r="F1605" s="108"/>
      <c r="G1605" s="120"/>
      <c r="H1605" s="101"/>
      <c r="I1605" s="93"/>
      <c r="J1605" s="91"/>
      <c r="L1605" s="94" t="str">
        <f t="shared" si="2"/>
        <v>No infirmation</v>
      </c>
      <c r="M1605" s="94" t="str">
        <f t="shared" si="3"/>
        <v/>
      </c>
    </row>
    <row r="1606" ht="15.75" customHeight="1">
      <c r="B1606" s="77">
        <f t="shared" si="1"/>
        <v>0</v>
      </c>
      <c r="C1606" s="67"/>
      <c r="D1606" s="78"/>
      <c r="E1606" s="101"/>
      <c r="F1606" s="108"/>
      <c r="G1606" s="120"/>
      <c r="H1606" s="101"/>
      <c r="I1606" s="93"/>
      <c r="J1606" s="91"/>
      <c r="L1606" s="94" t="str">
        <f t="shared" si="2"/>
        <v>No infirmation</v>
      </c>
      <c r="M1606" s="94" t="str">
        <f t="shared" si="3"/>
        <v/>
      </c>
    </row>
    <row r="1607" ht="15.75" customHeight="1">
      <c r="B1607" s="77">
        <f t="shared" si="1"/>
        <v>0</v>
      </c>
      <c r="C1607" s="67"/>
      <c r="D1607" s="78"/>
      <c r="E1607" s="101"/>
      <c r="F1607" s="108"/>
      <c r="G1607" s="120"/>
      <c r="H1607" s="101"/>
      <c r="I1607" s="93"/>
      <c r="J1607" s="91"/>
      <c r="L1607" s="94" t="str">
        <f t="shared" si="2"/>
        <v>No infirmation</v>
      </c>
      <c r="M1607" s="94" t="str">
        <f t="shared" si="3"/>
        <v/>
      </c>
    </row>
    <row r="1608" ht="15.75" customHeight="1">
      <c r="B1608" s="77">
        <f t="shared" si="1"/>
        <v>0</v>
      </c>
      <c r="C1608" s="67"/>
      <c r="D1608" s="78"/>
      <c r="E1608" s="101"/>
      <c r="F1608" s="108"/>
      <c r="G1608" s="120"/>
      <c r="H1608" s="101"/>
      <c r="I1608" s="93"/>
      <c r="J1608" s="91"/>
      <c r="L1608" s="94" t="str">
        <f t="shared" si="2"/>
        <v>No infirmation</v>
      </c>
      <c r="M1608" s="94" t="str">
        <f t="shared" si="3"/>
        <v/>
      </c>
    </row>
    <row r="1609" ht="15.75" customHeight="1">
      <c r="B1609" s="77">
        <f t="shared" si="1"/>
        <v>0</v>
      </c>
      <c r="C1609" s="67"/>
      <c r="D1609" s="78"/>
      <c r="E1609" s="101"/>
      <c r="F1609" s="108"/>
      <c r="G1609" s="120"/>
      <c r="H1609" s="101"/>
      <c r="I1609" s="93"/>
      <c r="J1609" s="91"/>
      <c r="L1609" s="94" t="str">
        <f t="shared" si="2"/>
        <v>No infirmation</v>
      </c>
      <c r="M1609" s="94" t="str">
        <f t="shared" si="3"/>
        <v/>
      </c>
    </row>
    <row r="1610" ht="15.75" customHeight="1">
      <c r="B1610" s="77">
        <f t="shared" si="1"/>
        <v>0</v>
      </c>
      <c r="C1610" s="67"/>
      <c r="D1610" s="78"/>
      <c r="E1610" s="101"/>
      <c r="F1610" s="108"/>
      <c r="G1610" s="120"/>
      <c r="H1610" s="101"/>
      <c r="I1610" s="93"/>
      <c r="J1610" s="91"/>
      <c r="L1610" s="94" t="str">
        <f t="shared" si="2"/>
        <v>No infirmation</v>
      </c>
      <c r="M1610" s="94" t="str">
        <f t="shared" si="3"/>
        <v/>
      </c>
    </row>
    <row r="1611" ht="15.75" customHeight="1">
      <c r="B1611" s="77">
        <f t="shared" si="1"/>
        <v>0</v>
      </c>
      <c r="C1611" s="67"/>
      <c r="D1611" s="78"/>
      <c r="E1611" s="101"/>
      <c r="F1611" s="108"/>
      <c r="G1611" s="120"/>
      <c r="H1611" s="101"/>
      <c r="I1611" s="93"/>
      <c r="J1611" s="91"/>
      <c r="L1611" s="94" t="str">
        <f t="shared" si="2"/>
        <v>No infirmation</v>
      </c>
      <c r="M1611" s="94" t="str">
        <f t="shared" si="3"/>
        <v/>
      </c>
    </row>
    <row r="1612" ht="15.75" customHeight="1">
      <c r="B1612" s="77">
        <f t="shared" si="1"/>
        <v>0</v>
      </c>
      <c r="C1612" s="67"/>
      <c r="D1612" s="78"/>
      <c r="E1612" s="101"/>
      <c r="F1612" s="108"/>
      <c r="G1612" s="120"/>
      <c r="H1612" s="101"/>
      <c r="I1612" s="93"/>
      <c r="J1612" s="91"/>
      <c r="L1612" s="94" t="str">
        <f t="shared" si="2"/>
        <v>No infirmation</v>
      </c>
      <c r="M1612" s="94" t="str">
        <f t="shared" si="3"/>
        <v/>
      </c>
    </row>
    <row r="1613" ht="15.75" customHeight="1">
      <c r="B1613" s="77">
        <f t="shared" si="1"/>
        <v>0</v>
      </c>
      <c r="C1613" s="67"/>
      <c r="D1613" s="78"/>
      <c r="E1613" s="101"/>
      <c r="F1613" s="108"/>
      <c r="G1613" s="120"/>
      <c r="H1613" s="101"/>
      <c r="I1613" s="93"/>
      <c r="J1613" s="91"/>
      <c r="L1613" s="94" t="str">
        <f t="shared" si="2"/>
        <v>No infirmation</v>
      </c>
      <c r="M1613" s="94" t="str">
        <f t="shared" si="3"/>
        <v/>
      </c>
    </row>
    <row r="1614" ht="15.75" customHeight="1">
      <c r="B1614" s="77">
        <f t="shared" si="1"/>
        <v>0</v>
      </c>
      <c r="C1614" s="67"/>
      <c r="D1614" s="78"/>
      <c r="E1614" s="101"/>
      <c r="F1614" s="108"/>
      <c r="G1614" s="120"/>
      <c r="H1614" s="101"/>
      <c r="I1614" s="93"/>
      <c r="J1614" s="91"/>
      <c r="L1614" s="94" t="str">
        <f t="shared" si="2"/>
        <v>No infirmation</v>
      </c>
      <c r="M1614" s="94" t="str">
        <f t="shared" si="3"/>
        <v/>
      </c>
    </row>
    <row r="1615" ht="15.75" customHeight="1">
      <c r="B1615" s="77">
        <f t="shared" si="1"/>
        <v>0</v>
      </c>
      <c r="C1615" s="67"/>
      <c r="D1615" s="78"/>
      <c r="E1615" s="101"/>
      <c r="F1615" s="108"/>
      <c r="G1615" s="120"/>
      <c r="H1615" s="101"/>
      <c r="I1615" s="93"/>
      <c r="J1615" s="91"/>
      <c r="L1615" s="94" t="str">
        <f t="shared" si="2"/>
        <v>No infirmation</v>
      </c>
      <c r="M1615" s="94" t="str">
        <f t="shared" si="3"/>
        <v/>
      </c>
    </row>
    <row r="1616" ht="15.75" customHeight="1">
      <c r="B1616" s="77">
        <f t="shared" si="1"/>
        <v>0</v>
      </c>
      <c r="C1616" s="67"/>
      <c r="D1616" s="78"/>
      <c r="E1616" s="101"/>
      <c r="F1616" s="108"/>
      <c r="G1616" s="120"/>
      <c r="H1616" s="101"/>
      <c r="I1616" s="93"/>
      <c r="J1616" s="91"/>
      <c r="L1616" s="94" t="str">
        <f t="shared" si="2"/>
        <v>No infirmation</v>
      </c>
      <c r="M1616" s="94" t="str">
        <f t="shared" si="3"/>
        <v/>
      </c>
    </row>
    <row r="1617" ht="15.75" customHeight="1">
      <c r="B1617" s="77">
        <f t="shared" si="1"/>
        <v>0</v>
      </c>
      <c r="C1617" s="67"/>
      <c r="D1617" s="78"/>
      <c r="E1617" s="101"/>
      <c r="F1617" s="108"/>
      <c r="G1617" s="120"/>
      <c r="H1617" s="101"/>
      <c r="I1617" s="93"/>
      <c r="J1617" s="91"/>
      <c r="L1617" s="94" t="str">
        <f t="shared" si="2"/>
        <v>No infirmation</v>
      </c>
      <c r="M1617" s="94" t="str">
        <f t="shared" si="3"/>
        <v/>
      </c>
    </row>
    <row r="1618" ht="15.75" customHeight="1">
      <c r="B1618" s="77">
        <f t="shared" si="1"/>
        <v>0</v>
      </c>
      <c r="C1618" s="67"/>
      <c r="D1618" s="78"/>
      <c r="E1618" s="101"/>
      <c r="F1618" s="108"/>
      <c r="G1618" s="120"/>
      <c r="H1618" s="101"/>
      <c r="I1618" s="93"/>
      <c r="J1618" s="91"/>
      <c r="L1618" s="94" t="str">
        <f t="shared" si="2"/>
        <v>No infirmation</v>
      </c>
      <c r="M1618" s="94" t="str">
        <f t="shared" si="3"/>
        <v/>
      </c>
    </row>
    <row r="1619" ht="15.75" customHeight="1">
      <c r="B1619" s="77">
        <f t="shared" si="1"/>
        <v>0</v>
      </c>
      <c r="C1619" s="67"/>
      <c r="D1619" s="78"/>
      <c r="E1619" s="101"/>
      <c r="F1619" s="108"/>
      <c r="G1619" s="120"/>
      <c r="H1619" s="101"/>
      <c r="I1619" s="93"/>
      <c r="J1619" s="91"/>
      <c r="L1619" s="94" t="str">
        <f t="shared" si="2"/>
        <v>No infirmation</v>
      </c>
      <c r="M1619" s="94" t="str">
        <f t="shared" si="3"/>
        <v/>
      </c>
    </row>
    <row r="1620" ht="15.75" customHeight="1">
      <c r="B1620" s="77">
        <f t="shared" si="1"/>
        <v>0</v>
      </c>
      <c r="C1620" s="67"/>
      <c r="D1620" s="78"/>
      <c r="E1620" s="101"/>
      <c r="F1620" s="108"/>
      <c r="G1620" s="120"/>
      <c r="H1620" s="101"/>
      <c r="I1620" s="93"/>
      <c r="J1620" s="91"/>
      <c r="L1620" s="94" t="str">
        <f t="shared" si="2"/>
        <v>No infirmation</v>
      </c>
      <c r="M1620" s="94" t="str">
        <f t="shared" si="3"/>
        <v/>
      </c>
    </row>
    <row r="1621" ht="15.75" customHeight="1">
      <c r="B1621" s="77">
        <f t="shared" si="1"/>
        <v>0</v>
      </c>
      <c r="C1621" s="67"/>
      <c r="D1621" s="78"/>
      <c r="E1621" s="101"/>
      <c r="F1621" s="108"/>
      <c r="G1621" s="120"/>
      <c r="H1621" s="101"/>
      <c r="I1621" s="93"/>
      <c r="J1621" s="91"/>
      <c r="L1621" s="94" t="str">
        <f t="shared" si="2"/>
        <v>No infirmation</v>
      </c>
      <c r="M1621" s="94" t="str">
        <f t="shared" si="3"/>
        <v/>
      </c>
    </row>
    <row r="1622" ht="15.75" customHeight="1">
      <c r="B1622" s="77">
        <f t="shared" si="1"/>
        <v>0</v>
      </c>
      <c r="C1622" s="67"/>
      <c r="D1622" s="78"/>
      <c r="E1622" s="101"/>
      <c r="F1622" s="108"/>
      <c r="G1622" s="120"/>
      <c r="H1622" s="101"/>
      <c r="I1622" s="93"/>
      <c r="J1622" s="91"/>
      <c r="L1622" s="94" t="str">
        <f t="shared" si="2"/>
        <v>No infirmation</v>
      </c>
      <c r="M1622" s="94" t="str">
        <f t="shared" si="3"/>
        <v/>
      </c>
    </row>
    <row r="1623" ht="15.75" customHeight="1">
      <c r="B1623" s="77">
        <f t="shared" si="1"/>
        <v>0</v>
      </c>
      <c r="C1623" s="67"/>
      <c r="D1623" s="78"/>
      <c r="E1623" s="101"/>
      <c r="F1623" s="108"/>
      <c r="G1623" s="120"/>
      <c r="H1623" s="101"/>
      <c r="I1623" s="93"/>
      <c r="J1623" s="91"/>
      <c r="L1623" s="94" t="str">
        <f t="shared" si="2"/>
        <v>No infirmation</v>
      </c>
      <c r="M1623" s="94" t="str">
        <f t="shared" si="3"/>
        <v/>
      </c>
    </row>
    <row r="1624" ht="15.75" customHeight="1">
      <c r="B1624" s="77">
        <f t="shared" si="1"/>
        <v>0</v>
      </c>
      <c r="C1624" s="67"/>
      <c r="D1624" s="78"/>
      <c r="E1624" s="101"/>
      <c r="F1624" s="108"/>
      <c r="G1624" s="120"/>
      <c r="H1624" s="101"/>
      <c r="I1624" s="93"/>
      <c r="J1624" s="91"/>
      <c r="L1624" s="94" t="str">
        <f t="shared" si="2"/>
        <v>No infirmation</v>
      </c>
      <c r="M1624" s="94" t="str">
        <f t="shared" si="3"/>
        <v/>
      </c>
    </row>
    <row r="1625" ht="15.75" customHeight="1">
      <c r="B1625" s="77">
        <f t="shared" si="1"/>
        <v>0</v>
      </c>
      <c r="C1625" s="67"/>
      <c r="D1625" s="78"/>
      <c r="E1625" s="101"/>
      <c r="F1625" s="108"/>
      <c r="G1625" s="120"/>
      <c r="H1625" s="101"/>
      <c r="I1625" s="93"/>
      <c r="J1625" s="91"/>
      <c r="L1625" s="94" t="str">
        <f t="shared" si="2"/>
        <v>No infirmation</v>
      </c>
      <c r="M1625" s="94" t="str">
        <f t="shared" si="3"/>
        <v/>
      </c>
    </row>
    <row r="1626" ht="15.75" customHeight="1">
      <c r="B1626" s="77">
        <f t="shared" si="1"/>
        <v>0</v>
      </c>
      <c r="C1626" s="67"/>
      <c r="D1626" s="78"/>
      <c r="E1626" s="101"/>
      <c r="F1626" s="108"/>
      <c r="G1626" s="120"/>
      <c r="H1626" s="101"/>
      <c r="I1626" s="93"/>
      <c r="J1626" s="91"/>
      <c r="L1626" s="94" t="str">
        <f t="shared" si="2"/>
        <v>No infirmation</v>
      </c>
      <c r="M1626" s="94" t="str">
        <f t="shared" si="3"/>
        <v/>
      </c>
    </row>
    <row r="1627" ht="15.75" customHeight="1">
      <c r="B1627" s="77">
        <f t="shared" si="1"/>
        <v>0</v>
      </c>
      <c r="C1627" s="67"/>
      <c r="D1627" s="78"/>
      <c r="E1627" s="101"/>
      <c r="F1627" s="108"/>
      <c r="G1627" s="120"/>
      <c r="H1627" s="101"/>
      <c r="I1627" s="93"/>
      <c r="J1627" s="91"/>
      <c r="L1627" s="94" t="str">
        <f t="shared" si="2"/>
        <v>No infirmation</v>
      </c>
      <c r="M1627" s="94" t="str">
        <f t="shared" si="3"/>
        <v/>
      </c>
    </row>
    <row r="1628" ht="15.75" customHeight="1">
      <c r="B1628" s="77">
        <f t="shared" si="1"/>
        <v>0</v>
      </c>
      <c r="C1628" s="67"/>
      <c r="D1628" s="78"/>
      <c r="E1628" s="101"/>
      <c r="F1628" s="108"/>
      <c r="G1628" s="120"/>
      <c r="H1628" s="101"/>
      <c r="I1628" s="93"/>
      <c r="J1628" s="91"/>
      <c r="L1628" s="94" t="str">
        <f t="shared" si="2"/>
        <v>No infirmation</v>
      </c>
      <c r="M1628" s="94" t="str">
        <f t="shared" si="3"/>
        <v/>
      </c>
    </row>
    <row r="1629" ht="15.75" customHeight="1">
      <c r="B1629" s="77">
        <f t="shared" si="1"/>
        <v>0</v>
      </c>
      <c r="C1629" s="67"/>
      <c r="D1629" s="78"/>
      <c r="E1629" s="101"/>
      <c r="F1629" s="108"/>
      <c r="G1629" s="120"/>
      <c r="H1629" s="101"/>
      <c r="I1629" s="93"/>
      <c r="J1629" s="91"/>
      <c r="L1629" s="94" t="str">
        <f t="shared" si="2"/>
        <v>No infirmation</v>
      </c>
      <c r="M1629" s="94" t="str">
        <f t="shared" si="3"/>
        <v/>
      </c>
    </row>
    <row r="1630" ht="15.75" customHeight="1">
      <c r="B1630" s="77">
        <f t="shared" si="1"/>
        <v>0</v>
      </c>
      <c r="C1630" s="67"/>
      <c r="D1630" s="78"/>
      <c r="E1630" s="101"/>
      <c r="F1630" s="108"/>
      <c r="G1630" s="120"/>
      <c r="H1630" s="101"/>
      <c r="I1630" s="93"/>
      <c r="J1630" s="91"/>
      <c r="L1630" s="94" t="str">
        <f t="shared" si="2"/>
        <v>No infirmation</v>
      </c>
      <c r="M1630" s="94" t="str">
        <f t="shared" si="3"/>
        <v/>
      </c>
    </row>
    <row r="1631" ht="15.75" customHeight="1">
      <c r="B1631" s="77">
        <f t="shared" si="1"/>
        <v>0</v>
      </c>
      <c r="C1631" s="67"/>
      <c r="D1631" s="78"/>
      <c r="E1631" s="101"/>
      <c r="F1631" s="108"/>
      <c r="G1631" s="120"/>
      <c r="H1631" s="101"/>
      <c r="I1631" s="93"/>
      <c r="J1631" s="91"/>
      <c r="L1631" s="94" t="str">
        <f t="shared" si="2"/>
        <v>No infirmation</v>
      </c>
      <c r="M1631" s="94" t="str">
        <f t="shared" si="3"/>
        <v/>
      </c>
    </row>
    <row r="1632" ht="15.75" customHeight="1">
      <c r="B1632" s="77">
        <f t="shared" si="1"/>
        <v>0</v>
      </c>
      <c r="C1632" s="67"/>
      <c r="D1632" s="78"/>
      <c r="E1632" s="101"/>
      <c r="F1632" s="108"/>
      <c r="G1632" s="120"/>
      <c r="H1632" s="101"/>
      <c r="I1632" s="93"/>
      <c r="J1632" s="91"/>
      <c r="L1632" s="94" t="str">
        <f t="shared" si="2"/>
        <v>No infirmation</v>
      </c>
      <c r="M1632" s="94" t="str">
        <f t="shared" si="3"/>
        <v/>
      </c>
    </row>
    <row r="1633" ht="15.75" customHeight="1">
      <c r="B1633" s="77">
        <f t="shared" si="1"/>
        <v>0</v>
      </c>
      <c r="C1633" s="67"/>
      <c r="D1633" s="78"/>
      <c r="E1633" s="101"/>
      <c r="F1633" s="108"/>
      <c r="G1633" s="120"/>
      <c r="H1633" s="101"/>
      <c r="I1633" s="93"/>
      <c r="J1633" s="91"/>
      <c r="L1633" s="94" t="str">
        <f t="shared" si="2"/>
        <v>No infirmation</v>
      </c>
      <c r="M1633" s="94" t="str">
        <f t="shared" si="3"/>
        <v/>
      </c>
    </row>
    <row r="1634" ht="15.75" customHeight="1">
      <c r="B1634" s="77">
        <f t="shared" si="1"/>
        <v>0</v>
      </c>
      <c r="C1634" s="67"/>
      <c r="D1634" s="78"/>
      <c r="E1634" s="101"/>
      <c r="F1634" s="108"/>
      <c r="G1634" s="120"/>
      <c r="H1634" s="101"/>
      <c r="I1634" s="93"/>
      <c r="J1634" s="91"/>
      <c r="L1634" s="94" t="str">
        <f t="shared" si="2"/>
        <v>No infirmation</v>
      </c>
      <c r="M1634" s="94" t="str">
        <f t="shared" si="3"/>
        <v/>
      </c>
    </row>
    <row r="1635" ht="15.75" customHeight="1">
      <c r="B1635" s="77">
        <f t="shared" si="1"/>
        <v>0</v>
      </c>
      <c r="C1635" s="67"/>
      <c r="D1635" s="78"/>
      <c r="E1635" s="101"/>
      <c r="F1635" s="108"/>
      <c r="G1635" s="120"/>
      <c r="H1635" s="101"/>
      <c r="I1635" s="93"/>
      <c r="J1635" s="91"/>
      <c r="L1635" s="94" t="str">
        <f t="shared" si="2"/>
        <v>No infirmation</v>
      </c>
      <c r="M1635" s="94" t="str">
        <f t="shared" si="3"/>
        <v/>
      </c>
    </row>
    <row r="1636" ht="15.75" customHeight="1">
      <c r="B1636" s="77">
        <f t="shared" si="1"/>
        <v>0</v>
      </c>
      <c r="C1636" s="67"/>
      <c r="D1636" s="78"/>
      <c r="E1636" s="101"/>
      <c r="F1636" s="108"/>
      <c r="G1636" s="120"/>
      <c r="H1636" s="101"/>
      <c r="I1636" s="93"/>
      <c r="J1636" s="91"/>
      <c r="L1636" s="94" t="str">
        <f t="shared" si="2"/>
        <v>No infirmation</v>
      </c>
      <c r="M1636" s="94" t="str">
        <f t="shared" si="3"/>
        <v/>
      </c>
    </row>
    <row r="1637" ht="15.75" customHeight="1">
      <c r="B1637" s="77">
        <f t="shared" si="1"/>
        <v>0</v>
      </c>
      <c r="C1637" s="67"/>
      <c r="D1637" s="78"/>
      <c r="E1637" s="101"/>
      <c r="F1637" s="108"/>
      <c r="G1637" s="120"/>
      <c r="H1637" s="101"/>
      <c r="I1637" s="93"/>
      <c r="J1637" s="91"/>
      <c r="L1637" s="94" t="str">
        <f t="shared" si="2"/>
        <v>No infirmation</v>
      </c>
      <c r="M1637" s="94" t="str">
        <f t="shared" si="3"/>
        <v/>
      </c>
    </row>
    <row r="1638" ht="15.75" customHeight="1">
      <c r="B1638" s="77">
        <f t="shared" si="1"/>
        <v>0</v>
      </c>
      <c r="C1638" s="67"/>
      <c r="D1638" s="78"/>
      <c r="E1638" s="101"/>
      <c r="F1638" s="108"/>
      <c r="G1638" s="120"/>
      <c r="H1638" s="101"/>
      <c r="I1638" s="93"/>
      <c r="J1638" s="91"/>
      <c r="L1638" s="94" t="str">
        <f t="shared" si="2"/>
        <v>No infirmation</v>
      </c>
      <c r="M1638" s="94" t="str">
        <f t="shared" si="3"/>
        <v/>
      </c>
    </row>
    <row r="1639" ht="15.75" customHeight="1">
      <c r="B1639" s="77">
        <f t="shared" si="1"/>
        <v>0</v>
      </c>
      <c r="C1639" s="67"/>
      <c r="D1639" s="78"/>
      <c r="E1639" s="101"/>
      <c r="F1639" s="108"/>
      <c r="G1639" s="120"/>
      <c r="H1639" s="101"/>
      <c r="I1639" s="93"/>
      <c r="J1639" s="91"/>
      <c r="L1639" s="94" t="str">
        <f t="shared" si="2"/>
        <v>No infirmation</v>
      </c>
      <c r="M1639" s="94" t="str">
        <f t="shared" si="3"/>
        <v/>
      </c>
    </row>
    <row r="1640" ht="15.75" customHeight="1">
      <c r="B1640" s="77">
        <f t="shared" si="1"/>
        <v>0</v>
      </c>
      <c r="C1640" s="67"/>
      <c r="D1640" s="78"/>
      <c r="E1640" s="101"/>
      <c r="F1640" s="108"/>
      <c r="G1640" s="120"/>
      <c r="H1640" s="101"/>
      <c r="I1640" s="93"/>
      <c r="J1640" s="91"/>
      <c r="L1640" s="94" t="str">
        <f t="shared" si="2"/>
        <v>No infirmation</v>
      </c>
      <c r="M1640" s="94" t="str">
        <f t="shared" si="3"/>
        <v/>
      </c>
    </row>
    <row r="1641" ht="15.75" customHeight="1">
      <c r="B1641" s="77">
        <f t="shared" si="1"/>
        <v>0</v>
      </c>
      <c r="C1641" s="67"/>
      <c r="D1641" s="78"/>
      <c r="E1641" s="101"/>
      <c r="F1641" s="108"/>
      <c r="G1641" s="120"/>
      <c r="H1641" s="101"/>
      <c r="I1641" s="93"/>
      <c r="J1641" s="91"/>
      <c r="L1641" s="94" t="str">
        <f t="shared" si="2"/>
        <v>No infirmation</v>
      </c>
      <c r="M1641" s="94" t="str">
        <f t="shared" si="3"/>
        <v/>
      </c>
    </row>
    <row r="1642" ht="15.75" customHeight="1">
      <c r="B1642" s="77">
        <f t="shared" si="1"/>
        <v>0</v>
      </c>
      <c r="C1642" s="67"/>
      <c r="D1642" s="78"/>
      <c r="E1642" s="101"/>
      <c r="F1642" s="108"/>
      <c r="G1642" s="120"/>
      <c r="H1642" s="101"/>
      <c r="I1642" s="93"/>
      <c r="J1642" s="91"/>
      <c r="L1642" s="94" t="str">
        <f t="shared" si="2"/>
        <v>No infirmation</v>
      </c>
      <c r="M1642" s="94" t="str">
        <f t="shared" si="3"/>
        <v/>
      </c>
    </row>
    <row r="1643" ht="15.75" customHeight="1">
      <c r="B1643" s="77">
        <f t="shared" si="1"/>
        <v>0</v>
      </c>
      <c r="C1643" s="67"/>
      <c r="D1643" s="78"/>
      <c r="E1643" s="101"/>
      <c r="F1643" s="108"/>
      <c r="G1643" s="120"/>
      <c r="H1643" s="101"/>
      <c r="I1643" s="93"/>
      <c r="J1643" s="91"/>
      <c r="L1643" s="94" t="str">
        <f t="shared" si="2"/>
        <v>No infirmation</v>
      </c>
      <c r="M1643" s="94" t="str">
        <f t="shared" si="3"/>
        <v/>
      </c>
    </row>
    <row r="1644" ht="15.75" customHeight="1">
      <c r="B1644" s="77">
        <f t="shared" si="1"/>
        <v>0</v>
      </c>
      <c r="C1644" s="67"/>
      <c r="D1644" s="78"/>
      <c r="E1644" s="101"/>
      <c r="F1644" s="108"/>
      <c r="G1644" s="120"/>
      <c r="H1644" s="101"/>
      <c r="I1644" s="93"/>
      <c r="J1644" s="91"/>
      <c r="L1644" s="94" t="str">
        <f t="shared" si="2"/>
        <v>No infirmation</v>
      </c>
      <c r="M1644" s="94" t="str">
        <f t="shared" si="3"/>
        <v/>
      </c>
    </row>
    <row r="1645" ht="15.75" customHeight="1">
      <c r="B1645" s="77">
        <f t="shared" si="1"/>
        <v>0</v>
      </c>
      <c r="C1645" s="67"/>
      <c r="D1645" s="78"/>
      <c r="E1645" s="101"/>
      <c r="F1645" s="108"/>
      <c r="G1645" s="120"/>
      <c r="H1645" s="101"/>
      <c r="I1645" s="93"/>
      <c r="J1645" s="91"/>
      <c r="L1645" s="94" t="str">
        <f t="shared" si="2"/>
        <v>No infirmation</v>
      </c>
      <c r="M1645" s="94" t="str">
        <f t="shared" si="3"/>
        <v/>
      </c>
    </row>
    <row r="1646" ht="15.75" customHeight="1">
      <c r="B1646" s="77">
        <f t="shared" si="1"/>
        <v>0</v>
      </c>
      <c r="C1646" s="67"/>
      <c r="D1646" s="78"/>
      <c r="E1646" s="101"/>
      <c r="F1646" s="108"/>
      <c r="G1646" s="120"/>
      <c r="H1646" s="101"/>
      <c r="I1646" s="93"/>
      <c r="J1646" s="91"/>
      <c r="L1646" s="94" t="str">
        <f t="shared" si="2"/>
        <v>No infirmation</v>
      </c>
      <c r="M1646" s="94" t="str">
        <f t="shared" si="3"/>
        <v/>
      </c>
    </row>
    <row r="1647" ht="15.75" customHeight="1">
      <c r="B1647" s="77">
        <f t="shared" si="1"/>
        <v>0</v>
      </c>
      <c r="C1647" s="67"/>
      <c r="D1647" s="78"/>
      <c r="E1647" s="101"/>
      <c r="F1647" s="108"/>
      <c r="G1647" s="120"/>
      <c r="H1647" s="101"/>
      <c r="I1647" s="93"/>
      <c r="J1647" s="91"/>
      <c r="L1647" s="94" t="str">
        <f t="shared" si="2"/>
        <v>No infirmation</v>
      </c>
      <c r="M1647" s="94" t="str">
        <f t="shared" si="3"/>
        <v/>
      </c>
    </row>
    <row r="1648" ht="15.75" customHeight="1">
      <c r="B1648" s="77">
        <f t="shared" si="1"/>
        <v>0</v>
      </c>
      <c r="C1648" s="67"/>
      <c r="D1648" s="78"/>
      <c r="E1648" s="101"/>
      <c r="F1648" s="108"/>
      <c r="G1648" s="120"/>
      <c r="H1648" s="101"/>
      <c r="I1648" s="93"/>
      <c r="J1648" s="91"/>
      <c r="L1648" s="94" t="str">
        <f t="shared" si="2"/>
        <v>No infirmation</v>
      </c>
      <c r="M1648" s="94" t="str">
        <f t="shared" si="3"/>
        <v/>
      </c>
    </row>
    <row r="1649" ht="15.75" customHeight="1">
      <c r="B1649" s="77">
        <f t="shared" si="1"/>
        <v>0</v>
      </c>
      <c r="C1649" s="67"/>
      <c r="D1649" s="78"/>
      <c r="E1649" s="101"/>
      <c r="F1649" s="108"/>
      <c r="G1649" s="120"/>
      <c r="H1649" s="101"/>
      <c r="I1649" s="93"/>
      <c r="J1649" s="91"/>
      <c r="L1649" s="94" t="str">
        <f t="shared" si="2"/>
        <v>No infirmation</v>
      </c>
      <c r="M1649" s="94" t="str">
        <f t="shared" si="3"/>
        <v/>
      </c>
    </row>
    <row r="1650" ht="15.75" customHeight="1">
      <c r="B1650" s="77">
        <f t="shared" si="1"/>
        <v>0</v>
      </c>
      <c r="C1650" s="67"/>
      <c r="D1650" s="78"/>
      <c r="E1650" s="101"/>
      <c r="F1650" s="108"/>
      <c r="G1650" s="120"/>
      <c r="H1650" s="101"/>
      <c r="I1650" s="93"/>
      <c r="J1650" s="91"/>
      <c r="L1650" s="94" t="str">
        <f t="shared" si="2"/>
        <v>No infirmation</v>
      </c>
      <c r="M1650" s="94" t="str">
        <f t="shared" si="3"/>
        <v/>
      </c>
    </row>
    <row r="1651" ht="15.75" customHeight="1">
      <c r="B1651" s="77">
        <f t="shared" si="1"/>
        <v>0</v>
      </c>
      <c r="C1651" s="67"/>
      <c r="D1651" s="78"/>
      <c r="E1651" s="101"/>
      <c r="F1651" s="108"/>
      <c r="G1651" s="120"/>
      <c r="H1651" s="101"/>
      <c r="I1651" s="93"/>
      <c r="J1651" s="91"/>
      <c r="L1651" s="94" t="str">
        <f t="shared" si="2"/>
        <v>No infirmation</v>
      </c>
      <c r="M1651" s="94" t="str">
        <f t="shared" si="3"/>
        <v/>
      </c>
    </row>
    <row r="1652" ht="15.75" customHeight="1">
      <c r="B1652" s="77">
        <f t="shared" si="1"/>
        <v>0</v>
      </c>
      <c r="C1652" s="67"/>
      <c r="D1652" s="78"/>
      <c r="E1652" s="101"/>
      <c r="F1652" s="108"/>
      <c r="G1652" s="120"/>
      <c r="H1652" s="101"/>
      <c r="I1652" s="93"/>
      <c r="J1652" s="91"/>
      <c r="L1652" s="94" t="str">
        <f t="shared" si="2"/>
        <v>No infirmation</v>
      </c>
      <c r="M1652" s="94" t="str">
        <f t="shared" si="3"/>
        <v/>
      </c>
    </row>
    <row r="1653" ht="15.75" customHeight="1">
      <c r="B1653" s="77">
        <f t="shared" si="1"/>
        <v>0</v>
      </c>
      <c r="C1653" s="67"/>
      <c r="D1653" s="78"/>
      <c r="E1653" s="101"/>
      <c r="F1653" s="108"/>
      <c r="G1653" s="120"/>
      <c r="H1653" s="101"/>
      <c r="I1653" s="93"/>
      <c r="J1653" s="91"/>
      <c r="L1653" s="94" t="str">
        <f t="shared" si="2"/>
        <v>No infirmation</v>
      </c>
      <c r="M1653" s="94" t="str">
        <f t="shared" si="3"/>
        <v/>
      </c>
    </row>
    <row r="1654" ht="15.75" customHeight="1">
      <c r="B1654" s="77">
        <f t="shared" si="1"/>
        <v>0</v>
      </c>
      <c r="C1654" s="67"/>
      <c r="D1654" s="78"/>
      <c r="E1654" s="101"/>
      <c r="F1654" s="108"/>
      <c r="G1654" s="120"/>
      <c r="H1654" s="101"/>
      <c r="I1654" s="93"/>
      <c r="J1654" s="91"/>
      <c r="L1654" s="94" t="str">
        <f t="shared" si="2"/>
        <v>No infirmation</v>
      </c>
      <c r="M1654" s="94" t="str">
        <f t="shared" si="3"/>
        <v/>
      </c>
    </row>
    <row r="1655" ht="15.75" customHeight="1">
      <c r="B1655" s="77">
        <f t="shared" si="1"/>
        <v>0</v>
      </c>
      <c r="C1655" s="67"/>
      <c r="D1655" s="78"/>
      <c r="E1655" s="101"/>
      <c r="F1655" s="108"/>
      <c r="G1655" s="120"/>
      <c r="H1655" s="101"/>
      <c r="I1655" s="93"/>
      <c r="J1655" s="91"/>
      <c r="L1655" s="94" t="str">
        <f t="shared" si="2"/>
        <v>No infirmation</v>
      </c>
      <c r="M1655" s="94" t="str">
        <f t="shared" si="3"/>
        <v/>
      </c>
    </row>
    <row r="1656" ht="15.75" customHeight="1">
      <c r="B1656" s="77">
        <f t="shared" si="1"/>
        <v>0</v>
      </c>
      <c r="C1656" s="67"/>
      <c r="D1656" s="78"/>
      <c r="E1656" s="101"/>
      <c r="F1656" s="108"/>
      <c r="G1656" s="120"/>
      <c r="H1656" s="101"/>
      <c r="I1656" s="93"/>
      <c r="J1656" s="91"/>
      <c r="L1656" s="94" t="str">
        <f t="shared" si="2"/>
        <v>No infirmation</v>
      </c>
      <c r="M1656" s="94" t="str">
        <f t="shared" si="3"/>
        <v/>
      </c>
    </row>
    <row r="1657" ht="15.75" customHeight="1">
      <c r="B1657" s="77">
        <f t="shared" si="1"/>
        <v>0</v>
      </c>
      <c r="C1657" s="67"/>
      <c r="D1657" s="78"/>
      <c r="E1657" s="101"/>
      <c r="F1657" s="108"/>
      <c r="G1657" s="120"/>
      <c r="H1657" s="101"/>
      <c r="I1657" s="93"/>
      <c r="J1657" s="91"/>
      <c r="L1657" s="94" t="str">
        <f t="shared" si="2"/>
        <v>No infirmation</v>
      </c>
      <c r="M1657" s="94" t="str">
        <f t="shared" si="3"/>
        <v/>
      </c>
    </row>
    <row r="1658" ht="15.75" customHeight="1">
      <c r="B1658" s="77">
        <f t="shared" si="1"/>
        <v>0</v>
      </c>
      <c r="C1658" s="67"/>
      <c r="D1658" s="78"/>
      <c r="E1658" s="101"/>
      <c r="F1658" s="108"/>
      <c r="G1658" s="120"/>
      <c r="H1658" s="101"/>
      <c r="I1658" s="93"/>
      <c r="J1658" s="91"/>
      <c r="L1658" s="94" t="str">
        <f t="shared" si="2"/>
        <v>No infirmation</v>
      </c>
      <c r="M1658" s="94" t="str">
        <f t="shared" si="3"/>
        <v/>
      </c>
    </row>
    <row r="1659" ht="15.75" customHeight="1">
      <c r="B1659" s="77">
        <f t="shared" si="1"/>
        <v>0</v>
      </c>
      <c r="C1659" s="67"/>
      <c r="D1659" s="78"/>
      <c r="E1659" s="101"/>
      <c r="F1659" s="108"/>
      <c r="G1659" s="120"/>
      <c r="H1659" s="101"/>
      <c r="I1659" s="93"/>
      <c r="J1659" s="91"/>
      <c r="L1659" s="94" t="str">
        <f t="shared" si="2"/>
        <v>No infirmation</v>
      </c>
      <c r="M1659" s="94" t="str">
        <f t="shared" si="3"/>
        <v/>
      </c>
    </row>
    <row r="1660" ht="15.75" customHeight="1">
      <c r="B1660" s="77">
        <f t="shared" si="1"/>
        <v>0</v>
      </c>
      <c r="C1660" s="67"/>
      <c r="D1660" s="78"/>
      <c r="E1660" s="101"/>
      <c r="F1660" s="108"/>
      <c r="G1660" s="120"/>
      <c r="H1660" s="101"/>
      <c r="I1660" s="93"/>
      <c r="J1660" s="91"/>
      <c r="L1660" s="94" t="str">
        <f t="shared" si="2"/>
        <v>No infirmation</v>
      </c>
      <c r="M1660" s="94" t="str">
        <f t="shared" si="3"/>
        <v/>
      </c>
    </row>
    <row r="1661" ht="15.75" customHeight="1">
      <c r="B1661" s="77">
        <f t="shared" si="1"/>
        <v>0</v>
      </c>
      <c r="C1661" s="67"/>
      <c r="D1661" s="78"/>
      <c r="E1661" s="101"/>
      <c r="F1661" s="108"/>
      <c r="G1661" s="120"/>
      <c r="H1661" s="101"/>
      <c r="I1661" s="93"/>
      <c r="J1661" s="91"/>
      <c r="L1661" s="94" t="str">
        <f t="shared" si="2"/>
        <v>No infirmation</v>
      </c>
      <c r="M1661" s="94" t="str">
        <f t="shared" si="3"/>
        <v/>
      </c>
    </row>
    <row r="1662" ht="15.75" customHeight="1">
      <c r="B1662" s="77">
        <f t="shared" si="1"/>
        <v>0</v>
      </c>
      <c r="C1662" s="67"/>
      <c r="D1662" s="78"/>
      <c r="E1662" s="101"/>
      <c r="F1662" s="108"/>
      <c r="G1662" s="120"/>
      <c r="H1662" s="101"/>
      <c r="I1662" s="93"/>
      <c r="J1662" s="91"/>
      <c r="L1662" s="94" t="str">
        <f t="shared" si="2"/>
        <v>No infirmation</v>
      </c>
      <c r="M1662" s="94" t="str">
        <f t="shared" si="3"/>
        <v/>
      </c>
    </row>
    <row r="1663" ht="15.75" customHeight="1">
      <c r="B1663" s="77">
        <f t="shared" si="1"/>
        <v>0</v>
      </c>
      <c r="C1663" s="67"/>
      <c r="D1663" s="78"/>
      <c r="E1663" s="101"/>
      <c r="F1663" s="108"/>
      <c r="G1663" s="120"/>
      <c r="H1663" s="101"/>
      <c r="I1663" s="93"/>
      <c r="J1663" s="91"/>
      <c r="L1663" s="94" t="str">
        <f t="shared" si="2"/>
        <v>No infirmation</v>
      </c>
      <c r="M1663" s="94" t="str">
        <f t="shared" si="3"/>
        <v/>
      </c>
    </row>
    <row r="1664" ht="15.75" customHeight="1">
      <c r="B1664" s="77">
        <f t="shared" si="1"/>
        <v>0</v>
      </c>
      <c r="C1664" s="67"/>
      <c r="D1664" s="78"/>
      <c r="E1664" s="101"/>
      <c r="F1664" s="108"/>
      <c r="G1664" s="120"/>
      <c r="H1664" s="101"/>
      <c r="I1664" s="93"/>
      <c r="J1664" s="91"/>
      <c r="L1664" s="94" t="str">
        <f t="shared" si="2"/>
        <v>No infirmation</v>
      </c>
      <c r="M1664" s="94" t="str">
        <f t="shared" si="3"/>
        <v/>
      </c>
    </row>
    <row r="1665" ht="15.75" customHeight="1">
      <c r="B1665" s="77">
        <f t="shared" si="1"/>
        <v>0</v>
      </c>
      <c r="C1665" s="67"/>
      <c r="D1665" s="78"/>
      <c r="E1665" s="101"/>
      <c r="F1665" s="108"/>
      <c r="G1665" s="120"/>
      <c r="H1665" s="101"/>
      <c r="I1665" s="93"/>
      <c r="J1665" s="91"/>
      <c r="L1665" s="94" t="str">
        <f t="shared" si="2"/>
        <v>No infirmation</v>
      </c>
      <c r="M1665" s="94" t="str">
        <f t="shared" si="3"/>
        <v/>
      </c>
    </row>
    <row r="1666" ht="15.75" customHeight="1">
      <c r="B1666" s="77">
        <f t="shared" si="1"/>
        <v>0</v>
      </c>
      <c r="C1666" s="67"/>
      <c r="D1666" s="78"/>
      <c r="E1666" s="101"/>
      <c r="F1666" s="108"/>
      <c r="G1666" s="120"/>
      <c r="H1666" s="101"/>
      <c r="I1666" s="93"/>
      <c r="J1666" s="91"/>
      <c r="L1666" s="94" t="str">
        <f t="shared" si="2"/>
        <v>No infirmation</v>
      </c>
      <c r="M1666" s="94" t="str">
        <f t="shared" si="3"/>
        <v/>
      </c>
    </row>
    <row r="1667" ht="15.75" customHeight="1">
      <c r="B1667" s="77">
        <f t="shared" si="1"/>
        <v>0</v>
      </c>
      <c r="C1667" s="67"/>
      <c r="D1667" s="78"/>
      <c r="E1667" s="101"/>
      <c r="F1667" s="108"/>
      <c r="G1667" s="120"/>
      <c r="H1667" s="101"/>
      <c r="I1667" s="93"/>
      <c r="J1667" s="91"/>
      <c r="L1667" s="94" t="str">
        <f t="shared" si="2"/>
        <v>No infirmation</v>
      </c>
      <c r="M1667" s="94" t="str">
        <f t="shared" si="3"/>
        <v/>
      </c>
    </row>
    <row r="1668" ht="15.75" customHeight="1">
      <c r="B1668" s="77">
        <f t="shared" si="1"/>
        <v>0</v>
      </c>
      <c r="C1668" s="67"/>
      <c r="D1668" s="78"/>
      <c r="E1668" s="101"/>
      <c r="F1668" s="108"/>
      <c r="G1668" s="120"/>
      <c r="H1668" s="101"/>
      <c r="I1668" s="93"/>
      <c r="J1668" s="91"/>
      <c r="L1668" s="94" t="str">
        <f t="shared" si="2"/>
        <v>No infirmation</v>
      </c>
      <c r="M1668" s="94" t="str">
        <f t="shared" si="3"/>
        <v/>
      </c>
    </row>
    <row r="1669" ht="15.75" customHeight="1">
      <c r="B1669" s="77">
        <f t="shared" si="1"/>
        <v>0</v>
      </c>
      <c r="C1669" s="67"/>
      <c r="D1669" s="78"/>
      <c r="E1669" s="101"/>
      <c r="F1669" s="108"/>
      <c r="G1669" s="120"/>
      <c r="H1669" s="101"/>
      <c r="I1669" s="93"/>
      <c r="J1669" s="91"/>
      <c r="L1669" s="94" t="str">
        <f t="shared" si="2"/>
        <v>No infirmation</v>
      </c>
      <c r="M1669" s="94" t="str">
        <f t="shared" si="3"/>
        <v/>
      </c>
    </row>
    <row r="1670" ht="15.75" customHeight="1">
      <c r="B1670" s="77">
        <f t="shared" si="1"/>
        <v>0</v>
      </c>
      <c r="C1670" s="67"/>
      <c r="D1670" s="78"/>
      <c r="E1670" s="101"/>
      <c r="F1670" s="108"/>
      <c r="G1670" s="120"/>
      <c r="H1670" s="101"/>
      <c r="I1670" s="93"/>
      <c r="J1670" s="91"/>
      <c r="L1670" s="94" t="str">
        <f t="shared" si="2"/>
        <v>No infirmation</v>
      </c>
      <c r="M1670" s="94" t="str">
        <f t="shared" si="3"/>
        <v/>
      </c>
    </row>
    <row r="1671" ht="15.75" customHeight="1">
      <c r="B1671" s="77">
        <f t="shared" si="1"/>
        <v>0</v>
      </c>
      <c r="C1671" s="67"/>
      <c r="D1671" s="78"/>
      <c r="E1671" s="101"/>
      <c r="F1671" s="108"/>
      <c r="G1671" s="120"/>
      <c r="H1671" s="101"/>
      <c r="I1671" s="93"/>
      <c r="J1671" s="91"/>
      <c r="L1671" s="94" t="str">
        <f t="shared" si="2"/>
        <v>No infirmation</v>
      </c>
      <c r="M1671" s="94" t="str">
        <f t="shared" si="3"/>
        <v/>
      </c>
    </row>
    <row r="1672" ht="15.75" customHeight="1">
      <c r="B1672" s="77">
        <f t="shared" si="1"/>
        <v>0</v>
      </c>
      <c r="C1672" s="67"/>
      <c r="D1672" s="78"/>
      <c r="E1672" s="101"/>
      <c r="F1672" s="108"/>
      <c r="G1672" s="120"/>
      <c r="H1672" s="101"/>
      <c r="I1672" s="93"/>
      <c r="J1672" s="91"/>
      <c r="L1672" s="94" t="str">
        <f t="shared" si="2"/>
        <v>No infirmation</v>
      </c>
      <c r="M1672" s="94" t="str">
        <f t="shared" si="3"/>
        <v/>
      </c>
    </row>
    <row r="1673" ht="15.75" customHeight="1">
      <c r="B1673" s="77">
        <f t="shared" si="1"/>
        <v>0</v>
      </c>
      <c r="C1673" s="67"/>
      <c r="D1673" s="78"/>
      <c r="E1673" s="101"/>
      <c r="F1673" s="108"/>
      <c r="G1673" s="120"/>
      <c r="H1673" s="101"/>
      <c r="I1673" s="93"/>
      <c r="J1673" s="91"/>
      <c r="L1673" s="94" t="str">
        <f t="shared" si="2"/>
        <v>No infirmation</v>
      </c>
      <c r="M1673" s="94" t="str">
        <f t="shared" si="3"/>
        <v/>
      </c>
    </row>
    <row r="1674" ht="15.75" customHeight="1">
      <c r="B1674" s="77">
        <f t="shared" si="1"/>
        <v>0</v>
      </c>
      <c r="C1674" s="67"/>
      <c r="D1674" s="78"/>
      <c r="E1674" s="101"/>
      <c r="F1674" s="108"/>
      <c r="G1674" s="120"/>
      <c r="H1674" s="101"/>
      <c r="I1674" s="93"/>
      <c r="J1674" s="91"/>
      <c r="L1674" s="94" t="str">
        <f t="shared" si="2"/>
        <v>No infirmation</v>
      </c>
      <c r="M1674" s="94" t="str">
        <f t="shared" si="3"/>
        <v/>
      </c>
    </row>
    <row r="1675" ht="15.75" customHeight="1">
      <c r="B1675" s="77">
        <f t="shared" si="1"/>
        <v>0</v>
      </c>
      <c r="C1675" s="67"/>
      <c r="D1675" s="78"/>
      <c r="E1675" s="101"/>
      <c r="F1675" s="108"/>
      <c r="G1675" s="120"/>
      <c r="H1675" s="101"/>
      <c r="I1675" s="93"/>
      <c r="J1675" s="91"/>
      <c r="L1675" s="94" t="str">
        <f t="shared" si="2"/>
        <v>No infirmation</v>
      </c>
      <c r="M1675" s="94" t="str">
        <f t="shared" si="3"/>
        <v/>
      </c>
    </row>
    <row r="1676" ht="15.75" customHeight="1">
      <c r="B1676" s="77">
        <f t="shared" si="1"/>
        <v>0</v>
      </c>
      <c r="C1676" s="67"/>
      <c r="D1676" s="78"/>
      <c r="E1676" s="101"/>
      <c r="F1676" s="108"/>
      <c r="G1676" s="120"/>
      <c r="H1676" s="101"/>
      <c r="I1676" s="93"/>
      <c r="J1676" s="91"/>
      <c r="L1676" s="94" t="str">
        <f t="shared" si="2"/>
        <v>No infirmation</v>
      </c>
      <c r="M1676" s="94" t="str">
        <f t="shared" si="3"/>
        <v/>
      </c>
    </row>
    <row r="1677" ht="15.75" customHeight="1">
      <c r="B1677" s="77">
        <f t="shared" si="1"/>
        <v>0</v>
      </c>
      <c r="C1677" s="67"/>
      <c r="D1677" s="78"/>
      <c r="E1677" s="101"/>
      <c r="F1677" s="108"/>
      <c r="G1677" s="120"/>
      <c r="H1677" s="101"/>
      <c r="I1677" s="93"/>
      <c r="J1677" s="91"/>
      <c r="L1677" s="94" t="str">
        <f t="shared" si="2"/>
        <v>No infirmation</v>
      </c>
      <c r="M1677" s="94" t="str">
        <f t="shared" si="3"/>
        <v/>
      </c>
    </row>
    <row r="1678" ht="15.75" customHeight="1">
      <c r="B1678" s="77">
        <f t="shared" si="1"/>
        <v>0</v>
      </c>
      <c r="C1678" s="67"/>
      <c r="D1678" s="78"/>
      <c r="E1678" s="101"/>
      <c r="F1678" s="108"/>
      <c r="G1678" s="120"/>
      <c r="H1678" s="101"/>
      <c r="I1678" s="93"/>
      <c r="J1678" s="91"/>
      <c r="L1678" s="94" t="str">
        <f t="shared" si="2"/>
        <v>No infirmation</v>
      </c>
      <c r="M1678" s="94" t="str">
        <f t="shared" si="3"/>
        <v/>
      </c>
    </row>
    <row r="1679" ht="15.75" customHeight="1">
      <c r="B1679" s="77">
        <f t="shared" si="1"/>
        <v>0</v>
      </c>
      <c r="C1679" s="67"/>
      <c r="D1679" s="78"/>
      <c r="E1679" s="101"/>
      <c r="F1679" s="108"/>
      <c r="G1679" s="120"/>
      <c r="H1679" s="101"/>
      <c r="I1679" s="93"/>
      <c r="J1679" s="91"/>
      <c r="L1679" s="94" t="str">
        <f t="shared" si="2"/>
        <v>No infirmation</v>
      </c>
      <c r="M1679" s="94" t="str">
        <f t="shared" si="3"/>
        <v/>
      </c>
    </row>
    <row r="1680" ht="15.75" customHeight="1">
      <c r="B1680" s="77">
        <f t="shared" si="1"/>
        <v>0</v>
      </c>
      <c r="C1680" s="67"/>
      <c r="D1680" s="78"/>
      <c r="E1680" s="101"/>
      <c r="F1680" s="108"/>
      <c r="G1680" s="120"/>
      <c r="H1680" s="101"/>
      <c r="I1680" s="93"/>
      <c r="J1680" s="91"/>
      <c r="L1680" s="94" t="str">
        <f t="shared" si="2"/>
        <v>No infirmation</v>
      </c>
      <c r="M1680" s="94" t="str">
        <f t="shared" si="3"/>
        <v/>
      </c>
    </row>
    <row r="1681" ht="15.75" customHeight="1">
      <c r="B1681" s="77">
        <f t="shared" si="1"/>
        <v>0</v>
      </c>
      <c r="C1681" s="67"/>
      <c r="D1681" s="78"/>
      <c r="E1681" s="101"/>
      <c r="F1681" s="108"/>
      <c r="G1681" s="120"/>
      <c r="H1681" s="101"/>
      <c r="I1681" s="93"/>
      <c r="J1681" s="91"/>
      <c r="L1681" s="94" t="str">
        <f t="shared" si="2"/>
        <v>No infirmation</v>
      </c>
      <c r="M1681" s="94" t="str">
        <f t="shared" si="3"/>
        <v/>
      </c>
    </row>
    <row r="1682" ht="15.75" customHeight="1">
      <c r="B1682" s="77">
        <f t="shared" si="1"/>
        <v>0</v>
      </c>
      <c r="C1682" s="67"/>
      <c r="D1682" s="78"/>
      <c r="E1682" s="101"/>
      <c r="F1682" s="108"/>
      <c r="G1682" s="120"/>
      <c r="H1682" s="101"/>
      <c r="I1682" s="93"/>
      <c r="J1682" s="91"/>
      <c r="L1682" s="94" t="str">
        <f t="shared" si="2"/>
        <v>No infirmation</v>
      </c>
      <c r="M1682" s="94" t="str">
        <f t="shared" si="3"/>
        <v/>
      </c>
    </row>
    <row r="1683" ht="15.75" customHeight="1">
      <c r="B1683" s="77">
        <f t="shared" si="1"/>
        <v>0</v>
      </c>
      <c r="C1683" s="67"/>
      <c r="D1683" s="78"/>
      <c r="E1683" s="101"/>
      <c r="F1683" s="108"/>
      <c r="G1683" s="120"/>
      <c r="H1683" s="101"/>
      <c r="I1683" s="93"/>
      <c r="J1683" s="91"/>
      <c r="L1683" s="94" t="str">
        <f t="shared" si="2"/>
        <v>No infirmation</v>
      </c>
      <c r="M1683" s="94" t="str">
        <f t="shared" si="3"/>
        <v/>
      </c>
    </row>
    <row r="1684" ht="15.75" customHeight="1">
      <c r="B1684" s="77">
        <f t="shared" si="1"/>
        <v>0</v>
      </c>
      <c r="C1684" s="67"/>
      <c r="D1684" s="78"/>
      <c r="E1684" s="101"/>
      <c r="F1684" s="108"/>
      <c r="G1684" s="120"/>
      <c r="H1684" s="101"/>
      <c r="I1684" s="93"/>
      <c r="J1684" s="91"/>
      <c r="L1684" s="94" t="str">
        <f t="shared" si="2"/>
        <v>No infirmation</v>
      </c>
      <c r="M1684" s="94" t="str">
        <f t="shared" si="3"/>
        <v/>
      </c>
    </row>
    <row r="1685" ht="15.75" customHeight="1">
      <c r="B1685" s="77">
        <f t="shared" si="1"/>
        <v>0</v>
      </c>
      <c r="C1685" s="67"/>
      <c r="D1685" s="78"/>
      <c r="E1685" s="101"/>
      <c r="F1685" s="108"/>
      <c r="G1685" s="120"/>
      <c r="H1685" s="101"/>
      <c r="I1685" s="93"/>
      <c r="J1685" s="91"/>
      <c r="L1685" s="94" t="str">
        <f t="shared" si="2"/>
        <v>No infirmation</v>
      </c>
      <c r="M1685" s="94" t="str">
        <f t="shared" si="3"/>
        <v/>
      </c>
    </row>
    <row r="1686" ht="15.75" customHeight="1">
      <c r="B1686" s="77">
        <f t="shared" si="1"/>
        <v>0</v>
      </c>
      <c r="C1686" s="67"/>
      <c r="D1686" s="78"/>
      <c r="E1686" s="101"/>
      <c r="F1686" s="108"/>
      <c r="G1686" s="120"/>
      <c r="H1686" s="101"/>
      <c r="I1686" s="93"/>
      <c r="J1686" s="91"/>
      <c r="L1686" s="94" t="str">
        <f t="shared" si="2"/>
        <v>No infirmation</v>
      </c>
      <c r="M1686" s="94" t="str">
        <f t="shared" si="3"/>
        <v/>
      </c>
    </row>
    <row r="1687" ht="15.75" customHeight="1">
      <c r="B1687" s="77">
        <f t="shared" si="1"/>
        <v>0</v>
      </c>
      <c r="C1687" s="67"/>
      <c r="D1687" s="78"/>
      <c r="E1687" s="101"/>
      <c r="F1687" s="108"/>
      <c r="G1687" s="120"/>
      <c r="H1687" s="101"/>
      <c r="I1687" s="93"/>
      <c r="J1687" s="91"/>
      <c r="L1687" s="94" t="str">
        <f t="shared" si="2"/>
        <v>No infirmation</v>
      </c>
      <c r="M1687" s="94" t="str">
        <f t="shared" si="3"/>
        <v/>
      </c>
    </row>
    <row r="1688" ht="15.75" customHeight="1">
      <c r="B1688" s="77">
        <f t="shared" si="1"/>
        <v>0</v>
      </c>
      <c r="C1688" s="67"/>
      <c r="D1688" s="78"/>
      <c r="E1688" s="101"/>
      <c r="F1688" s="108"/>
      <c r="G1688" s="120"/>
      <c r="H1688" s="101"/>
      <c r="I1688" s="93"/>
      <c r="J1688" s="91"/>
      <c r="L1688" s="94" t="str">
        <f t="shared" si="2"/>
        <v>No infirmation</v>
      </c>
      <c r="M1688" s="94" t="str">
        <f t="shared" si="3"/>
        <v/>
      </c>
    </row>
    <row r="1689" ht="15.75" customHeight="1">
      <c r="B1689" s="77">
        <f t="shared" si="1"/>
        <v>0</v>
      </c>
      <c r="C1689" s="67"/>
      <c r="D1689" s="78"/>
      <c r="E1689" s="101"/>
      <c r="F1689" s="108"/>
      <c r="G1689" s="120"/>
      <c r="H1689" s="101"/>
      <c r="I1689" s="93"/>
      <c r="J1689" s="91"/>
      <c r="L1689" s="94" t="str">
        <f t="shared" si="2"/>
        <v>No infirmation</v>
      </c>
      <c r="M1689" s="94" t="str">
        <f t="shared" si="3"/>
        <v/>
      </c>
    </row>
    <row r="1690" ht="15.75" customHeight="1">
      <c r="B1690" s="77">
        <f t="shared" si="1"/>
        <v>0</v>
      </c>
      <c r="C1690" s="67"/>
      <c r="D1690" s="78"/>
      <c r="E1690" s="101"/>
      <c r="F1690" s="108"/>
      <c r="G1690" s="120"/>
      <c r="H1690" s="101"/>
      <c r="I1690" s="93"/>
      <c r="J1690" s="91"/>
      <c r="L1690" s="94" t="str">
        <f t="shared" si="2"/>
        <v>No infirmation</v>
      </c>
      <c r="M1690" s="94" t="str">
        <f t="shared" si="3"/>
        <v/>
      </c>
    </row>
    <row r="1691" ht="15.75" customHeight="1">
      <c r="B1691" s="77">
        <f t="shared" si="1"/>
        <v>0</v>
      </c>
      <c r="C1691" s="67"/>
      <c r="D1691" s="78"/>
      <c r="E1691" s="101"/>
      <c r="F1691" s="108"/>
      <c r="G1691" s="120"/>
      <c r="H1691" s="101"/>
      <c r="I1691" s="93"/>
      <c r="J1691" s="91"/>
      <c r="L1691" s="94" t="str">
        <f t="shared" si="2"/>
        <v>No infirmation</v>
      </c>
      <c r="M1691" s="94" t="str">
        <f t="shared" si="3"/>
        <v/>
      </c>
    </row>
    <row r="1692" ht="15.75" customHeight="1">
      <c r="B1692" s="77">
        <f t="shared" si="1"/>
        <v>0</v>
      </c>
      <c r="C1692" s="67"/>
      <c r="D1692" s="78"/>
      <c r="E1692" s="101"/>
      <c r="F1692" s="108"/>
      <c r="G1692" s="120"/>
      <c r="H1692" s="101"/>
      <c r="I1692" s="93"/>
      <c r="J1692" s="91"/>
      <c r="L1692" s="94" t="str">
        <f t="shared" si="2"/>
        <v>No infirmation</v>
      </c>
      <c r="M1692" s="94" t="str">
        <f t="shared" si="3"/>
        <v/>
      </c>
    </row>
    <row r="1693" ht="15.75" customHeight="1">
      <c r="B1693" s="77">
        <f t="shared" si="1"/>
        <v>0</v>
      </c>
      <c r="C1693" s="67"/>
      <c r="D1693" s="78"/>
      <c r="E1693" s="101"/>
      <c r="F1693" s="108"/>
      <c r="G1693" s="120"/>
      <c r="H1693" s="101"/>
      <c r="I1693" s="93"/>
      <c r="J1693" s="91"/>
      <c r="L1693" s="94" t="str">
        <f t="shared" si="2"/>
        <v>No infirmation</v>
      </c>
      <c r="M1693" s="94" t="str">
        <f t="shared" si="3"/>
        <v/>
      </c>
    </row>
    <row r="1694" ht="15.75" customHeight="1">
      <c r="B1694" s="77">
        <f t="shared" si="1"/>
        <v>0</v>
      </c>
      <c r="C1694" s="67"/>
      <c r="D1694" s="78"/>
      <c r="E1694" s="101"/>
      <c r="F1694" s="108"/>
      <c r="G1694" s="120"/>
      <c r="H1694" s="101"/>
      <c r="I1694" s="93"/>
      <c r="J1694" s="91"/>
      <c r="L1694" s="94" t="str">
        <f t="shared" si="2"/>
        <v>No infirmation</v>
      </c>
      <c r="M1694" s="94" t="str">
        <f t="shared" si="3"/>
        <v/>
      </c>
    </row>
    <row r="1695" ht="15.75" customHeight="1">
      <c r="B1695" s="77">
        <f t="shared" si="1"/>
        <v>0</v>
      </c>
      <c r="C1695" s="67"/>
      <c r="D1695" s="78"/>
      <c r="E1695" s="101"/>
      <c r="F1695" s="108"/>
      <c r="G1695" s="120"/>
      <c r="H1695" s="101"/>
      <c r="I1695" s="93"/>
      <c r="J1695" s="91"/>
      <c r="L1695" s="94" t="str">
        <f t="shared" si="2"/>
        <v>No infirmation</v>
      </c>
      <c r="M1695" s="94" t="str">
        <f t="shared" si="3"/>
        <v/>
      </c>
    </row>
    <row r="1696" ht="15.75" customHeight="1">
      <c r="B1696" s="77">
        <f t="shared" si="1"/>
        <v>0</v>
      </c>
      <c r="C1696" s="67"/>
      <c r="D1696" s="78"/>
      <c r="E1696" s="101"/>
      <c r="F1696" s="108"/>
      <c r="G1696" s="120"/>
      <c r="H1696" s="101"/>
      <c r="I1696" s="93"/>
      <c r="J1696" s="91"/>
      <c r="L1696" s="94" t="str">
        <f t="shared" si="2"/>
        <v>No infirmation</v>
      </c>
      <c r="M1696" s="94" t="str">
        <f t="shared" si="3"/>
        <v/>
      </c>
    </row>
    <row r="1697" ht="15.75" customHeight="1">
      <c r="B1697" s="77">
        <f t="shared" si="1"/>
        <v>0</v>
      </c>
      <c r="C1697" s="67"/>
      <c r="D1697" s="78"/>
      <c r="E1697" s="101"/>
      <c r="F1697" s="108"/>
      <c r="G1697" s="120"/>
      <c r="H1697" s="101"/>
      <c r="I1697" s="93"/>
      <c r="J1697" s="91"/>
      <c r="L1697" s="94" t="str">
        <f t="shared" si="2"/>
        <v>No infirmation</v>
      </c>
      <c r="M1697" s="94" t="str">
        <f t="shared" si="3"/>
        <v/>
      </c>
    </row>
    <row r="1698" ht="15.75" customHeight="1">
      <c r="B1698" s="77">
        <f t="shared" si="1"/>
        <v>0</v>
      </c>
      <c r="C1698" s="67"/>
      <c r="D1698" s="78"/>
      <c r="E1698" s="101"/>
      <c r="F1698" s="108"/>
      <c r="G1698" s="120"/>
      <c r="H1698" s="101"/>
      <c r="I1698" s="93"/>
      <c r="J1698" s="91"/>
      <c r="L1698" s="94" t="str">
        <f t="shared" si="2"/>
        <v>No infirmation</v>
      </c>
      <c r="M1698" s="94" t="str">
        <f t="shared" si="3"/>
        <v/>
      </c>
    </row>
    <row r="1699" ht="15.75" customHeight="1">
      <c r="B1699" s="77">
        <f t="shared" si="1"/>
        <v>0</v>
      </c>
      <c r="C1699" s="67"/>
      <c r="D1699" s="78"/>
      <c r="E1699" s="101"/>
      <c r="F1699" s="108"/>
      <c r="G1699" s="120"/>
      <c r="H1699" s="101"/>
      <c r="I1699" s="93"/>
      <c r="J1699" s="91"/>
      <c r="L1699" s="94" t="str">
        <f t="shared" si="2"/>
        <v>No infirmation</v>
      </c>
      <c r="M1699" s="94" t="str">
        <f t="shared" si="3"/>
        <v/>
      </c>
    </row>
    <row r="1700" ht="15.75" customHeight="1">
      <c r="B1700" s="77">
        <f t="shared" si="1"/>
        <v>0</v>
      </c>
      <c r="C1700" s="67"/>
      <c r="D1700" s="78"/>
      <c r="E1700" s="101"/>
      <c r="F1700" s="108"/>
      <c r="G1700" s="120"/>
      <c r="H1700" s="101"/>
      <c r="I1700" s="93"/>
      <c r="J1700" s="91"/>
      <c r="L1700" s="94" t="str">
        <f t="shared" si="2"/>
        <v>No infirmation</v>
      </c>
      <c r="M1700" s="94" t="str">
        <f t="shared" si="3"/>
        <v/>
      </c>
    </row>
    <row r="1701" ht="15.75" customHeight="1">
      <c r="B1701" s="77">
        <f t="shared" si="1"/>
        <v>0</v>
      </c>
      <c r="C1701" s="67"/>
      <c r="D1701" s="78"/>
      <c r="E1701" s="101"/>
      <c r="F1701" s="108"/>
      <c r="G1701" s="120"/>
      <c r="H1701" s="101"/>
      <c r="I1701" s="93"/>
      <c r="J1701" s="91"/>
      <c r="L1701" s="94" t="str">
        <f t="shared" si="2"/>
        <v>No infirmation</v>
      </c>
      <c r="M1701" s="94" t="str">
        <f t="shared" si="3"/>
        <v/>
      </c>
    </row>
    <row r="1702" ht="15.75" customHeight="1">
      <c r="B1702" s="77">
        <f t="shared" si="1"/>
        <v>0</v>
      </c>
      <c r="C1702" s="67"/>
      <c r="D1702" s="78"/>
      <c r="E1702" s="101"/>
      <c r="F1702" s="108"/>
      <c r="G1702" s="120"/>
      <c r="H1702" s="101"/>
      <c r="I1702" s="93"/>
      <c r="J1702" s="91"/>
      <c r="L1702" s="94" t="str">
        <f t="shared" si="2"/>
        <v>No infirmation</v>
      </c>
      <c r="M1702" s="94" t="str">
        <f t="shared" si="3"/>
        <v/>
      </c>
    </row>
    <row r="1703" ht="15.75" customHeight="1">
      <c r="B1703" s="77">
        <f t="shared" si="1"/>
        <v>0</v>
      </c>
      <c r="C1703" s="67"/>
      <c r="D1703" s="78"/>
      <c r="E1703" s="101"/>
      <c r="F1703" s="108"/>
      <c r="G1703" s="120"/>
      <c r="H1703" s="101"/>
      <c r="I1703" s="93"/>
      <c r="J1703" s="91"/>
      <c r="L1703" s="94" t="str">
        <f t="shared" si="2"/>
        <v>No infirmation</v>
      </c>
      <c r="M1703" s="94" t="str">
        <f t="shared" si="3"/>
        <v/>
      </c>
    </row>
    <row r="1704" ht="15.75" customHeight="1">
      <c r="B1704" s="77">
        <f t="shared" si="1"/>
        <v>0</v>
      </c>
      <c r="C1704" s="67"/>
      <c r="D1704" s="78"/>
      <c r="E1704" s="101"/>
      <c r="F1704" s="108"/>
      <c r="G1704" s="120"/>
      <c r="H1704" s="101"/>
      <c r="I1704" s="93"/>
      <c r="J1704" s="91"/>
      <c r="L1704" s="94" t="str">
        <f t="shared" si="2"/>
        <v>No infirmation</v>
      </c>
      <c r="M1704" s="94" t="str">
        <f t="shared" si="3"/>
        <v/>
      </c>
    </row>
    <row r="1705" ht="15.75" customHeight="1">
      <c r="B1705" s="77">
        <f t="shared" si="1"/>
        <v>0</v>
      </c>
      <c r="C1705" s="67"/>
      <c r="D1705" s="78"/>
      <c r="E1705" s="101"/>
      <c r="F1705" s="108"/>
      <c r="G1705" s="120"/>
      <c r="H1705" s="101"/>
      <c r="I1705" s="93"/>
      <c r="J1705" s="91"/>
      <c r="L1705" s="94" t="str">
        <f t="shared" si="2"/>
        <v>No infirmation</v>
      </c>
      <c r="M1705" s="94" t="str">
        <f t="shared" si="3"/>
        <v/>
      </c>
    </row>
    <row r="1706" ht="15.75" customHeight="1">
      <c r="B1706" s="77">
        <f t="shared" si="1"/>
        <v>0</v>
      </c>
      <c r="C1706" s="67"/>
      <c r="D1706" s="78"/>
      <c r="E1706" s="101"/>
      <c r="F1706" s="108"/>
      <c r="G1706" s="120"/>
      <c r="H1706" s="101"/>
      <c r="I1706" s="93"/>
      <c r="J1706" s="91"/>
      <c r="L1706" s="94" t="str">
        <f t="shared" si="2"/>
        <v>No infirmation</v>
      </c>
      <c r="M1706" s="94" t="str">
        <f t="shared" si="3"/>
        <v/>
      </c>
    </row>
    <row r="1707" ht="15.75" customHeight="1">
      <c r="B1707" s="77">
        <f t="shared" si="1"/>
        <v>0</v>
      </c>
      <c r="C1707" s="67"/>
      <c r="D1707" s="78"/>
      <c r="E1707" s="101"/>
      <c r="F1707" s="108"/>
      <c r="G1707" s="120"/>
      <c r="H1707" s="101"/>
      <c r="I1707" s="93"/>
      <c r="J1707" s="91"/>
      <c r="L1707" s="94" t="str">
        <f t="shared" si="2"/>
        <v>No infirmation</v>
      </c>
      <c r="M1707" s="94" t="str">
        <f t="shared" si="3"/>
        <v/>
      </c>
    </row>
    <row r="1708" ht="15.75" customHeight="1">
      <c r="B1708" s="77">
        <f t="shared" si="1"/>
        <v>0</v>
      </c>
      <c r="C1708" s="67"/>
      <c r="D1708" s="78"/>
      <c r="E1708" s="101"/>
      <c r="F1708" s="108"/>
      <c r="G1708" s="120"/>
      <c r="H1708" s="101"/>
      <c r="I1708" s="93"/>
      <c r="J1708" s="91"/>
      <c r="L1708" s="94" t="str">
        <f t="shared" si="2"/>
        <v>No infirmation</v>
      </c>
      <c r="M1708" s="94" t="str">
        <f t="shared" si="3"/>
        <v/>
      </c>
    </row>
    <row r="1709" ht="15.75" customHeight="1">
      <c r="B1709" s="77">
        <f t="shared" si="1"/>
        <v>0</v>
      </c>
      <c r="C1709" s="67"/>
      <c r="D1709" s="78"/>
      <c r="E1709" s="101"/>
      <c r="F1709" s="108"/>
      <c r="G1709" s="120"/>
      <c r="H1709" s="101"/>
      <c r="I1709" s="93"/>
      <c r="J1709" s="91"/>
      <c r="L1709" s="94" t="str">
        <f t="shared" si="2"/>
        <v>No infirmation</v>
      </c>
      <c r="M1709" s="94" t="str">
        <f t="shared" si="3"/>
        <v/>
      </c>
    </row>
    <row r="1710" ht="15.75" customHeight="1">
      <c r="B1710" s="77">
        <f t="shared" si="1"/>
        <v>0</v>
      </c>
      <c r="C1710" s="67"/>
      <c r="D1710" s="78"/>
      <c r="E1710" s="101"/>
      <c r="F1710" s="108"/>
      <c r="G1710" s="120"/>
      <c r="H1710" s="101"/>
      <c r="I1710" s="93"/>
      <c r="J1710" s="91"/>
      <c r="L1710" s="94" t="str">
        <f t="shared" si="2"/>
        <v>No infirmation</v>
      </c>
      <c r="M1710" s="94" t="str">
        <f t="shared" si="3"/>
        <v/>
      </c>
    </row>
    <row r="1711" ht="15.75" customHeight="1">
      <c r="B1711" s="77">
        <f t="shared" si="1"/>
        <v>0</v>
      </c>
      <c r="C1711" s="67"/>
      <c r="D1711" s="78"/>
      <c r="E1711" s="101"/>
      <c r="F1711" s="108"/>
      <c r="G1711" s="120"/>
      <c r="H1711" s="101"/>
      <c r="I1711" s="93"/>
      <c r="J1711" s="91"/>
      <c r="L1711" s="94" t="str">
        <f t="shared" si="2"/>
        <v>No infirmation</v>
      </c>
      <c r="M1711" s="94" t="str">
        <f t="shared" si="3"/>
        <v/>
      </c>
    </row>
    <row r="1712" ht="15.75" customHeight="1">
      <c r="B1712" s="77">
        <f t="shared" si="1"/>
        <v>0</v>
      </c>
      <c r="C1712" s="67"/>
      <c r="D1712" s="78"/>
      <c r="E1712" s="101"/>
      <c r="F1712" s="108"/>
      <c r="G1712" s="120"/>
      <c r="H1712" s="101"/>
      <c r="I1712" s="93"/>
      <c r="J1712" s="91"/>
      <c r="L1712" s="94" t="str">
        <f t="shared" si="2"/>
        <v>No infirmation</v>
      </c>
      <c r="M1712" s="94" t="str">
        <f t="shared" si="3"/>
        <v/>
      </c>
    </row>
    <row r="1713" ht="15.75" customHeight="1">
      <c r="B1713" s="77">
        <f t="shared" si="1"/>
        <v>0</v>
      </c>
      <c r="C1713" s="67"/>
      <c r="D1713" s="78"/>
      <c r="E1713" s="101"/>
      <c r="F1713" s="108"/>
      <c r="G1713" s="120"/>
      <c r="H1713" s="101"/>
      <c r="I1713" s="93"/>
      <c r="J1713" s="91"/>
      <c r="L1713" s="94" t="str">
        <f t="shared" si="2"/>
        <v>No infirmation</v>
      </c>
      <c r="M1713" s="94" t="str">
        <f t="shared" si="3"/>
        <v/>
      </c>
    </row>
    <row r="1714" ht="15.75" customHeight="1">
      <c r="B1714" s="77">
        <f t="shared" si="1"/>
        <v>0</v>
      </c>
      <c r="C1714" s="67"/>
      <c r="D1714" s="78"/>
      <c r="E1714" s="101"/>
      <c r="F1714" s="108"/>
      <c r="G1714" s="120"/>
      <c r="H1714" s="101"/>
      <c r="I1714" s="93"/>
      <c r="J1714" s="91"/>
      <c r="L1714" s="94" t="str">
        <f t="shared" si="2"/>
        <v>No infirmation</v>
      </c>
      <c r="M1714" s="94" t="str">
        <f t="shared" si="3"/>
        <v/>
      </c>
    </row>
    <row r="1715" ht="15.75" customHeight="1">
      <c r="B1715" s="77">
        <f t="shared" si="1"/>
        <v>0</v>
      </c>
      <c r="C1715" s="67"/>
      <c r="D1715" s="78"/>
      <c r="E1715" s="101"/>
      <c r="F1715" s="108"/>
      <c r="G1715" s="120"/>
      <c r="H1715" s="101"/>
      <c r="I1715" s="93"/>
      <c r="J1715" s="91"/>
      <c r="L1715" s="94" t="str">
        <f t="shared" si="2"/>
        <v>No infirmation</v>
      </c>
      <c r="M1715" s="94" t="str">
        <f t="shared" si="3"/>
        <v/>
      </c>
    </row>
    <row r="1716" ht="15.75" customHeight="1">
      <c r="B1716" s="77">
        <f t="shared" si="1"/>
        <v>0</v>
      </c>
      <c r="C1716" s="67"/>
      <c r="D1716" s="78"/>
      <c r="E1716" s="101"/>
      <c r="F1716" s="108"/>
      <c r="G1716" s="120"/>
      <c r="H1716" s="101"/>
      <c r="I1716" s="93"/>
      <c r="J1716" s="91"/>
      <c r="L1716" s="94" t="str">
        <f t="shared" si="2"/>
        <v>No infirmation</v>
      </c>
      <c r="M1716" s="94" t="str">
        <f t="shared" si="3"/>
        <v/>
      </c>
    </row>
    <row r="1717" ht="15.75" customHeight="1">
      <c r="B1717" s="77">
        <f t="shared" si="1"/>
        <v>0</v>
      </c>
      <c r="C1717" s="67"/>
      <c r="D1717" s="78"/>
      <c r="E1717" s="101"/>
      <c r="F1717" s="108"/>
      <c r="G1717" s="120"/>
      <c r="H1717" s="101"/>
      <c r="I1717" s="93"/>
      <c r="J1717" s="91"/>
      <c r="L1717" s="94" t="str">
        <f t="shared" si="2"/>
        <v>No infirmation</v>
      </c>
      <c r="M1717" s="94" t="str">
        <f t="shared" si="3"/>
        <v/>
      </c>
    </row>
    <row r="1718" ht="15.75" customHeight="1">
      <c r="B1718" s="77">
        <f t="shared" si="1"/>
        <v>0</v>
      </c>
      <c r="C1718" s="67"/>
      <c r="D1718" s="78"/>
      <c r="E1718" s="101"/>
      <c r="F1718" s="108"/>
      <c r="G1718" s="120"/>
      <c r="H1718" s="101"/>
      <c r="I1718" s="93"/>
      <c r="J1718" s="91"/>
      <c r="L1718" s="94" t="str">
        <f t="shared" si="2"/>
        <v>No infirmation</v>
      </c>
      <c r="M1718" s="94" t="str">
        <f t="shared" si="3"/>
        <v/>
      </c>
    </row>
    <row r="1719" ht="15.75" customHeight="1">
      <c r="B1719" s="77">
        <f t="shared" si="1"/>
        <v>0</v>
      </c>
      <c r="C1719" s="67"/>
      <c r="D1719" s="78"/>
      <c r="E1719" s="101"/>
      <c r="F1719" s="108"/>
      <c r="G1719" s="120"/>
      <c r="H1719" s="101"/>
      <c r="I1719" s="93"/>
      <c r="J1719" s="91"/>
      <c r="L1719" s="94" t="str">
        <f t="shared" si="2"/>
        <v>No infirmation</v>
      </c>
      <c r="M1719" s="94" t="str">
        <f t="shared" si="3"/>
        <v/>
      </c>
    </row>
    <row r="1720" ht="15.75" customHeight="1">
      <c r="B1720" s="77">
        <f t="shared" si="1"/>
        <v>0</v>
      </c>
      <c r="C1720" s="67"/>
      <c r="D1720" s="78"/>
      <c r="E1720" s="101"/>
      <c r="F1720" s="108"/>
      <c r="G1720" s="120"/>
      <c r="H1720" s="101"/>
      <c r="I1720" s="93"/>
      <c r="J1720" s="91"/>
      <c r="L1720" s="94" t="str">
        <f t="shared" si="2"/>
        <v>No infirmation</v>
      </c>
      <c r="M1720" s="94" t="str">
        <f t="shared" si="3"/>
        <v/>
      </c>
    </row>
    <row r="1721" ht="15.75" customHeight="1">
      <c r="B1721" s="77">
        <f t="shared" si="1"/>
        <v>0</v>
      </c>
      <c r="C1721" s="67"/>
      <c r="D1721" s="78"/>
      <c r="E1721" s="101"/>
      <c r="F1721" s="108"/>
      <c r="G1721" s="120"/>
      <c r="H1721" s="101"/>
      <c r="I1721" s="93"/>
      <c r="J1721" s="91"/>
      <c r="L1721" s="94" t="str">
        <f t="shared" si="2"/>
        <v>No infirmation</v>
      </c>
      <c r="M1721" s="94" t="str">
        <f t="shared" si="3"/>
        <v/>
      </c>
    </row>
    <row r="1722" ht="15.75" customHeight="1">
      <c r="B1722" s="77">
        <f t="shared" si="1"/>
        <v>0</v>
      </c>
      <c r="C1722" s="67"/>
      <c r="D1722" s="78"/>
      <c r="E1722" s="101"/>
      <c r="F1722" s="108"/>
      <c r="G1722" s="120"/>
      <c r="H1722" s="101"/>
      <c r="I1722" s="93"/>
      <c r="J1722" s="91"/>
      <c r="L1722" s="94" t="str">
        <f t="shared" si="2"/>
        <v>No infirmation</v>
      </c>
      <c r="M1722" s="94" t="str">
        <f t="shared" si="3"/>
        <v/>
      </c>
    </row>
    <row r="1723" ht="15.75" customHeight="1">
      <c r="B1723" s="77">
        <f t="shared" si="1"/>
        <v>0</v>
      </c>
      <c r="C1723" s="67"/>
      <c r="D1723" s="78"/>
      <c r="E1723" s="101"/>
      <c r="F1723" s="108"/>
      <c r="G1723" s="120"/>
      <c r="H1723" s="101"/>
      <c r="I1723" s="93"/>
      <c r="J1723" s="91"/>
      <c r="L1723" s="94" t="str">
        <f t="shared" si="2"/>
        <v>No infirmation</v>
      </c>
      <c r="M1723" s="94" t="str">
        <f t="shared" si="3"/>
        <v/>
      </c>
    </row>
    <row r="1724" ht="15.75" customHeight="1">
      <c r="B1724" s="77">
        <f t="shared" si="1"/>
        <v>0</v>
      </c>
      <c r="C1724" s="67"/>
      <c r="D1724" s="78"/>
      <c r="E1724" s="101"/>
      <c r="F1724" s="108"/>
      <c r="G1724" s="120"/>
      <c r="H1724" s="101"/>
      <c r="I1724" s="93"/>
      <c r="J1724" s="91"/>
      <c r="L1724" s="94" t="str">
        <f t="shared" si="2"/>
        <v>No infirmation</v>
      </c>
      <c r="M1724" s="94" t="str">
        <f t="shared" si="3"/>
        <v/>
      </c>
    </row>
    <row r="1725" ht="15.75" customHeight="1">
      <c r="B1725" s="77">
        <f t="shared" si="1"/>
        <v>0</v>
      </c>
      <c r="C1725" s="67"/>
      <c r="D1725" s="78"/>
      <c r="E1725" s="101"/>
      <c r="F1725" s="108"/>
      <c r="G1725" s="120"/>
      <c r="H1725" s="101"/>
      <c r="I1725" s="93"/>
      <c r="J1725" s="91"/>
      <c r="L1725" s="94" t="str">
        <f t="shared" si="2"/>
        <v>No infirmation</v>
      </c>
      <c r="M1725" s="94" t="str">
        <f t="shared" si="3"/>
        <v/>
      </c>
    </row>
    <row r="1726" ht="15.75" customHeight="1">
      <c r="B1726" s="77">
        <f t="shared" si="1"/>
        <v>0</v>
      </c>
      <c r="C1726" s="67"/>
      <c r="D1726" s="78"/>
      <c r="E1726" s="101"/>
      <c r="F1726" s="108"/>
      <c r="G1726" s="120"/>
      <c r="H1726" s="101"/>
      <c r="I1726" s="93"/>
      <c r="J1726" s="91"/>
      <c r="L1726" s="94" t="str">
        <f t="shared" si="2"/>
        <v>No infirmation</v>
      </c>
      <c r="M1726" s="94" t="str">
        <f t="shared" si="3"/>
        <v/>
      </c>
    </row>
    <row r="1727" ht="15.75" customHeight="1">
      <c r="B1727" s="77">
        <f t="shared" si="1"/>
        <v>0</v>
      </c>
      <c r="C1727" s="67"/>
      <c r="D1727" s="78"/>
      <c r="E1727" s="101"/>
      <c r="F1727" s="108"/>
      <c r="G1727" s="120"/>
      <c r="H1727" s="101"/>
      <c r="I1727" s="93"/>
      <c r="J1727" s="91"/>
      <c r="L1727" s="94" t="str">
        <f t="shared" si="2"/>
        <v>No infirmation</v>
      </c>
      <c r="M1727" s="94" t="str">
        <f t="shared" si="3"/>
        <v/>
      </c>
    </row>
    <row r="1728" ht="15.75" customHeight="1">
      <c r="B1728" s="77">
        <f t="shared" si="1"/>
        <v>0</v>
      </c>
      <c r="C1728" s="67"/>
      <c r="D1728" s="78"/>
      <c r="E1728" s="101"/>
      <c r="F1728" s="108"/>
      <c r="G1728" s="120"/>
      <c r="H1728" s="101"/>
      <c r="I1728" s="93"/>
      <c r="J1728" s="91"/>
      <c r="L1728" s="94" t="str">
        <f t="shared" si="2"/>
        <v>No infirmation</v>
      </c>
      <c r="M1728" s="94" t="str">
        <f t="shared" si="3"/>
        <v/>
      </c>
    </row>
    <row r="1729" ht="15.75" customHeight="1">
      <c r="B1729" s="77">
        <f t="shared" si="1"/>
        <v>0</v>
      </c>
      <c r="C1729" s="67"/>
      <c r="D1729" s="78"/>
      <c r="E1729" s="101"/>
      <c r="F1729" s="108"/>
      <c r="G1729" s="120"/>
      <c r="H1729" s="101"/>
      <c r="I1729" s="93"/>
      <c r="J1729" s="91"/>
      <c r="L1729" s="94" t="str">
        <f t="shared" si="2"/>
        <v>No infirmation</v>
      </c>
      <c r="M1729" s="94" t="str">
        <f t="shared" si="3"/>
        <v/>
      </c>
    </row>
    <row r="1730" ht="15.75" customHeight="1">
      <c r="B1730" s="77">
        <f t="shared" si="1"/>
        <v>0</v>
      </c>
      <c r="C1730" s="67"/>
      <c r="D1730" s="78"/>
      <c r="E1730" s="101"/>
      <c r="F1730" s="108"/>
      <c r="G1730" s="120"/>
      <c r="H1730" s="101"/>
      <c r="I1730" s="93"/>
      <c r="J1730" s="91"/>
      <c r="L1730" s="94" t="str">
        <f t="shared" si="2"/>
        <v>No infirmation</v>
      </c>
      <c r="M1730" s="94" t="str">
        <f t="shared" si="3"/>
        <v/>
      </c>
    </row>
    <row r="1731" ht="15.75" customHeight="1">
      <c r="B1731" s="77">
        <f t="shared" si="1"/>
        <v>0</v>
      </c>
      <c r="C1731" s="67"/>
      <c r="D1731" s="78"/>
      <c r="E1731" s="101"/>
      <c r="F1731" s="108"/>
      <c r="G1731" s="120"/>
      <c r="H1731" s="101"/>
      <c r="I1731" s="93"/>
      <c r="J1731" s="91"/>
      <c r="L1731" s="94" t="str">
        <f t="shared" si="2"/>
        <v>No infirmation</v>
      </c>
      <c r="M1731" s="94" t="str">
        <f t="shared" si="3"/>
        <v/>
      </c>
    </row>
    <row r="1732" ht="15.75" customHeight="1">
      <c r="B1732" s="77">
        <f t="shared" si="1"/>
        <v>0</v>
      </c>
      <c r="C1732" s="67"/>
      <c r="D1732" s="78"/>
      <c r="E1732" s="101"/>
      <c r="F1732" s="108"/>
      <c r="G1732" s="120"/>
      <c r="H1732" s="101"/>
      <c r="I1732" s="93"/>
      <c r="J1732" s="91"/>
      <c r="L1732" s="94" t="str">
        <f t="shared" si="2"/>
        <v>No infirmation</v>
      </c>
      <c r="M1732" s="94" t="str">
        <f t="shared" si="3"/>
        <v/>
      </c>
    </row>
    <row r="1733" ht="15.75" customHeight="1">
      <c r="B1733" s="77">
        <f t="shared" si="1"/>
        <v>0</v>
      </c>
      <c r="C1733" s="67"/>
      <c r="D1733" s="78"/>
      <c r="E1733" s="101"/>
      <c r="F1733" s="108"/>
      <c r="G1733" s="120"/>
      <c r="H1733" s="101"/>
      <c r="I1733" s="93"/>
      <c r="J1733" s="91"/>
      <c r="L1733" s="94" t="str">
        <f t="shared" si="2"/>
        <v>No infirmation</v>
      </c>
      <c r="M1733" s="94" t="str">
        <f t="shared" si="3"/>
        <v/>
      </c>
    </row>
    <row r="1734" ht="15.75" customHeight="1">
      <c r="B1734" s="77">
        <f t="shared" si="1"/>
        <v>0</v>
      </c>
      <c r="C1734" s="67"/>
      <c r="D1734" s="78"/>
      <c r="E1734" s="101"/>
      <c r="F1734" s="108"/>
      <c r="G1734" s="120"/>
      <c r="H1734" s="101"/>
      <c r="I1734" s="93"/>
      <c r="J1734" s="91"/>
      <c r="L1734" s="94" t="str">
        <f t="shared" si="2"/>
        <v>No infirmation</v>
      </c>
      <c r="M1734" s="94" t="str">
        <f t="shared" si="3"/>
        <v/>
      </c>
    </row>
    <row r="1735" ht="15.75" customHeight="1">
      <c r="B1735" s="77">
        <f t="shared" si="1"/>
        <v>0</v>
      </c>
      <c r="C1735" s="67"/>
      <c r="D1735" s="78"/>
      <c r="E1735" s="101"/>
      <c r="F1735" s="108"/>
      <c r="G1735" s="120"/>
      <c r="H1735" s="101"/>
      <c r="I1735" s="93"/>
      <c r="J1735" s="91"/>
      <c r="L1735" s="94" t="str">
        <f t="shared" si="2"/>
        <v>No infirmation</v>
      </c>
      <c r="M1735" s="94" t="str">
        <f t="shared" si="3"/>
        <v/>
      </c>
    </row>
    <row r="1736" ht="15.75" customHeight="1">
      <c r="B1736" s="77">
        <f t="shared" si="1"/>
        <v>0</v>
      </c>
      <c r="C1736" s="67"/>
      <c r="D1736" s="78"/>
      <c r="E1736" s="101"/>
      <c r="F1736" s="108"/>
      <c r="G1736" s="120"/>
      <c r="H1736" s="101"/>
      <c r="I1736" s="93"/>
      <c r="J1736" s="91"/>
      <c r="L1736" s="94" t="str">
        <f t="shared" si="2"/>
        <v>No infirmation</v>
      </c>
      <c r="M1736" s="94" t="str">
        <f t="shared" si="3"/>
        <v/>
      </c>
    </row>
    <row r="1737" ht="15.75" customHeight="1">
      <c r="B1737" s="77">
        <f t="shared" si="1"/>
        <v>0</v>
      </c>
      <c r="C1737" s="67"/>
      <c r="D1737" s="78"/>
      <c r="E1737" s="101"/>
      <c r="F1737" s="108"/>
      <c r="G1737" s="120"/>
      <c r="H1737" s="101"/>
      <c r="I1737" s="93"/>
      <c r="J1737" s="91"/>
      <c r="L1737" s="94" t="str">
        <f t="shared" si="2"/>
        <v>No infirmation</v>
      </c>
      <c r="M1737" s="94" t="str">
        <f t="shared" si="3"/>
        <v/>
      </c>
    </row>
    <row r="1738" ht="15.75" customHeight="1">
      <c r="B1738" s="77">
        <f t="shared" si="1"/>
        <v>0</v>
      </c>
      <c r="C1738" s="67"/>
      <c r="D1738" s="78"/>
      <c r="E1738" s="101"/>
      <c r="F1738" s="108"/>
      <c r="G1738" s="120"/>
      <c r="H1738" s="101"/>
      <c r="I1738" s="93"/>
      <c r="J1738" s="91"/>
      <c r="L1738" s="94" t="str">
        <f t="shared" si="2"/>
        <v>No infirmation</v>
      </c>
      <c r="M1738" s="94" t="str">
        <f t="shared" si="3"/>
        <v/>
      </c>
    </row>
    <row r="1739" ht="15.75" customHeight="1">
      <c r="B1739" s="77">
        <f t="shared" si="1"/>
        <v>0</v>
      </c>
      <c r="C1739" s="67"/>
      <c r="D1739" s="78"/>
      <c r="E1739" s="101"/>
      <c r="F1739" s="108"/>
      <c r="G1739" s="120"/>
      <c r="H1739" s="101"/>
      <c r="I1739" s="93"/>
      <c r="J1739" s="91"/>
      <c r="L1739" s="94" t="str">
        <f t="shared" si="2"/>
        <v>No infirmation</v>
      </c>
      <c r="M1739" s="94" t="str">
        <f t="shared" si="3"/>
        <v/>
      </c>
    </row>
    <row r="1740" ht="15.75" customHeight="1">
      <c r="B1740" s="77">
        <f t="shared" si="1"/>
        <v>0</v>
      </c>
      <c r="C1740" s="67"/>
      <c r="D1740" s="78"/>
      <c r="E1740" s="101"/>
      <c r="F1740" s="108"/>
      <c r="G1740" s="120"/>
      <c r="H1740" s="101"/>
      <c r="I1740" s="93"/>
      <c r="J1740" s="91"/>
      <c r="L1740" s="94" t="str">
        <f t="shared" si="2"/>
        <v>No infirmation</v>
      </c>
      <c r="M1740" s="94" t="str">
        <f t="shared" si="3"/>
        <v/>
      </c>
    </row>
    <row r="1741" ht="15.75" customHeight="1">
      <c r="B1741" s="77">
        <f t="shared" si="1"/>
        <v>0</v>
      </c>
      <c r="C1741" s="67"/>
      <c r="D1741" s="78"/>
      <c r="E1741" s="101"/>
      <c r="F1741" s="108"/>
      <c r="G1741" s="120"/>
      <c r="H1741" s="101"/>
      <c r="I1741" s="93"/>
      <c r="J1741" s="91"/>
      <c r="L1741" s="94" t="str">
        <f t="shared" si="2"/>
        <v>No infirmation</v>
      </c>
      <c r="M1741" s="94" t="str">
        <f t="shared" si="3"/>
        <v/>
      </c>
    </row>
    <row r="1742" ht="15.75" customHeight="1">
      <c r="B1742" s="77">
        <f t="shared" si="1"/>
        <v>0</v>
      </c>
      <c r="C1742" s="67"/>
      <c r="D1742" s="78"/>
      <c r="E1742" s="101"/>
      <c r="F1742" s="108"/>
      <c r="G1742" s="120"/>
      <c r="H1742" s="101"/>
      <c r="I1742" s="93"/>
      <c r="J1742" s="91"/>
      <c r="L1742" s="94" t="str">
        <f t="shared" si="2"/>
        <v>No infirmation</v>
      </c>
      <c r="M1742" s="94" t="str">
        <f t="shared" si="3"/>
        <v/>
      </c>
    </row>
    <row r="1743" ht="15.75" customHeight="1">
      <c r="B1743" s="77">
        <f t="shared" si="1"/>
        <v>0</v>
      </c>
      <c r="C1743" s="67"/>
      <c r="D1743" s="78"/>
      <c r="E1743" s="101"/>
      <c r="F1743" s="108"/>
      <c r="G1743" s="120"/>
      <c r="H1743" s="101"/>
      <c r="I1743" s="93"/>
      <c r="J1743" s="91"/>
      <c r="L1743" s="94" t="str">
        <f t="shared" si="2"/>
        <v>No infirmation</v>
      </c>
      <c r="M1743" s="94" t="str">
        <f t="shared" si="3"/>
        <v/>
      </c>
    </row>
    <row r="1744" ht="15.75" customHeight="1">
      <c r="B1744" s="77">
        <f t="shared" si="1"/>
        <v>0</v>
      </c>
      <c r="C1744" s="67"/>
      <c r="D1744" s="78"/>
      <c r="E1744" s="101"/>
      <c r="F1744" s="108"/>
      <c r="G1744" s="120"/>
      <c r="H1744" s="101"/>
      <c r="I1744" s="93"/>
      <c r="J1744" s="91"/>
      <c r="L1744" s="94" t="str">
        <f t="shared" si="2"/>
        <v>No infirmation</v>
      </c>
      <c r="M1744" s="94" t="str">
        <f t="shared" si="3"/>
        <v/>
      </c>
    </row>
    <row r="1745" ht="15.75" customHeight="1">
      <c r="B1745" s="77">
        <f t="shared" si="1"/>
        <v>0</v>
      </c>
      <c r="C1745" s="67"/>
      <c r="D1745" s="78"/>
      <c r="E1745" s="101"/>
      <c r="F1745" s="108"/>
      <c r="G1745" s="120"/>
      <c r="H1745" s="101"/>
      <c r="I1745" s="93"/>
      <c r="J1745" s="91"/>
      <c r="L1745" s="94" t="str">
        <f t="shared" si="2"/>
        <v>No infirmation</v>
      </c>
      <c r="M1745" s="94" t="str">
        <f t="shared" si="3"/>
        <v/>
      </c>
    </row>
    <row r="1746" ht="15.75" customHeight="1">
      <c r="B1746" s="77">
        <f t="shared" si="1"/>
        <v>0</v>
      </c>
      <c r="C1746" s="67"/>
      <c r="D1746" s="78"/>
      <c r="E1746" s="101"/>
      <c r="F1746" s="108"/>
      <c r="G1746" s="120"/>
      <c r="H1746" s="101"/>
      <c r="I1746" s="93"/>
      <c r="J1746" s="91"/>
      <c r="L1746" s="94" t="str">
        <f t="shared" si="2"/>
        <v>No infirmation</v>
      </c>
      <c r="M1746" s="94" t="str">
        <f t="shared" si="3"/>
        <v/>
      </c>
    </row>
    <row r="1747" ht="15.75" customHeight="1">
      <c r="B1747" s="77">
        <f t="shared" si="1"/>
        <v>0</v>
      </c>
      <c r="C1747" s="67"/>
      <c r="D1747" s="78"/>
      <c r="E1747" s="101"/>
      <c r="F1747" s="108"/>
      <c r="G1747" s="120"/>
      <c r="H1747" s="101"/>
      <c r="I1747" s="93"/>
      <c r="J1747" s="91"/>
      <c r="L1747" s="94" t="str">
        <f t="shared" si="2"/>
        <v>No infirmation</v>
      </c>
      <c r="M1747" s="94" t="str">
        <f t="shared" si="3"/>
        <v/>
      </c>
    </row>
    <row r="1748" ht="15.75" customHeight="1">
      <c r="B1748" s="77">
        <f t="shared" si="1"/>
        <v>0</v>
      </c>
      <c r="C1748" s="67"/>
      <c r="D1748" s="78"/>
      <c r="E1748" s="101"/>
      <c r="F1748" s="108"/>
      <c r="G1748" s="120"/>
      <c r="H1748" s="101"/>
      <c r="I1748" s="93"/>
      <c r="J1748" s="91"/>
      <c r="L1748" s="94" t="str">
        <f t="shared" si="2"/>
        <v>No infirmation</v>
      </c>
      <c r="M1748" s="94" t="str">
        <f t="shared" si="3"/>
        <v/>
      </c>
    </row>
    <row r="1749" ht="15.75" customHeight="1">
      <c r="B1749" s="77">
        <f t="shared" si="1"/>
        <v>0</v>
      </c>
      <c r="C1749" s="67"/>
      <c r="D1749" s="78"/>
      <c r="E1749" s="101"/>
      <c r="F1749" s="108"/>
      <c r="G1749" s="120"/>
      <c r="H1749" s="101"/>
      <c r="I1749" s="93"/>
      <c r="J1749" s="91"/>
      <c r="L1749" s="94" t="str">
        <f t="shared" si="2"/>
        <v>No infirmation</v>
      </c>
      <c r="M1749" s="94" t="str">
        <f t="shared" si="3"/>
        <v/>
      </c>
    </row>
    <row r="1750" ht="15.75" customHeight="1">
      <c r="B1750" s="77">
        <f t="shared" si="1"/>
        <v>0</v>
      </c>
      <c r="C1750" s="67"/>
      <c r="D1750" s="78"/>
      <c r="E1750" s="101"/>
      <c r="F1750" s="108"/>
      <c r="G1750" s="120"/>
      <c r="H1750" s="101"/>
      <c r="I1750" s="93"/>
      <c r="J1750" s="91"/>
      <c r="L1750" s="94" t="str">
        <f t="shared" si="2"/>
        <v>No infirmation</v>
      </c>
      <c r="M1750" s="94" t="str">
        <f t="shared" si="3"/>
        <v/>
      </c>
    </row>
    <row r="1751" ht="15.75" customHeight="1">
      <c r="B1751" s="77">
        <f t="shared" si="1"/>
        <v>0</v>
      </c>
      <c r="C1751" s="67"/>
      <c r="D1751" s="78"/>
      <c r="E1751" s="101"/>
      <c r="F1751" s="108"/>
      <c r="G1751" s="120"/>
      <c r="H1751" s="101"/>
      <c r="I1751" s="93"/>
      <c r="J1751" s="91"/>
      <c r="L1751" s="94" t="str">
        <f t="shared" si="2"/>
        <v>No infirmation</v>
      </c>
      <c r="M1751" s="94" t="str">
        <f t="shared" si="3"/>
        <v/>
      </c>
    </row>
    <row r="1752" ht="15.75" customHeight="1">
      <c r="B1752" s="77">
        <f t="shared" si="1"/>
        <v>0</v>
      </c>
      <c r="C1752" s="67"/>
      <c r="D1752" s="78"/>
      <c r="E1752" s="101"/>
      <c r="F1752" s="108"/>
      <c r="G1752" s="120"/>
      <c r="H1752" s="101"/>
      <c r="I1752" s="93"/>
      <c r="J1752" s="91"/>
      <c r="L1752" s="94" t="str">
        <f t="shared" si="2"/>
        <v>No infirmation</v>
      </c>
      <c r="M1752" s="94" t="str">
        <f t="shared" si="3"/>
        <v/>
      </c>
    </row>
    <row r="1753" ht="15.75" customHeight="1">
      <c r="B1753" s="77">
        <f t="shared" si="1"/>
        <v>0</v>
      </c>
      <c r="C1753" s="67"/>
      <c r="D1753" s="78"/>
      <c r="E1753" s="101"/>
      <c r="F1753" s="108"/>
      <c r="G1753" s="120"/>
      <c r="H1753" s="101"/>
      <c r="I1753" s="93"/>
      <c r="J1753" s="91"/>
      <c r="L1753" s="94" t="str">
        <f t="shared" si="2"/>
        <v>No infirmation</v>
      </c>
      <c r="M1753" s="94" t="str">
        <f t="shared" si="3"/>
        <v/>
      </c>
    </row>
    <row r="1754" ht="15.75" customHeight="1">
      <c r="B1754" s="77">
        <f t="shared" si="1"/>
        <v>0</v>
      </c>
      <c r="C1754" s="67"/>
      <c r="D1754" s="78"/>
      <c r="E1754" s="101"/>
      <c r="F1754" s="108"/>
      <c r="G1754" s="120"/>
      <c r="H1754" s="101"/>
      <c r="I1754" s="93"/>
      <c r="J1754" s="91"/>
      <c r="L1754" s="94" t="str">
        <f t="shared" si="2"/>
        <v>No infirmation</v>
      </c>
      <c r="M1754" s="94" t="str">
        <f t="shared" si="3"/>
        <v/>
      </c>
    </row>
    <row r="1755" ht="15.75" customHeight="1">
      <c r="B1755" s="77">
        <f t="shared" si="1"/>
        <v>0</v>
      </c>
      <c r="C1755" s="67"/>
      <c r="D1755" s="78"/>
      <c r="E1755" s="101"/>
      <c r="F1755" s="108"/>
      <c r="G1755" s="120"/>
      <c r="H1755" s="101"/>
      <c r="I1755" s="93"/>
      <c r="J1755" s="91"/>
      <c r="L1755" s="94" t="str">
        <f t="shared" si="2"/>
        <v>No infirmation</v>
      </c>
      <c r="M1755" s="94" t="str">
        <f t="shared" si="3"/>
        <v/>
      </c>
    </row>
    <row r="1756" ht="15.75" customHeight="1">
      <c r="B1756" s="77">
        <f t="shared" si="1"/>
        <v>0</v>
      </c>
      <c r="C1756" s="67"/>
      <c r="D1756" s="78"/>
      <c r="E1756" s="101"/>
      <c r="F1756" s="108"/>
      <c r="G1756" s="120"/>
      <c r="H1756" s="101"/>
      <c r="I1756" s="93"/>
      <c r="J1756" s="91"/>
      <c r="L1756" s="94" t="str">
        <f t="shared" si="2"/>
        <v>No infirmation</v>
      </c>
      <c r="M1756" s="94" t="str">
        <f t="shared" si="3"/>
        <v/>
      </c>
    </row>
    <row r="1757" ht="15.75" customHeight="1">
      <c r="B1757" s="77">
        <f t="shared" si="1"/>
        <v>0</v>
      </c>
      <c r="C1757" s="67"/>
      <c r="D1757" s="78"/>
      <c r="E1757" s="101"/>
      <c r="F1757" s="108"/>
      <c r="G1757" s="120"/>
      <c r="H1757" s="101"/>
      <c r="I1757" s="93"/>
      <c r="J1757" s="91"/>
      <c r="L1757" s="94" t="str">
        <f t="shared" si="2"/>
        <v>No infirmation</v>
      </c>
      <c r="M1757" s="94" t="str">
        <f t="shared" si="3"/>
        <v/>
      </c>
    </row>
    <row r="1758" ht="15.75" customHeight="1">
      <c r="B1758" s="77">
        <f t="shared" si="1"/>
        <v>0</v>
      </c>
      <c r="C1758" s="67"/>
      <c r="D1758" s="78"/>
      <c r="E1758" s="101"/>
      <c r="F1758" s="108"/>
      <c r="G1758" s="120"/>
      <c r="H1758" s="101"/>
      <c r="I1758" s="93"/>
      <c r="J1758" s="91"/>
      <c r="L1758" s="94" t="str">
        <f t="shared" si="2"/>
        <v>No infirmation</v>
      </c>
      <c r="M1758" s="94" t="str">
        <f t="shared" si="3"/>
        <v/>
      </c>
    </row>
    <row r="1759" ht="15.75" customHeight="1">
      <c r="B1759" s="77">
        <f t="shared" si="1"/>
        <v>0</v>
      </c>
      <c r="C1759" s="67"/>
      <c r="D1759" s="78"/>
      <c r="E1759" s="101"/>
      <c r="F1759" s="108"/>
      <c r="G1759" s="120"/>
      <c r="H1759" s="101"/>
      <c r="I1759" s="93"/>
      <c r="J1759" s="91"/>
      <c r="L1759" s="94" t="str">
        <f t="shared" si="2"/>
        <v>No infirmation</v>
      </c>
      <c r="M1759" s="94" t="str">
        <f t="shared" si="3"/>
        <v/>
      </c>
    </row>
    <row r="1760" ht="15.75" customHeight="1">
      <c r="B1760" s="77">
        <f t="shared" si="1"/>
        <v>0</v>
      </c>
      <c r="C1760" s="67"/>
      <c r="D1760" s="78"/>
      <c r="E1760" s="101"/>
      <c r="F1760" s="108"/>
      <c r="G1760" s="120"/>
      <c r="H1760" s="101"/>
      <c r="I1760" s="93"/>
      <c r="J1760" s="91"/>
      <c r="L1760" s="94" t="str">
        <f t="shared" si="2"/>
        <v>No infirmation</v>
      </c>
      <c r="M1760" s="94" t="str">
        <f t="shared" si="3"/>
        <v/>
      </c>
    </row>
    <row r="1761" ht="15.75" customHeight="1">
      <c r="B1761" s="77">
        <f t="shared" si="1"/>
        <v>0</v>
      </c>
      <c r="C1761" s="67"/>
      <c r="D1761" s="78"/>
      <c r="E1761" s="101"/>
      <c r="F1761" s="108"/>
      <c r="G1761" s="120"/>
      <c r="H1761" s="101"/>
      <c r="I1761" s="93"/>
      <c r="J1761" s="91"/>
      <c r="L1761" s="94" t="str">
        <f t="shared" si="2"/>
        <v>No infirmation</v>
      </c>
      <c r="M1761" s="94" t="str">
        <f t="shared" si="3"/>
        <v/>
      </c>
    </row>
    <row r="1762" ht="15.75" customHeight="1">
      <c r="B1762" s="77">
        <f t="shared" si="1"/>
        <v>0</v>
      </c>
      <c r="C1762" s="67"/>
      <c r="D1762" s="78"/>
      <c r="E1762" s="101"/>
      <c r="F1762" s="108"/>
      <c r="G1762" s="120"/>
      <c r="H1762" s="101"/>
      <c r="I1762" s="93"/>
      <c r="J1762" s="91"/>
      <c r="L1762" s="94" t="str">
        <f t="shared" si="2"/>
        <v>No infirmation</v>
      </c>
      <c r="M1762" s="94" t="str">
        <f t="shared" si="3"/>
        <v/>
      </c>
    </row>
    <row r="1763" ht="15.75" customHeight="1">
      <c r="B1763" s="77">
        <f t="shared" si="1"/>
        <v>0</v>
      </c>
      <c r="C1763" s="67"/>
      <c r="D1763" s="78"/>
      <c r="E1763" s="101"/>
      <c r="F1763" s="108"/>
      <c r="G1763" s="120"/>
      <c r="H1763" s="101"/>
      <c r="I1763" s="93"/>
      <c r="J1763" s="91"/>
      <c r="L1763" s="94" t="str">
        <f t="shared" si="2"/>
        <v>No infirmation</v>
      </c>
      <c r="M1763" s="94" t="str">
        <f t="shared" si="3"/>
        <v/>
      </c>
    </row>
    <row r="1764" ht="15.75" customHeight="1">
      <c r="B1764" s="77">
        <f t="shared" si="1"/>
        <v>0</v>
      </c>
      <c r="C1764" s="67"/>
      <c r="D1764" s="78"/>
      <c r="E1764" s="101"/>
      <c r="F1764" s="108"/>
      <c r="G1764" s="120"/>
      <c r="H1764" s="101"/>
      <c r="I1764" s="93"/>
      <c r="J1764" s="91"/>
      <c r="L1764" s="94" t="str">
        <f t="shared" si="2"/>
        <v>No infirmation</v>
      </c>
      <c r="M1764" s="94" t="str">
        <f t="shared" si="3"/>
        <v/>
      </c>
    </row>
    <row r="1765" ht="15.75" customHeight="1">
      <c r="B1765" s="77">
        <f t="shared" si="1"/>
        <v>0</v>
      </c>
      <c r="C1765" s="67"/>
      <c r="D1765" s="78"/>
      <c r="E1765" s="101"/>
      <c r="F1765" s="108"/>
      <c r="G1765" s="120"/>
      <c r="H1765" s="101"/>
      <c r="I1765" s="93"/>
      <c r="J1765" s="91"/>
      <c r="L1765" s="94" t="str">
        <f t="shared" si="2"/>
        <v>No infirmation</v>
      </c>
      <c r="M1765" s="94" t="str">
        <f t="shared" si="3"/>
        <v/>
      </c>
    </row>
    <row r="1766" ht="15.75" customHeight="1">
      <c r="B1766" s="77">
        <f t="shared" si="1"/>
        <v>0</v>
      </c>
      <c r="C1766" s="67"/>
      <c r="D1766" s="78"/>
      <c r="E1766" s="101"/>
      <c r="F1766" s="108"/>
      <c r="G1766" s="120"/>
      <c r="H1766" s="101"/>
      <c r="I1766" s="93"/>
      <c r="J1766" s="91"/>
      <c r="L1766" s="94" t="str">
        <f t="shared" si="2"/>
        <v>No infirmation</v>
      </c>
      <c r="M1766" s="94" t="str">
        <f t="shared" si="3"/>
        <v/>
      </c>
    </row>
    <row r="1767" ht="15.75" customHeight="1">
      <c r="B1767" s="77">
        <f t="shared" si="1"/>
        <v>0</v>
      </c>
      <c r="C1767" s="67"/>
      <c r="D1767" s="78"/>
      <c r="E1767" s="101"/>
      <c r="F1767" s="108"/>
      <c r="G1767" s="120"/>
      <c r="H1767" s="101"/>
      <c r="I1767" s="93"/>
      <c r="J1767" s="91"/>
      <c r="L1767" s="94" t="str">
        <f t="shared" si="2"/>
        <v>No infirmation</v>
      </c>
      <c r="M1767" s="94" t="str">
        <f t="shared" si="3"/>
        <v/>
      </c>
    </row>
    <row r="1768" ht="15.75" customHeight="1">
      <c r="B1768" s="77">
        <f t="shared" si="1"/>
        <v>0</v>
      </c>
      <c r="C1768" s="67"/>
      <c r="D1768" s="78"/>
      <c r="E1768" s="101"/>
      <c r="F1768" s="108"/>
      <c r="G1768" s="120"/>
      <c r="H1768" s="101"/>
      <c r="I1768" s="93"/>
      <c r="J1768" s="91"/>
      <c r="L1768" s="94" t="str">
        <f t="shared" si="2"/>
        <v>No infirmation</v>
      </c>
      <c r="M1768" s="94" t="str">
        <f t="shared" si="3"/>
        <v/>
      </c>
    </row>
    <row r="1769" ht="15.75" customHeight="1">
      <c r="B1769" s="77">
        <f t="shared" si="1"/>
        <v>0</v>
      </c>
      <c r="C1769" s="67"/>
      <c r="D1769" s="78"/>
      <c r="E1769" s="101"/>
      <c r="F1769" s="108"/>
      <c r="G1769" s="120"/>
      <c r="H1769" s="101"/>
      <c r="I1769" s="93"/>
      <c r="J1769" s="91"/>
      <c r="L1769" s="94" t="str">
        <f t="shared" si="2"/>
        <v>No infirmation</v>
      </c>
      <c r="M1769" s="94" t="str">
        <f t="shared" si="3"/>
        <v/>
      </c>
    </row>
    <row r="1770" ht="15.75" customHeight="1">
      <c r="B1770" s="77">
        <f t="shared" si="1"/>
        <v>0</v>
      </c>
      <c r="C1770" s="67"/>
      <c r="D1770" s="78"/>
      <c r="E1770" s="101"/>
      <c r="F1770" s="108"/>
      <c r="G1770" s="120"/>
      <c r="H1770" s="101"/>
      <c r="I1770" s="93"/>
      <c r="J1770" s="91"/>
      <c r="L1770" s="94" t="str">
        <f t="shared" si="2"/>
        <v>No infirmation</v>
      </c>
      <c r="M1770" s="94" t="str">
        <f t="shared" si="3"/>
        <v/>
      </c>
    </row>
    <row r="1771" ht="15.75" customHeight="1">
      <c r="B1771" s="77">
        <f t="shared" si="1"/>
        <v>0</v>
      </c>
      <c r="C1771" s="67"/>
      <c r="D1771" s="78"/>
      <c r="E1771" s="101"/>
      <c r="F1771" s="108"/>
      <c r="G1771" s="120"/>
      <c r="H1771" s="101"/>
      <c r="I1771" s="93"/>
      <c r="J1771" s="91"/>
      <c r="L1771" s="94" t="str">
        <f t="shared" si="2"/>
        <v>No infirmation</v>
      </c>
      <c r="M1771" s="94" t="str">
        <f t="shared" si="3"/>
        <v/>
      </c>
    </row>
    <row r="1772" ht="15.75" customHeight="1">
      <c r="B1772" s="77">
        <f t="shared" si="1"/>
        <v>0</v>
      </c>
      <c r="C1772" s="67"/>
      <c r="D1772" s="78"/>
      <c r="E1772" s="101"/>
      <c r="F1772" s="108"/>
      <c r="G1772" s="120"/>
      <c r="H1772" s="101"/>
      <c r="I1772" s="93"/>
      <c r="J1772" s="91"/>
      <c r="L1772" s="94" t="str">
        <f t="shared" si="2"/>
        <v>No infirmation</v>
      </c>
      <c r="M1772" s="94" t="str">
        <f t="shared" si="3"/>
        <v/>
      </c>
    </row>
    <row r="1773" ht="15.75" customHeight="1">
      <c r="B1773" s="77">
        <f t="shared" si="1"/>
        <v>0</v>
      </c>
      <c r="C1773" s="67"/>
      <c r="D1773" s="78"/>
      <c r="E1773" s="101"/>
      <c r="F1773" s="108"/>
      <c r="G1773" s="120"/>
      <c r="H1773" s="101"/>
      <c r="I1773" s="93"/>
      <c r="J1773" s="91"/>
      <c r="L1773" s="94" t="str">
        <f t="shared" si="2"/>
        <v>No infirmation</v>
      </c>
      <c r="M1773" s="94" t="str">
        <f t="shared" si="3"/>
        <v/>
      </c>
    </row>
    <row r="1774" ht="15.75" customHeight="1">
      <c r="B1774" s="77">
        <f t="shared" si="1"/>
        <v>0</v>
      </c>
      <c r="C1774" s="67"/>
      <c r="D1774" s="78"/>
      <c r="E1774" s="101"/>
      <c r="F1774" s="108"/>
      <c r="G1774" s="120"/>
      <c r="H1774" s="101"/>
      <c r="I1774" s="93"/>
      <c r="J1774" s="91"/>
      <c r="L1774" s="94" t="str">
        <f t="shared" si="2"/>
        <v>No infirmation</v>
      </c>
      <c r="M1774" s="94" t="str">
        <f t="shared" si="3"/>
        <v/>
      </c>
    </row>
    <row r="1775" ht="15.75" customHeight="1">
      <c r="B1775" s="77">
        <f t="shared" si="1"/>
        <v>0</v>
      </c>
      <c r="C1775" s="67"/>
      <c r="D1775" s="78"/>
      <c r="E1775" s="101"/>
      <c r="F1775" s="108"/>
      <c r="G1775" s="120"/>
      <c r="H1775" s="101"/>
      <c r="I1775" s="93"/>
      <c r="J1775" s="91"/>
      <c r="L1775" s="94" t="str">
        <f t="shared" si="2"/>
        <v>No infirmation</v>
      </c>
      <c r="M1775" s="94" t="str">
        <f t="shared" si="3"/>
        <v/>
      </c>
    </row>
    <row r="1776" ht="15.75" customHeight="1">
      <c r="B1776" s="77">
        <f t="shared" si="1"/>
        <v>0</v>
      </c>
      <c r="C1776" s="67"/>
      <c r="D1776" s="78"/>
      <c r="E1776" s="101"/>
      <c r="F1776" s="108"/>
      <c r="G1776" s="120"/>
      <c r="H1776" s="101"/>
      <c r="I1776" s="93"/>
      <c r="J1776" s="91"/>
      <c r="L1776" s="94" t="str">
        <f t="shared" si="2"/>
        <v>No infirmation</v>
      </c>
      <c r="M1776" s="94" t="str">
        <f t="shared" si="3"/>
        <v/>
      </c>
    </row>
    <row r="1777" ht="15.75" customHeight="1">
      <c r="B1777" s="77">
        <f t="shared" si="1"/>
        <v>0</v>
      </c>
      <c r="C1777" s="67"/>
      <c r="D1777" s="78"/>
      <c r="E1777" s="101"/>
      <c r="F1777" s="108"/>
      <c r="G1777" s="120"/>
      <c r="H1777" s="101"/>
      <c r="I1777" s="93"/>
      <c r="J1777" s="91"/>
      <c r="L1777" s="94" t="str">
        <f t="shared" si="2"/>
        <v>No infirmation</v>
      </c>
      <c r="M1777" s="94" t="str">
        <f t="shared" si="3"/>
        <v/>
      </c>
    </row>
    <row r="1778" ht="15.75" customHeight="1">
      <c r="B1778" s="77">
        <f t="shared" si="1"/>
        <v>0</v>
      </c>
      <c r="C1778" s="67"/>
      <c r="D1778" s="78"/>
      <c r="E1778" s="101"/>
      <c r="F1778" s="108"/>
      <c r="G1778" s="120"/>
      <c r="H1778" s="101"/>
      <c r="I1778" s="93"/>
      <c r="J1778" s="91"/>
      <c r="L1778" s="94" t="str">
        <f t="shared" si="2"/>
        <v>No infirmation</v>
      </c>
      <c r="M1778" s="94" t="str">
        <f t="shared" si="3"/>
        <v/>
      </c>
    </row>
    <row r="1779" ht="15.75" customHeight="1">
      <c r="B1779" s="77">
        <f t="shared" si="1"/>
        <v>0</v>
      </c>
      <c r="C1779" s="67"/>
      <c r="D1779" s="78"/>
      <c r="E1779" s="101"/>
      <c r="F1779" s="108"/>
      <c r="G1779" s="120"/>
      <c r="H1779" s="101"/>
      <c r="I1779" s="93"/>
      <c r="J1779" s="91"/>
      <c r="L1779" s="94" t="str">
        <f t="shared" si="2"/>
        <v>No infirmation</v>
      </c>
      <c r="M1779" s="94" t="str">
        <f t="shared" si="3"/>
        <v/>
      </c>
    </row>
    <row r="1780" ht="15.75" customHeight="1">
      <c r="B1780" s="77">
        <f t="shared" si="1"/>
        <v>0</v>
      </c>
      <c r="C1780" s="67"/>
      <c r="D1780" s="78"/>
      <c r="E1780" s="101"/>
      <c r="F1780" s="108"/>
      <c r="G1780" s="120"/>
      <c r="H1780" s="101"/>
      <c r="I1780" s="93"/>
      <c r="J1780" s="91"/>
      <c r="L1780" s="94" t="str">
        <f t="shared" si="2"/>
        <v>No infirmation</v>
      </c>
      <c r="M1780" s="94" t="str">
        <f t="shared" si="3"/>
        <v/>
      </c>
    </row>
    <row r="1781" ht="15.75" customHeight="1">
      <c r="B1781" s="77">
        <f t="shared" si="1"/>
        <v>0</v>
      </c>
      <c r="C1781" s="67"/>
      <c r="D1781" s="78"/>
      <c r="E1781" s="101"/>
      <c r="F1781" s="108"/>
      <c r="G1781" s="120"/>
      <c r="H1781" s="101"/>
      <c r="I1781" s="93"/>
      <c r="J1781" s="91"/>
      <c r="L1781" s="94" t="str">
        <f t="shared" si="2"/>
        <v>No infirmation</v>
      </c>
      <c r="M1781" s="94" t="str">
        <f t="shared" si="3"/>
        <v/>
      </c>
    </row>
    <row r="1782" ht="15.75" customHeight="1">
      <c r="B1782" s="77">
        <f t="shared" si="1"/>
        <v>0</v>
      </c>
      <c r="C1782" s="67"/>
      <c r="D1782" s="78"/>
      <c r="E1782" s="101"/>
      <c r="F1782" s="108"/>
      <c r="G1782" s="120"/>
      <c r="H1782" s="101"/>
      <c r="I1782" s="93"/>
      <c r="J1782" s="91"/>
      <c r="L1782" s="94" t="str">
        <f t="shared" si="2"/>
        <v>No infirmation</v>
      </c>
      <c r="M1782" s="94" t="str">
        <f t="shared" si="3"/>
        <v/>
      </c>
    </row>
    <row r="1783" ht="15.75" customHeight="1">
      <c r="B1783" s="77">
        <f t="shared" si="1"/>
        <v>0</v>
      </c>
      <c r="C1783" s="67"/>
      <c r="D1783" s="78"/>
      <c r="E1783" s="101"/>
      <c r="F1783" s="108"/>
      <c r="G1783" s="120"/>
      <c r="H1783" s="101"/>
      <c r="I1783" s="93"/>
      <c r="J1783" s="91"/>
      <c r="L1783" s="94" t="str">
        <f t="shared" si="2"/>
        <v>No infirmation</v>
      </c>
      <c r="M1783" s="94" t="str">
        <f t="shared" si="3"/>
        <v/>
      </c>
    </row>
    <row r="1784" ht="15.75" customHeight="1">
      <c r="B1784" s="77">
        <f t="shared" si="1"/>
        <v>0</v>
      </c>
      <c r="C1784" s="67"/>
      <c r="D1784" s="78"/>
      <c r="E1784" s="101"/>
      <c r="F1784" s="108"/>
      <c r="G1784" s="120"/>
      <c r="H1784" s="101"/>
      <c r="I1784" s="93"/>
      <c r="J1784" s="91"/>
      <c r="L1784" s="94" t="str">
        <f t="shared" si="2"/>
        <v>No infirmation</v>
      </c>
      <c r="M1784" s="94" t="str">
        <f t="shared" si="3"/>
        <v/>
      </c>
    </row>
    <row r="1785" ht="15.75" customHeight="1">
      <c r="B1785" s="77">
        <f t="shared" si="1"/>
        <v>0</v>
      </c>
      <c r="C1785" s="67"/>
      <c r="D1785" s="78"/>
      <c r="E1785" s="101"/>
      <c r="F1785" s="108"/>
      <c r="G1785" s="120"/>
      <c r="H1785" s="101"/>
      <c r="I1785" s="93"/>
      <c r="J1785" s="91"/>
      <c r="L1785" s="94" t="str">
        <f t="shared" si="2"/>
        <v>No infirmation</v>
      </c>
      <c r="M1785" s="94" t="str">
        <f t="shared" si="3"/>
        <v/>
      </c>
    </row>
    <row r="1786" ht="15.75" customHeight="1">
      <c r="B1786" s="77">
        <f t="shared" si="1"/>
        <v>0</v>
      </c>
      <c r="C1786" s="67"/>
      <c r="D1786" s="78"/>
      <c r="E1786" s="101"/>
      <c r="F1786" s="108"/>
      <c r="G1786" s="120"/>
      <c r="H1786" s="101"/>
      <c r="I1786" s="93"/>
      <c r="J1786" s="91"/>
      <c r="L1786" s="94" t="str">
        <f t="shared" si="2"/>
        <v>No infirmation</v>
      </c>
      <c r="M1786" s="94" t="str">
        <f t="shared" si="3"/>
        <v/>
      </c>
    </row>
    <row r="1787" ht="15.75" customHeight="1">
      <c r="B1787" s="77">
        <f t="shared" si="1"/>
        <v>0</v>
      </c>
      <c r="C1787" s="67"/>
      <c r="D1787" s="78"/>
      <c r="E1787" s="101"/>
      <c r="F1787" s="108"/>
      <c r="G1787" s="120"/>
      <c r="H1787" s="101"/>
      <c r="I1787" s="93"/>
      <c r="J1787" s="91"/>
      <c r="L1787" s="94" t="str">
        <f t="shared" si="2"/>
        <v>No infirmation</v>
      </c>
      <c r="M1787" s="94" t="str">
        <f t="shared" si="3"/>
        <v/>
      </c>
    </row>
    <row r="1788" ht="15.75" customHeight="1">
      <c r="B1788" s="77">
        <f t="shared" si="1"/>
        <v>0</v>
      </c>
      <c r="C1788" s="67"/>
      <c r="D1788" s="78"/>
      <c r="E1788" s="101"/>
      <c r="F1788" s="108"/>
      <c r="G1788" s="120"/>
      <c r="H1788" s="101"/>
      <c r="I1788" s="93"/>
      <c r="J1788" s="91"/>
      <c r="L1788" s="94" t="str">
        <f t="shared" si="2"/>
        <v>No infirmation</v>
      </c>
      <c r="M1788" s="94" t="str">
        <f t="shared" si="3"/>
        <v/>
      </c>
    </row>
    <row r="1789" ht="15.75" customHeight="1">
      <c r="B1789" s="77">
        <f t="shared" si="1"/>
        <v>0</v>
      </c>
      <c r="C1789" s="67"/>
      <c r="D1789" s="78"/>
      <c r="E1789" s="101"/>
      <c r="F1789" s="108"/>
      <c r="G1789" s="120"/>
      <c r="H1789" s="101"/>
      <c r="I1789" s="93"/>
      <c r="J1789" s="91"/>
      <c r="L1789" s="94" t="str">
        <f t="shared" si="2"/>
        <v>No infirmation</v>
      </c>
      <c r="M1789" s="94" t="str">
        <f t="shared" si="3"/>
        <v/>
      </c>
    </row>
    <row r="1790" ht="15.75" customHeight="1">
      <c r="B1790" s="77">
        <f t="shared" si="1"/>
        <v>0</v>
      </c>
      <c r="C1790" s="67"/>
      <c r="D1790" s="78"/>
      <c r="E1790" s="101"/>
      <c r="F1790" s="108"/>
      <c r="G1790" s="120"/>
      <c r="H1790" s="101"/>
      <c r="I1790" s="93"/>
      <c r="J1790" s="91"/>
      <c r="L1790" s="94" t="str">
        <f t="shared" si="2"/>
        <v>No infirmation</v>
      </c>
      <c r="M1790" s="94" t="str">
        <f t="shared" si="3"/>
        <v/>
      </c>
    </row>
    <row r="1791" ht="15.75" customHeight="1">
      <c r="B1791" s="77">
        <f t="shared" si="1"/>
        <v>0</v>
      </c>
      <c r="C1791" s="67"/>
      <c r="D1791" s="78"/>
      <c r="E1791" s="101"/>
      <c r="F1791" s="108"/>
      <c r="G1791" s="120"/>
      <c r="H1791" s="101"/>
      <c r="I1791" s="93"/>
      <c r="J1791" s="91"/>
      <c r="L1791" s="94" t="str">
        <f t="shared" si="2"/>
        <v>No infirmation</v>
      </c>
      <c r="M1791" s="94" t="str">
        <f t="shared" si="3"/>
        <v/>
      </c>
    </row>
    <row r="1792" ht="15.75" customHeight="1">
      <c r="B1792" s="77">
        <f t="shared" si="1"/>
        <v>0</v>
      </c>
      <c r="C1792" s="67"/>
      <c r="D1792" s="78"/>
      <c r="E1792" s="101"/>
      <c r="F1792" s="108"/>
      <c r="G1792" s="120"/>
      <c r="H1792" s="101"/>
      <c r="I1792" s="93"/>
      <c r="J1792" s="91"/>
      <c r="L1792" s="94" t="str">
        <f t="shared" si="2"/>
        <v>No infirmation</v>
      </c>
      <c r="M1792" s="94" t="str">
        <f t="shared" si="3"/>
        <v/>
      </c>
    </row>
    <row r="1793" ht="15.75" customHeight="1">
      <c r="B1793" s="77">
        <f t="shared" si="1"/>
        <v>0</v>
      </c>
      <c r="C1793" s="67"/>
      <c r="D1793" s="78"/>
      <c r="E1793" s="101"/>
      <c r="F1793" s="108"/>
      <c r="G1793" s="120"/>
      <c r="H1793" s="101"/>
      <c r="I1793" s="93"/>
      <c r="J1793" s="91"/>
      <c r="L1793" s="94" t="str">
        <f t="shared" si="2"/>
        <v>No infirmation</v>
      </c>
      <c r="M1793" s="94" t="str">
        <f t="shared" si="3"/>
        <v/>
      </c>
    </row>
    <row r="1794" ht="15.75" customHeight="1">
      <c r="B1794" s="77">
        <f t="shared" si="1"/>
        <v>0</v>
      </c>
      <c r="C1794" s="67"/>
      <c r="D1794" s="78"/>
      <c r="E1794" s="101"/>
      <c r="F1794" s="108"/>
      <c r="G1794" s="120"/>
      <c r="H1794" s="101"/>
      <c r="I1794" s="93"/>
      <c r="J1794" s="91"/>
      <c r="L1794" s="94" t="str">
        <f t="shared" si="2"/>
        <v>No infirmation</v>
      </c>
      <c r="M1794" s="94" t="str">
        <f t="shared" si="3"/>
        <v/>
      </c>
    </row>
    <row r="1795" ht="15.75" customHeight="1">
      <c r="B1795" s="77">
        <f t="shared" si="1"/>
        <v>0</v>
      </c>
      <c r="C1795" s="67"/>
      <c r="D1795" s="78"/>
      <c r="E1795" s="101"/>
      <c r="F1795" s="108"/>
      <c r="G1795" s="120"/>
      <c r="H1795" s="101"/>
      <c r="I1795" s="93"/>
      <c r="J1795" s="91"/>
      <c r="L1795" s="94" t="str">
        <f t="shared" si="2"/>
        <v>No infirmation</v>
      </c>
      <c r="M1795" s="94" t="str">
        <f t="shared" si="3"/>
        <v/>
      </c>
    </row>
    <row r="1796" ht="15.75" customHeight="1">
      <c r="B1796" s="77">
        <f t="shared" si="1"/>
        <v>0</v>
      </c>
      <c r="C1796" s="67"/>
      <c r="D1796" s="78"/>
      <c r="E1796" s="101"/>
      <c r="F1796" s="108"/>
      <c r="G1796" s="120"/>
      <c r="H1796" s="101"/>
      <c r="I1796" s="93"/>
      <c r="J1796" s="91"/>
      <c r="L1796" s="94" t="str">
        <f t="shared" si="2"/>
        <v>No infirmation</v>
      </c>
      <c r="M1796" s="94" t="str">
        <f t="shared" si="3"/>
        <v/>
      </c>
    </row>
    <row r="1797" ht="15.75" customHeight="1">
      <c r="B1797" s="77">
        <f t="shared" si="1"/>
        <v>0</v>
      </c>
      <c r="C1797" s="67"/>
      <c r="D1797" s="78"/>
      <c r="E1797" s="101"/>
      <c r="F1797" s="108"/>
      <c r="G1797" s="120"/>
      <c r="H1797" s="101"/>
      <c r="I1797" s="93"/>
      <c r="J1797" s="91"/>
      <c r="L1797" s="94" t="str">
        <f t="shared" si="2"/>
        <v>No infirmation</v>
      </c>
      <c r="M1797" s="94" t="str">
        <f t="shared" si="3"/>
        <v/>
      </c>
    </row>
    <row r="1798" ht="15.75" customHeight="1">
      <c r="B1798" s="77">
        <f t="shared" si="1"/>
        <v>0</v>
      </c>
      <c r="C1798" s="67"/>
      <c r="D1798" s="78"/>
      <c r="E1798" s="101"/>
      <c r="F1798" s="108"/>
      <c r="G1798" s="120"/>
      <c r="H1798" s="101"/>
      <c r="I1798" s="93"/>
      <c r="J1798" s="91"/>
      <c r="L1798" s="94" t="str">
        <f t="shared" si="2"/>
        <v>No infirmation</v>
      </c>
      <c r="M1798" s="94" t="str">
        <f t="shared" si="3"/>
        <v/>
      </c>
    </row>
    <row r="1799" ht="15.75" customHeight="1">
      <c r="B1799" s="77">
        <f t="shared" si="1"/>
        <v>0</v>
      </c>
      <c r="C1799" s="67"/>
      <c r="D1799" s="78"/>
      <c r="E1799" s="101"/>
      <c r="F1799" s="108"/>
      <c r="G1799" s="120"/>
      <c r="H1799" s="101"/>
      <c r="I1799" s="93"/>
      <c r="J1799" s="91"/>
      <c r="L1799" s="94" t="str">
        <f t="shared" si="2"/>
        <v>No infirmation</v>
      </c>
      <c r="M1799" s="94" t="str">
        <f t="shared" si="3"/>
        <v/>
      </c>
    </row>
    <row r="1800" ht="15.75" customHeight="1">
      <c r="B1800" s="77">
        <f t="shared" si="1"/>
        <v>0</v>
      </c>
      <c r="C1800" s="67"/>
      <c r="D1800" s="78"/>
      <c r="E1800" s="101"/>
      <c r="F1800" s="108"/>
      <c r="G1800" s="120"/>
      <c r="H1800" s="101"/>
      <c r="I1800" s="93"/>
      <c r="J1800" s="91"/>
      <c r="L1800" s="94" t="str">
        <f t="shared" si="2"/>
        <v>No infirmation</v>
      </c>
      <c r="M1800" s="94" t="str">
        <f t="shared" si="3"/>
        <v/>
      </c>
    </row>
    <row r="1801" ht="15.75" customHeight="1">
      <c r="B1801" s="77">
        <f t="shared" si="1"/>
        <v>0</v>
      </c>
      <c r="C1801" s="67"/>
      <c r="D1801" s="78"/>
      <c r="E1801" s="101"/>
      <c r="F1801" s="108"/>
      <c r="G1801" s="120"/>
      <c r="H1801" s="101"/>
      <c r="I1801" s="93"/>
      <c r="J1801" s="91"/>
      <c r="L1801" s="94" t="str">
        <f t="shared" si="2"/>
        <v>No infirmation</v>
      </c>
      <c r="M1801" s="94" t="str">
        <f t="shared" si="3"/>
        <v/>
      </c>
    </row>
    <row r="1802" ht="15.75" customHeight="1">
      <c r="B1802" s="77">
        <f t="shared" si="1"/>
        <v>0</v>
      </c>
      <c r="C1802" s="67"/>
      <c r="D1802" s="78"/>
      <c r="E1802" s="101"/>
      <c r="F1802" s="108"/>
      <c r="G1802" s="120"/>
      <c r="H1802" s="101"/>
      <c r="I1802" s="93"/>
      <c r="J1802" s="91"/>
      <c r="L1802" s="94" t="str">
        <f t="shared" si="2"/>
        <v>No infirmation</v>
      </c>
      <c r="M1802" s="94" t="str">
        <f t="shared" si="3"/>
        <v/>
      </c>
    </row>
    <row r="1803" ht="15.75" customHeight="1">
      <c r="B1803" s="77">
        <f t="shared" si="1"/>
        <v>0</v>
      </c>
      <c r="C1803" s="67"/>
      <c r="D1803" s="78"/>
      <c r="E1803" s="101"/>
      <c r="F1803" s="108"/>
      <c r="G1803" s="120"/>
      <c r="H1803" s="101"/>
      <c r="I1803" s="93"/>
      <c r="J1803" s="91"/>
      <c r="L1803" s="94" t="str">
        <f t="shared" si="2"/>
        <v>No infirmation</v>
      </c>
      <c r="M1803" s="94" t="str">
        <f t="shared" si="3"/>
        <v/>
      </c>
    </row>
    <row r="1804" ht="15.75" customHeight="1">
      <c r="B1804" s="77">
        <f t="shared" si="1"/>
        <v>0</v>
      </c>
      <c r="C1804" s="67"/>
      <c r="D1804" s="78"/>
      <c r="E1804" s="101"/>
      <c r="F1804" s="108"/>
      <c r="G1804" s="120"/>
      <c r="H1804" s="101"/>
      <c r="I1804" s="93"/>
      <c r="J1804" s="91"/>
      <c r="L1804" s="94" t="str">
        <f t="shared" si="2"/>
        <v>No infirmation</v>
      </c>
      <c r="M1804" s="94" t="str">
        <f t="shared" si="3"/>
        <v/>
      </c>
    </row>
    <row r="1805" ht="15.75" customHeight="1">
      <c r="B1805" s="77">
        <f t="shared" si="1"/>
        <v>0</v>
      </c>
      <c r="C1805" s="67"/>
      <c r="D1805" s="78"/>
      <c r="E1805" s="101"/>
      <c r="F1805" s="108"/>
      <c r="G1805" s="120"/>
      <c r="H1805" s="101"/>
      <c r="I1805" s="93"/>
      <c r="J1805" s="91"/>
      <c r="L1805" s="94" t="str">
        <f t="shared" si="2"/>
        <v>No infirmation</v>
      </c>
      <c r="M1805" s="94" t="str">
        <f t="shared" si="3"/>
        <v/>
      </c>
    </row>
    <row r="1806" ht="15.75" customHeight="1">
      <c r="B1806" s="77">
        <f t="shared" si="1"/>
        <v>0</v>
      </c>
      <c r="C1806" s="67"/>
      <c r="D1806" s="78"/>
      <c r="E1806" s="101"/>
      <c r="F1806" s="108"/>
      <c r="G1806" s="120"/>
      <c r="H1806" s="101"/>
      <c r="I1806" s="93"/>
      <c r="J1806" s="91"/>
      <c r="L1806" s="94" t="str">
        <f t="shared" si="2"/>
        <v>No infirmation</v>
      </c>
      <c r="M1806" s="94" t="str">
        <f t="shared" si="3"/>
        <v/>
      </c>
    </row>
    <row r="1807" ht="15.75" customHeight="1">
      <c r="B1807" s="77">
        <f t="shared" si="1"/>
        <v>0</v>
      </c>
      <c r="C1807" s="67"/>
      <c r="D1807" s="78"/>
      <c r="E1807" s="101"/>
      <c r="F1807" s="108"/>
      <c r="G1807" s="120"/>
      <c r="H1807" s="101"/>
      <c r="I1807" s="93"/>
      <c r="J1807" s="91"/>
      <c r="L1807" s="94" t="str">
        <f t="shared" si="2"/>
        <v>No infirmation</v>
      </c>
      <c r="M1807" s="94" t="str">
        <f t="shared" si="3"/>
        <v/>
      </c>
    </row>
    <row r="1808" ht="15.75" customHeight="1">
      <c r="B1808" s="77">
        <f t="shared" si="1"/>
        <v>0</v>
      </c>
      <c r="C1808" s="67"/>
      <c r="D1808" s="78"/>
      <c r="E1808" s="101"/>
      <c r="F1808" s="108"/>
      <c r="G1808" s="120"/>
      <c r="H1808" s="101"/>
      <c r="I1808" s="93"/>
      <c r="J1808" s="91"/>
      <c r="L1808" s="94" t="str">
        <f t="shared" si="2"/>
        <v>No infirmation</v>
      </c>
      <c r="M1808" s="94" t="str">
        <f t="shared" si="3"/>
        <v/>
      </c>
    </row>
    <row r="1809" ht="15.75" customHeight="1">
      <c r="B1809" s="77">
        <f t="shared" si="1"/>
        <v>0</v>
      </c>
      <c r="C1809" s="67"/>
      <c r="D1809" s="78"/>
      <c r="E1809" s="101"/>
      <c r="F1809" s="108"/>
      <c r="G1809" s="120"/>
      <c r="H1809" s="101"/>
      <c r="I1809" s="93"/>
      <c r="J1809" s="91"/>
      <c r="L1809" s="94" t="str">
        <f t="shared" si="2"/>
        <v>No infirmation</v>
      </c>
      <c r="M1809" s="94" t="str">
        <f t="shared" si="3"/>
        <v/>
      </c>
    </row>
    <row r="1810" ht="15.75" customHeight="1">
      <c r="B1810" s="77">
        <f t="shared" si="1"/>
        <v>0</v>
      </c>
      <c r="C1810" s="67"/>
      <c r="D1810" s="78"/>
      <c r="E1810" s="101"/>
      <c r="F1810" s="108"/>
      <c r="G1810" s="120"/>
      <c r="H1810" s="101"/>
      <c r="I1810" s="93"/>
      <c r="J1810" s="91"/>
      <c r="L1810" s="94" t="str">
        <f t="shared" si="2"/>
        <v>No infirmation</v>
      </c>
      <c r="M1810" s="94" t="str">
        <f t="shared" si="3"/>
        <v/>
      </c>
    </row>
    <row r="1811" ht="15.75" customHeight="1">
      <c r="B1811" s="77">
        <f t="shared" si="1"/>
        <v>0</v>
      </c>
      <c r="C1811" s="67"/>
      <c r="D1811" s="78"/>
      <c r="E1811" s="101"/>
      <c r="F1811" s="108"/>
      <c r="G1811" s="120"/>
      <c r="H1811" s="101"/>
      <c r="I1811" s="93"/>
      <c r="J1811" s="91"/>
      <c r="L1811" s="94" t="str">
        <f t="shared" si="2"/>
        <v>No infirmation</v>
      </c>
      <c r="M1811" s="94" t="str">
        <f t="shared" si="3"/>
        <v/>
      </c>
    </row>
    <row r="1812" ht="15.75" customHeight="1">
      <c r="B1812" s="77">
        <f t="shared" si="1"/>
        <v>0</v>
      </c>
      <c r="C1812" s="67"/>
      <c r="D1812" s="78"/>
      <c r="E1812" s="101"/>
      <c r="F1812" s="108"/>
      <c r="G1812" s="120"/>
      <c r="H1812" s="101"/>
      <c r="I1812" s="93"/>
      <c r="J1812" s="91"/>
      <c r="L1812" s="94" t="str">
        <f t="shared" si="2"/>
        <v>No infirmation</v>
      </c>
      <c r="M1812" s="94" t="str">
        <f t="shared" si="3"/>
        <v/>
      </c>
    </row>
    <row r="1813" ht="15.75" customHeight="1">
      <c r="B1813" s="77">
        <f t="shared" si="1"/>
        <v>0</v>
      </c>
      <c r="C1813" s="67"/>
      <c r="D1813" s="78"/>
      <c r="E1813" s="101"/>
      <c r="F1813" s="108"/>
      <c r="G1813" s="120"/>
      <c r="H1813" s="101"/>
      <c r="I1813" s="93"/>
      <c r="J1813" s="91"/>
      <c r="L1813" s="94" t="str">
        <f t="shared" si="2"/>
        <v>No infirmation</v>
      </c>
      <c r="M1813" s="94" t="str">
        <f t="shared" si="3"/>
        <v/>
      </c>
    </row>
    <row r="1814" ht="15.75" customHeight="1">
      <c r="B1814" s="77">
        <f t="shared" si="1"/>
        <v>0</v>
      </c>
      <c r="C1814" s="67"/>
      <c r="D1814" s="78"/>
      <c r="E1814" s="101"/>
      <c r="F1814" s="108"/>
      <c r="G1814" s="120"/>
      <c r="H1814" s="101"/>
      <c r="I1814" s="93"/>
      <c r="J1814" s="91"/>
      <c r="L1814" s="94" t="str">
        <f t="shared" si="2"/>
        <v>No infirmation</v>
      </c>
      <c r="M1814" s="94" t="str">
        <f t="shared" si="3"/>
        <v/>
      </c>
    </row>
    <row r="1815" ht="15.75" customHeight="1">
      <c r="B1815" s="77">
        <f t="shared" si="1"/>
        <v>0</v>
      </c>
      <c r="C1815" s="67"/>
      <c r="D1815" s="78"/>
      <c r="E1815" s="101"/>
      <c r="F1815" s="108"/>
      <c r="G1815" s="120"/>
      <c r="H1815" s="101"/>
      <c r="I1815" s="93"/>
      <c r="J1815" s="91"/>
      <c r="L1815" s="94" t="str">
        <f t="shared" si="2"/>
        <v>No infirmation</v>
      </c>
      <c r="M1815" s="94" t="str">
        <f t="shared" si="3"/>
        <v/>
      </c>
    </row>
    <row r="1816" ht="15.75" customHeight="1">
      <c r="B1816" s="77">
        <f t="shared" si="1"/>
        <v>0</v>
      </c>
      <c r="C1816" s="67"/>
      <c r="D1816" s="78"/>
      <c r="E1816" s="101"/>
      <c r="F1816" s="108"/>
      <c r="G1816" s="120"/>
      <c r="H1816" s="101"/>
      <c r="I1816" s="93"/>
      <c r="J1816" s="91"/>
      <c r="L1816" s="94" t="str">
        <f t="shared" si="2"/>
        <v>No infirmation</v>
      </c>
      <c r="M1816" s="94" t="str">
        <f t="shared" si="3"/>
        <v/>
      </c>
    </row>
    <row r="1817" ht="15.75" customHeight="1">
      <c r="B1817" s="77">
        <f t="shared" si="1"/>
        <v>0</v>
      </c>
      <c r="C1817" s="67"/>
      <c r="D1817" s="78"/>
      <c r="E1817" s="101"/>
      <c r="F1817" s="108"/>
      <c r="G1817" s="120"/>
      <c r="H1817" s="101"/>
      <c r="I1817" s="93"/>
      <c r="J1817" s="91"/>
      <c r="L1817" s="94" t="str">
        <f t="shared" si="2"/>
        <v>No infirmation</v>
      </c>
      <c r="M1817" s="94" t="str">
        <f t="shared" si="3"/>
        <v/>
      </c>
    </row>
    <row r="1818" ht="15.75" customHeight="1">
      <c r="B1818" s="77">
        <f t="shared" si="1"/>
        <v>0</v>
      </c>
      <c r="C1818" s="67"/>
      <c r="D1818" s="78"/>
      <c r="E1818" s="101"/>
      <c r="F1818" s="108"/>
      <c r="G1818" s="120"/>
      <c r="H1818" s="101"/>
      <c r="I1818" s="93"/>
      <c r="J1818" s="91"/>
      <c r="L1818" s="94" t="str">
        <f t="shared" si="2"/>
        <v>No infirmation</v>
      </c>
      <c r="M1818" s="94" t="str">
        <f t="shared" si="3"/>
        <v/>
      </c>
    </row>
    <row r="1819" ht="15.75" customHeight="1">
      <c r="B1819" s="77">
        <f t="shared" si="1"/>
        <v>0</v>
      </c>
      <c r="C1819" s="67"/>
      <c r="D1819" s="78"/>
      <c r="E1819" s="101"/>
      <c r="F1819" s="108"/>
      <c r="G1819" s="120"/>
      <c r="H1819" s="101"/>
      <c r="I1819" s="93"/>
      <c r="J1819" s="91"/>
      <c r="L1819" s="94" t="str">
        <f t="shared" si="2"/>
        <v>No infirmation</v>
      </c>
      <c r="M1819" s="94" t="str">
        <f t="shared" si="3"/>
        <v/>
      </c>
    </row>
    <row r="1820" ht="15.75" customHeight="1">
      <c r="B1820" s="77">
        <f t="shared" si="1"/>
        <v>0</v>
      </c>
      <c r="C1820" s="67"/>
      <c r="D1820" s="78"/>
      <c r="E1820" s="101"/>
      <c r="F1820" s="108"/>
      <c r="G1820" s="120"/>
      <c r="H1820" s="101"/>
      <c r="I1820" s="93"/>
      <c r="J1820" s="91"/>
      <c r="L1820" s="94" t="str">
        <f t="shared" si="2"/>
        <v>No infirmation</v>
      </c>
      <c r="M1820" s="94" t="str">
        <f t="shared" si="3"/>
        <v/>
      </c>
    </row>
    <row r="1821" ht="15.75" customHeight="1">
      <c r="B1821" s="77">
        <f t="shared" si="1"/>
        <v>0</v>
      </c>
      <c r="C1821" s="67"/>
      <c r="D1821" s="78"/>
      <c r="E1821" s="101"/>
      <c r="F1821" s="108"/>
      <c r="G1821" s="120"/>
      <c r="H1821" s="101"/>
      <c r="I1821" s="93"/>
      <c r="J1821" s="91"/>
      <c r="L1821" s="94" t="str">
        <f t="shared" si="2"/>
        <v>No infirmation</v>
      </c>
      <c r="M1821" s="94" t="str">
        <f t="shared" si="3"/>
        <v/>
      </c>
    </row>
    <row r="1822" ht="15.75" customHeight="1">
      <c r="B1822" s="77">
        <f t="shared" si="1"/>
        <v>0</v>
      </c>
      <c r="C1822" s="67"/>
      <c r="D1822" s="78"/>
      <c r="E1822" s="101"/>
      <c r="F1822" s="108"/>
      <c r="G1822" s="120"/>
      <c r="H1822" s="101"/>
      <c r="I1822" s="93"/>
      <c r="J1822" s="91"/>
      <c r="L1822" s="94" t="str">
        <f t="shared" si="2"/>
        <v>No infirmation</v>
      </c>
      <c r="M1822" s="94" t="str">
        <f t="shared" si="3"/>
        <v/>
      </c>
    </row>
    <row r="1823" ht="15.75" customHeight="1">
      <c r="B1823" s="77">
        <f t="shared" si="1"/>
        <v>0</v>
      </c>
      <c r="C1823" s="67"/>
      <c r="D1823" s="78"/>
      <c r="E1823" s="101"/>
      <c r="F1823" s="108"/>
      <c r="G1823" s="120"/>
      <c r="H1823" s="101"/>
      <c r="I1823" s="93"/>
      <c r="J1823" s="91"/>
      <c r="L1823" s="94" t="str">
        <f t="shared" si="2"/>
        <v>No infirmation</v>
      </c>
      <c r="M1823" s="94" t="str">
        <f t="shared" si="3"/>
        <v/>
      </c>
    </row>
    <row r="1824" ht="15.75" customHeight="1">
      <c r="B1824" s="77">
        <f t="shared" si="1"/>
        <v>0</v>
      </c>
      <c r="C1824" s="67"/>
      <c r="D1824" s="78"/>
      <c r="E1824" s="101"/>
      <c r="F1824" s="108"/>
      <c r="G1824" s="120"/>
      <c r="H1824" s="101"/>
      <c r="I1824" s="93"/>
      <c r="J1824" s="91"/>
      <c r="L1824" s="94" t="str">
        <f t="shared" si="2"/>
        <v>No infirmation</v>
      </c>
      <c r="M1824" s="94" t="str">
        <f t="shared" si="3"/>
        <v/>
      </c>
    </row>
    <row r="1825" ht="15.75" customHeight="1">
      <c r="B1825" s="77">
        <f t="shared" si="1"/>
        <v>0</v>
      </c>
      <c r="C1825" s="67"/>
      <c r="D1825" s="78"/>
      <c r="E1825" s="101"/>
      <c r="F1825" s="108"/>
      <c r="G1825" s="120"/>
      <c r="H1825" s="101"/>
      <c r="I1825" s="93"/>
      <c r="J1825" s="91"/>
      <c r="L1825" s="94" t="str">
        <f t="shared" si="2"/>
        <v>No infirmation</v>
      </c>
      <c r="M1825" s="94" t="str">
        <f t="shared" si="3"/>
        <v/>
      </c>
    </row>
    <row r="1826" ht="15.75" customHeight="1">
      <c r="B1826" s="77">
        <f t="shared" si="1"/>
        <v>0</v>
      </c>
      <c r="C1826" s="67"/>
      <c r="D1826" s="78"/>
      <c r="E1826" s="101"/>
      <c r="F1826" s="108"/>
      <c r="G1826" s="120"/>
      <c r="H1826" s="101"/>
      <c r="I1826" s="93"/>
      <c r="J1826" s="91"/>
      <c r="L1826" s="94" t="str">
        <f t="shared" si="2"/>
        <v>No infirmation</v>
      </c>
      <c r="M1826" s="94" t="str">
        <f t="shared" si="3"/>
        <v/>
      </c>
    </row>
    <row r="1827" ht="15.75" customHeight="1">
      <c r="B1827" s="77">
        <f t="shared" si="1"/>
        <v>0</v>
      </c>
      <c r="C1827" s="67"/>
      <c r="D1827" s="78"/>
      <c r="E1827" s="101"/>
      <c r="F1827" s="108"/>
      <c r="G1827" s="120"/>
      <c r="H1827" s="101"/>
      <c r="I1827" s="93"/>
      <c r="J1827" s="91"/>
      <c r="L1827" s="94" t="str">
        <f t="shared" si="2"/>
        <v>No infirmation</v>
      </c>
      <c r="M1827" s="94" t="str">
        <f t="shared" si="3"/>
        <v/>
      </c>
    </row>
    <row r="1828" ht="15.75" customHeight="1">
      <c r="B1828" s="77">
        <f t="shared" si="1"/>
        <v>0</v>
      </c>
      <c r="C1828" s="67"/>
      <c r="D1828" s="78"/>
      <c r="E1828" s="101"/>
      <c r="F1828" s="108"/>
      <c r="G1828" s="120"/>
      <c r="H1828" s="101"/>
      <c r="I1828" s="93"/>
      <c r="J1828" s="91"/>
      <c r="L1828" s="94" t="str">
        <f t="shared" si="2"/>
        <v>No infirmation</v>
      </c>
      <c r="M1828" s="94" t="str">
        <f t="shared" si="3"/>
        <v/>
      </c>
    </row>
    <row r="1829" ht="15.75" customHeight="1">
      <c r="B1829" s="77">
        <f t="shared" si="1"/>
        <v>0</v>
      </c>
      <c r="C1829" s="67"/>
      <c r="D1829" s="78"/>
      <c r="E1829" s="101"/>
      <c r="F1829" s="108"/>
      <c r="G1829" s="120"/>
      <c r="H1829" s="101"/>
      <c r="I1829" s="93"/>
      <c r="J1829" s="91"/>
      <c r="L1829" s="94" t="str">
        <f t="shared" si="2"/>
        <v>No infirmation</v>
      </c>
      <c r="M1829" s="94" t="str">
        <f t="shared" si="3"/>
        <v/>
      </c>
    </row>
    <row r="1830" ht="15.75" customHeight="1">
      <c r="B1830" s="77">
        <f t="shared" si="1"/>
        <v>0</v>
      </c>
      <c r="C1830" s="67"/>
      <c r="D1830" s="78"/>
      <c r="E1830" s="101"/>
      <c r="F1830" s="108"/>
      <c r="G1830" s="120"/>
      <c r="H1830" s="101"/>
      <c r="I1830" s="93"/>
      <c r="J1830" s="91"/>
      <c r="L1830" s="94" t="str">
        <f t="shared" si="2"/>
        <v>No infirmation</v>
      </c>
      <c r="M1830" s="94" t="str">
        <f t="shared" si="3"/>
        <v/>
      </c>
    </row>
    <row r="1831" ht="15.75" customHeight="1">
      <c r="B1831" s="77">
        <f t="shared" si="1"/>
        <v>0</v>
      </c>
      <c r="C1831" s="67"/>
      <c r="D1831" s="78"/>
      <c r="E1831" s="101"/>
      <c r="F1831" s="108"/>
      <c r="G1831" s="120"/>
      <c r="H1831" s="101"/>
      <c r="I1831" s="93"/>
      <c r="J1831" s="91"/>
      <c r="L1831" s="94" t="str">
        <f t="shared" si="2"/>
        <v>No infirmation</v>
      </c>
      <c r="M1831" s="94" t="str">
        <f t="shared" si="3"/>
        <v/>
      </c>
    </row>
    <row r="1832" ht="15.75" customHeight="1">
      <c r="B1832" s="77">
        <f t="shared" si="1"/>
        <v>0</v>
      </c>
      <c r="C1832" s="67"/>
      <c r="D1832" s="78"/>
      <c r="E1832" s="101"/>
      <c r="F1832" s="108"/>
      <c r="G1832" s="120"/>
      <c r="H1832" s="101"/>
      <c r="I1832" s="93"/>
      <c r="J1832" s="91"/>
      <c r="L1832" s="94" t="str">
        <f t="shared" si="2"/>
        <v>No infirmation</v>
      </c>
      <c r="M1832" s="94" t="str">
        <f t="shared" si="3"/>
        <v/>
      </c>
    </row>
    <row r="1833" ht="15.75" customHeight="1">
      <c r="B1833" s="77">
        <f t="shared" si="1"/>
        <v>0</v>
      </c>
      <c r="C1833" s="67"/>
      <c r="D1833" s="78"/>
      <c r="E1833" s="101"/>
      <c r="F1833" s="108"/>
      <c r="G1833" s="120"/>
      <c r="H1833" s="101"/>
      <c r="I1833" s="93"/>
      <c r="J1833" s="91"/>
      <c r="L1833" s="94" t="str">
        <f t="shared" si="2"/>
        <v>No infirmation</v>
      </c>
      <c r="M1833" s="94" t="str">
        <f t="shared" si="3"/>
        <v/>
      </c>
    </row>
    <row r="1834" ht="15.75" customHeight="1">
      <c r="B1834" s="77">
        <f t="shared" si="1"/>
        <v>0</v>
      </c>
      <c r="C1834" s="67"/>
      <c r="D1834" s="78"/>
      <c r="E1834" s="101"/>
      <c r="F1834" s="108"/>
      <c r="G1834" s="120"/>
      <c r="H1834" s="101"/>
      <c r="I1834" s="93"/>
      <c r="J1834" s="91"/>
      <c r="L1834" s="94" t="str">
        <f t="shared" si="2"/>
        <v>No infirmation</v>
      </c>
      <c r="M1834" s="94" t="str">
        <f t="shared" si="3"/>
        <v/>
      </c>
    </row>
    <row r="1835" ht="15.75" customHeight="1">
      <c r="B1835" s="77">
        <f t="shared" si="1"/>
        <v>0</v>
      </c>
      <c r="C1835" s="67"/>
      <c r="D1835" s="78"/>
      <c r="E1835" s="101"/>
      <c r="F1835" s="108"/>
      <c r="G1835" s="120"/>
      <c r="H1835" s="101"/>
      <c r="I1835" s="93"/>
      <c r="J1835" s="91"/>
      <c r="L1835" s="94" t="str">
        <f t="shared" si="2"/>
        <v>No infirmation</v>
      </c>
      <c r="M1835" s="94" t="str">
        <f t="shared" si="3"/>
        <v/>
      </c>
    </row>
    <row r="1836" ht="15.75" customHeight="1">
      <c r="B1836" s="77">
        <f t="shared" si="1"/>
        <v>0</v>
      </c>
      <c r="C1836" s="67"/>
      <c r="D1836" s="78"/>
      <c r="E1836" s="101"/>
      <c r="F1836" s="108"/>
      <c r="G1836" s="120"/>
      <c r="H1836" s="101"/>
      <c r="I1836" s="93"/>
      <c r="J1836" s="91"/>
      <c r="L1836" s="94" t="str">
        <f t="shared" si="2"/>
        <v>No infirmation</v>
      </c>
      <c r="M1836" s="94" t="str">
        <f t="shared" si="3"/>
        <v/>
      </c>
    </row>
    <row r="1837" ht="15.75" customHeight="1">
      <c r="B1837" s="77">
        <f t="shared" si="1"/>
        <v>0</v>
      </c>
      <c r="C1837" s="67"/>
      <c r="D1837" s="78"/>
      <c r="E1837" s="101"/>
      <c r="F1837" s="108"/>
      <c r="G1837" s="120"/>
      <c r="H1837" s="101"/>
      <c r="I1837" s="93"/>
      <c r="J1837" s="91"/>
      <c r="L1837" s="94" t="str">
        <f t="shared" si="2"/>
        <v>No infirmation</v>
      </c>
      <c r="M1837" s="94" t="str">
        <f t="shared" si="3"/>
        <v/>
      </c>
    </row>
    <row r="1838" ht="15.75" customHeight="1">
      <c r="B1838" s="77">
        <f t="shared" si="1"/>
        <v>0</v>
      </c>
      <c r="C1838" s="67"/>
      <c r="D1838" s="78"/>
      <c r="E1838" s="101"/>
      <c r="F1838" s="108"/>
      <c r="G1838" s="120"/>
      <c r="H1838" s="101"/>
      <c r="I1838" s="93"/>
      <c r="J1838" s="91"/>
      <c r="L1838" s="94" t="str">
        <f t="shared" si="2"/>
        <v>No infirmation</v>
      </c>
      <c r="M1838" s="94" t="str">
        <f t="shared" si="3"/>
        <v/>
      </c>
    </row>
    <row r="1839" ht="15.75" customHeight="1">
      <c r="B1839" s="77">
        <f t="shared" si="1"/>
        <v>0</v>
      </c>
      <c r="C1839" s="67"/>
      <c r="D1839" s="78"/>
      <c r="E1839" s="101"/>
      <c r="F1839" s="108"/>
      <c r="G1839" s="120"/>
      <c r="H1839" s="101"/>
      <c r="I1839" s="93"/>
      <c r="J1839" s="91"/>
      <c r="L1839" s="94" t="str">
        <f t="shared" si="2"/>
        <v>No infirmation</v>
      </c>
      <c r="M1839" s="94" t="str">
        <f t="shared" si="3"/>
        <v/>
      </c>
    </row>
    <row r="1840" ht="15.75" customHeight="1">
      <c r="B1840" s="77">
        <f t="shared" si="1"/>
        <v>0</v>
      </c>
      <c r="C1840" s="67"/>
      <c r="D1840" s="78"/>
      <c r="E1840" s="101"/>
      <c r="F1840" s="108"/>
      <c r="G1840" s="120"/>
      <c r="H1840" s="101"/>
      <c r="I1840" s="93"/>
      <c r="J1840" s="91"/>
      <c r="L1840" s="94" t="str">
        <f t="shared" si="2"/>
        <v>No infirmation</v>
      </c>
      <c r="M1840" s="94" t="str">
        <f t="shared" si="3"/>
        <v/>
      </c>
    </row>
    <row r="1841" ht="15.75" customHeight="1">
      <c r="B1841" s="77">
        <f t="shared" si="1"/>
        <v>0</v>
      </c>
      <c r="C1841" s="67"/>
      <c r="D1841" s="78"/>
      <c r="E1841" s="101"/>
      <c r="F1841" s="108"/>
      <c r="G1841" s="120"/>
      <c r="H1841" s="101"/>
      <c r="I1841" s="93"/>
      <c r="J1841" s="91"/>
      <c r="L1841" s="94" t="str">
        <f t="shared" si="2"/>
        <v>No infirmation</v>
      </c>
      <c r="M1841" s="94" t="str">
        <f t="shared" si="3"/>
        <v/>
      </c>
    </row>
    <row r="1842" ht="15.75" customHeight="1">
      <c r="B1842" s="77">
        <f t="shared" si="1"/>
        <v>0</v>
      </c>
      <c r="C1842" s="67"/>
      <c r="D1842" s="78"/>
      <c r="E1842" s="101"/>
      <c r="F1842" s="108"/>
      <c r="G1842" s="120"/>
      <c r="H1842" s="101"/>
      <c r="I1842" s="93"/>
      <c r="J1842" s="91"/>
      <c r="L1842" s="94" t="str">
        <f t="shared" si="2"/>
        <v>No infirmation</v>
      </c>
      <c r="M1842" s="94" t="str">
        <f t="shared" si="3"/>
        <v/>
      </c>
    </row>
    <row r="1843" ht="15.75" customHeight="1">
      <c r="B1843" s="77">
        <f t="shared" si="1"/>
        <v>0</v>
      </c>
      <c r="C1843" s="67"/>
      <c r="D1843" s="78"/>
      <c r="E1843" s="101"/>
      <c r="F1843" s="108"/>
      <c r="G1843" s="120"/>
      <c r="H1843" s="101"/>
      <c r="I1843" s="93"/>
      <c r="J1843" s="91"/>
      <c r="L1843" s="94" t="str">
        <f t="shared" si="2"/>
        <v>No infirmation</v>
      </c>
      <c r="M1843" s="94" t="str">
        <f t="shared" si="3"/>
        <v/>
      </c>
    </row>
    <row r="1844" ht="15.75" customHeight="1">
      <c r="B1844" s="77">
        <f t="shared" si="1"/>
        <v>0</v>
      </c>
      <c r="C1844" s="67"/>
      <c r="D1844" s="78"/>
      <c r="E1844" s="101"/>
      <c r="F1844" s="108"/>
      <c r="G1844" s="120"/>
      <c r="H1844" s="101"/>
      <c r="I1844" s="93"/>
      <c r="J1844" s="91"/>
      <c r="L1844" s="94" t="str">
        <f t="shared" si="2"/>
        <v>No infirmation</v>
      </c>
      <c r="M1844" s="94" t="str">
        <f t="shared" si="3"/>
        <v/>
      </c>
    </row>
    <row r="1845" ht="15.75" customHeight="1">
      <c r="B1845" s="77">
        <f t="shared" si="1"/>
        <v>0</v>
      </c>
      <c r="C1845" s="67"/>
      <c r="D1845" s="78"/>
      <c r="E1845" s="101"/>
      <c r="F1845" s="108"/>
      <c r="G1845" s="120"/>
      <c r="H1845" s="101"/>
      <c r="I1845" s="93"/>
      <c r="J1845" s="91"/>
      <c r="L1845" s="94" t="str">
        <f t="shared" si="2"/>
        <v>No infirmation</v>
      </c>
      <c r="M1845" s="94" t="str">
        <f t="shared" si="3"/>
        <v/>
      </c>
    </row>
    <row r="1846" ht="15.75" customHeight="1">
      <c r="B1846" s="77">
        <f t="shared" si="1"/>
        <v>0</v>
      </c>
      <c r="C1846" s="67"/>
      <c r="D1846" s="78"/>
      <c r="E1846" s="101"/>
      <c r="F1846" s="108"/>
      <c r="G1846" s="120"/>
      <c r="H1846" s="101"/>
      <c r="I1846" s="93"/>
      <c r="J1846" s="91"/>
      <c r="L1846" s="94" t="str">
        <f t="shared" si="2"/>
        <v>No infirmation</v>
      </c>
      <c r="M1846" s="94" t="str">
        <f t="shared" si="3"/>
        <v/>
      </c>
    </row>
    <row r="1847" ht="15.75" customHeight="1">
      <c r="B1847" s="77">
        <f t="shared" si="1"/>
        <v>0</v>
      </c>
      <c r="C1847" s="67"/>
      <c r="D1847" s="78"/>
      <c r="E1847" s="101"/>
      <c r="F1847" s="108"/>
      <c r="G1847" s="120"/>
      <c r="H1847" s="101"/>
      <c r="I1847" s="93"/>
      <c r="J1847" s="91"/>
      <c r="L1847" s="94" t="str">
        <f t="shared" si="2"/>
        <v>No infirmation</v>
      </c>
      <c r="M1847" s="94" t="str">
        <f t="shared" si="3"/>
        <v/>
      </c>
    </row>
    <row r="1848" ht="15.75" customHeight="1">
      <c r="B1848" s="77">
        <f t="shared" si="1"/>
        <v>0</v>
      </c>
      <c r="C1848" s="67"/>
      <c r="D1848" s="78"/>
      <c r="E1848" s="101"/>
      <c r="F1848" s="108"/>
      <c r="G1848" s="120"/>
      <c r="H1848" s="101"/>
      <c r="I1848" s="93"/>
      <c r="J1848" s="91"/>
      <c r="L1848" s="94" t="str">
        <f t="shared" si="2"/>
        <v>No infirmation</v>
      </c>
      <c r="M1848" s="94" t="str">
        <f t="shared" si="3"/>
        <v/>
      </c>
    </row>
    <row r="1849" ht="15.75" customHeight="1">
      <c r="B1849" s="77">
        <f t="shared" si="1"/>
        <v>0</v>
      </c>
      <c r="C1849" s="67"/>
      <c r="D1849" s="78"/>
      <c r="E1849" s="101"/>
      <c r="F1849" s="108"/>
      <c r="G1849" s="120"/>
      <c r="H1849" s="101"/>
      <c r="I1849" s="93"/>
      <c r="J1849" s="91"/>
      <c r="L1849" s="94" t="str">
        <f t="shared" si="2"/>
        <v>No infirmation</v>
      </c>
      <c r="M1849" s="94" t="str">
        <f t="shared" si="3"/>
        <v/>
      </c>
    </row>
    <row r="1850" ht="15.75" customHeight="1">
      <c r="B1850" s="77">
        <f t="shared" si="1"/>
        <v>0</v>
      </c>
      <c r="C1850" s="67"/>
      <c r="D1850" s="78"/>
      <c r="E1850" s="101"/>
      <c r="F1850" s="108"/>
      <c r="G1850" s="120"/>
      <c r="H1850" s="101"/>
      <c r="I1850" s="93"/>
      <c r="J1850" s="91"/>
      <c r="L1850" s="94" t="str">
        <f t="shared" si="2"/>
        <v>No infirmation</v>
      </c>
      <c r="M1850" s="94" t="str">
        <f t="shared" si="3"/>
        <v/>
      </c>
    </row>
    <row r="1851" ht="15.75" customHeight="1">
      <c r="B1851" s="77">
        <f t="shared" si="1"/>
        <v>0</v>
      </c>
      <c r="C1851" s="67"/>
      <c r="D1851" s="78"/>
      <c r="E1851" s="101"/>
      <c r="F1851" s="108"/>
      <c r="G1851" s="120"/>
      <c r="H1851" s="101"/>
      <c r="I1851" s="93"/>
      <c r="J1851" s="91"/>
      <c r="L1851" s="94" t="str">
        <f t="shared" si="2"/>
        <v>No infirmation</v>
      </c>
      <c r="M1851" s="94" t="str">
        <f t="shared" si="3"/>
        <v/>
      </c>
    </row>
    <row r="1852" ht="15.75" customHeight="1">
      <c r="B1852" s="77">
        <f t="shared" si="1"/>
        <v>0</v>
      </c>
      <c r="C1852" s="67"/>
      <c r="D1852" s="78"/>
      <c r="E1852" s="101"/>
      <c r="F1852" s="108"/>
      <c r="G1852" s="120"/>
      <c r="H1852" s="101"/>
      <c r="I1852" s="93"/>
      <c r="J1852" s="91"/>
      <c r="L1852" s="94" t="str">
        <f t="shared" si="2"/>
        <v>No infirmation</v>
      </c>
      <c r="M1852" s="94" t="str">
        <f t="shared" si="3"/>
        <v/>
      </c>
    </row>
    <row r="1853" ht="15.75" customHeight="1">
      <c r="B1853" s="77">
        <f t="shared" si="1"/>
        <v>0</v>
      </c>
      <c r="C1853" s="67"/>
      <c r="D1853" s="78"/>
      <c r="E1853" s="101"/>
      <c r="F1853" s="108"/>
      <c r="G1853" s="120"/>
      <c r="H1853" s="101"/>
      <c r="I1853" s="93"/>
      <c r="J1853" s="91"/>
      <c r="L1853" s="94" t="str">
        <f t="shared" si="2"/>
        <v>No infirmation</v>
      </c>
      <c r="M1853" s="94" t="str">
        <f t="shared" si="3"/>
        <v/>
      </c>
    </row>
    <row r="1854" ht="15.75" customHeight="1">
      <c r="B1854" s="77">
        <f t="shared" si="1"/>
        <v>0</v>
      </c>
      <c r="C1854" s="67"/>
      <c r="D1854" s="78"/>
      <c r="E1854" s="101"/>
      <c r="F1854" s="108"/>
      <c r="G1854" s="120"/>
      <c r="H1854" s="101"/>
      <c r="I1854" s="93"/>
      <c r="J1854" s="91"/>
      <c r="L1854" s="94" t="str">
        <f t="shared" si="2"/>
        <v>No infirmation</v>
      </c>
      <c r="M1854" s="94" t="str">
        <f t="shared" si="3"/>
        <v/>
      </c>
    </row>
    <row r="1855" ht="15.75" customHeight="1">
      <c r="B1855" s="77">
        <f t="shared" si="1"/>
        <v>0</v>
      </c>
      <c r="C1855" s="67"/>
      <c r="D1855" s="78"/>
      <c r="E1855" s="101"/>
      <c r="F1855" s="108"/>
      <c r="G1855" s="120"/>
      <c r="H1855" s="101"/>
      <c r="I1855" s="93"/>
      <c r="J1855" s="91"/>
      <c r="L1855" s="94" t="str">
        <f t="shared" si="2"/>
        <v>No infirmation</v>
      </c>
      <c r="M1855" s="94" t="str">
        <f t="shared" si="3"/>
        <v/>
      </c>
    </row>
    <row r="1856" ht="15.75" customHeight="1">
      <c r="B1856" s="77">
        <f t="shared" si="1"/>
        <v>0</v>
      </c>
      <c r="C1856" s="67"/>
      <c r="D1856" s="78"/>
      <c r="E1856" s="101"/>
      <c r="F1856" s="108"/>
      <c r="G1856" s="120"/>
      <c r="H1856" s="101"/>
      <c r="I1856" s="93"/>
      <c r="J1856" s="91"/>
      <c r="L1856" s="94" t="str">
        <f t="shared" si="2"/>
        <v>No infirmation</v>
      </c>
      <c r="M1856" s="94" t="str">
        <f t="shared" si="3"/>
        <v/>
      </c>
    </row>
    <row r="1857" ht="15.75" customHeight="1">
      <c r="B1857" s="77">
        <f t="shared" si="1"/>
        <v>0</v>
      </c>
      <c r="C1857" s="67"/>
      <c r="D1857" s="78"/>
      <c r="E1857" s="101"/>
      <c r="F1857" s="108"/>
      <c r="G1857" s="120"/>
      <c r="H1857" s="101"/>
      <c r="I1857" s="93"/>
      <c r="J1857" s="91"/>
      <c r="L1857" s="94" t="str">
        <f t="shared" si="2"/>
        <v>No infirmation</v>
      </c>
      <c r="M1857" s="94" t="str">
        <f t="shared" si="3"/>
        <v/>
      </c>
    </row>
    <row r="1858" ht="15.75" customHeight="1">
      <c r="B1858" s="77">
        <f t="shared" si="1"/>
        <v>0</v>
      </c>
      <c r="C1858" s="67"/>
      <c r="D1858" s="78"/>
      <c r="E1858" s="101"/>
      <c r="F1858" s="108"/>
      <c r="G1858" s="120"/>
      <c r="H1858" s="101"/>
      <c r="I1858" s="93"/>
      <c r="J1858" s="91"/>
      <c r="L1858" s="94" t="str">
        <f t="shared" si="2"/>
        <v>No infirmation</v>
      </c>
      <c r="M1858" s="94" t="str">
        <f t="shared" si="3"/>
        <v/>
      </c>
    </row>
    <row r="1859" ht="15.75" customHeight="1">
      <c r="B1859" s="77">
        <f t="shared" si="1"/>
        <v>0</v>
      </c>
      <c r="C1859" s="67"/>
      <c r="D1859" s="78"/>
      <c r="E1859" s="101"/>
      <c r="F1859" s="108"/>
      <c r="G1859" s="120"/>
      <c r="H1859" s="101"/>
      <c r="I1859" s="93"/>
      <c r="J1859" s="91"/>
      <c r="L1859" s="94" t="str">
        <f t="shared" si="2"/>
        <v>No infirmation</v>
      </c>
      <c r="M1859" s="94" t="str">
        <f t="shared" si="3"/>
        <v/>
      </c>
    </row>
    <row r="1860" ht="15.75" customHeight="1">
      <c r="B1860" s="77">
        <f t="shared" si="1"/>
        <v>0</v>
      </c>
      <c r="C1860" s="67"/>
      <c r="D1860" s="78"/>
      <c r="E1860" s="101"/>
      <c r="F1860" s="108"/>
      <c r="G1860" s="120"/>
      <c r="H1860" s="101"/>
      <c r="I1860" s="93"/>
      <c r="J1860" s="91"/>
      <c r="L1860" s="94" t="str">
        <f t="shared" si="2"/>
        <v>No infirmation</v>
      </c>
      <c r="M1860" s="94" t="str">
        <f t="shared" si="3"/>
        <v/>
      </c>
    </row>
    <row r="1861" ht="15.75" customHeight="1">
      <c r="B1861" s="77">
        <f t="shared" si="1"/>
        <v>0</v>
      </c>
      <c r="C1861" s="67"/>
      <c r="D1861" s="78"/>
      <c r="E1861" s="101"/>
      <c r="F1861" s="108"/>
      <c r="G1861" s="120"/>
      <c r="H1861" s="101"/>
      <c r="I1861" s="93"/>
      <c r="J1861" s="91"/>
      <c r="L1861" s="94" t="str">
        <f t="shared" si="2"/>
        <v>No infirmation</v>
      </c>
      <c r="M1861" s="94" t="str">
        <f t="shared" si="3"/>
        <v/>
      </c>
    </row>
    <row r="1862" ht="15.75" customHeight="1">
      <c r="B1862" s="77">
        <f t="shared" si="1"/>
        <v>0</v>
      </c>
      <c r="C1862" s="67"/>
      <c r="D1862" s="78"/>
      <c r="E1862" s="101"/>
      <c r="F1862" s="108"/>
      <c r="G1862" s="120"/>
      <c r="H1862" s="101"/>
      <c r="I1862" s="93"/>
      <c r="J1862" s="91"/>
      <c r="L1862" s="94" t="str">
        <f t="shared" si="2"/>
        <v>No infirmation</v>
      </c>
      <c r="M1862" s="94" t="str">
        <f t="shared" si="3"/>
        <v/>
      </c>
    </row>
    <row r="1863" ht="15.75" customHeight="1">
      <c r="B1863" s="77">
        <f t="shared" si="1"/>
        <v>0</v>
      </c>
      <c r="C1863" s="67"/>
      <c r="D1863" s="78"/>
      <c r="E1863" s="101"/>
      <c r="F1863" s="108"/>
      <c r="G1863" s="120"/>
      <c r="H1863" s="101"/>
      <c r="I1863" s="93"/>
      <c r="J1863" s="91"/>
      <c r="L1863" s="94" t="str">
        <f t="shared" si="2"/>
        <v>No infirmation</v>
      </c>
      <c r="M1863" s="94" t="str">
        <f t="shared" si="3"/>
        <v/>
      </c>
    </row>
    <row r="1864" ht="15.75" customHeight="1">
      <c r="B1864" s="77">
        <f t="shared" si="1"/>
        <v>0</v>
      </c>
      <c r="C1864" s="67"/>
      <c r="D1864" s="78"/>
      <c r="E1864" s="101"/>
      <c r="F1864" s="108"/>
      <c r="G1864" s="120"/>
      <c r="H1864" s="101"/>
      <c r="I1864" s="93"/>
      <c r="J1864" s="91"/>
      <c r="L1864" s="94" t="str">
        <f t="shared" si="2"/>
        <v>No infirmation</v>
      </c>
      <c r="M1864" s="94" t="str">
        <f t="shared" si="3"/>
        <v/>
      </c>
    </row>
    <row r="1865" ht="15.75" customHeight="1">
      <c r="B1865" s="77">
        <f t="shared" si="1"/>
        <v>0</v>
      </c>
      <c r="C1865" s="67"/>
      <c r="D1865" s="78"/>
      <c r="E1865" s="101"/>
      <c r="F1865" s="108"/>
      <c r="G1865" s="120"/>
      <c r="H1865" s="101"/>
      <c r="I1865" s="93"/>
      <c r="J1865" s="91"/>
      <c r="L1865" s="94" t="str">
        <f t="shared" si="2"/>
        <v>No infirmation</v>
      </c>
      <c r="M1865" s="94" t="str">
        <f t="shared" si="3"/>
        <v/>
      </c>
    </row>
    <row r="1866" ht="15.75" customHeight="1">
      <c r="B1866" s="77">
        <f t="shared" si="1"/>
        <v>0</v>
      </c>
      <c r="C1866" s="67"/>
      <c r="D1866" s="78"/>
      <c r="E1866" s="101"/>
      <c r="F1866" s="108"/>
      <c r="G1866" s="120"/>
      <c r="H1866" s="101"/>
      <c r="I1866" s="93"/>
      <c r="J1866" s="91"/>
      <c r="L1866" s="94" t="str">
        <f t="shared" si="2"/>
        <v>No infirmation</v>
      </c>
      <c r="M1866" s="94" t="str">
        <f t="shared" si="3"/>
        <v/>
      </c>
    </row>
    <row r="1867" ht="15.75" customHeight="1">
      <c r="B1867" s="77">
        <f t="shared" si="1"/>
        <v>0</v>
      </c>
      <c r="C1867" s="67"/>
      <c r="D1867" s="78"/>
      <c r="E1867" s="101"/>
      <c r="F1867" s="108"/>
      <c r="G1867" s="120"/>
      <c r="H1867" s="101"/>
      <c r="I1867" s="93"/>
      <c r="J1867" s="91"/>
      <c r="L1867" s="94" t="str">
        <f t="shared" si="2"/>
        <v>No infirmation</v>
      </c>
      <c r="M1867" s="94" t="str">
        <f t="shared" si="3"/>
        <v/>
      </c>
    </row>
    <row r="1868" ht="15.75" customHeight="1">
      <c r="B1868" s="77">
        <f t="shared" si="1"/>
        <v>0</v>
      </c>
      <c r="C1868" s="67"/>
      <c r="D1868" s="78"/>
      <c r="E1868" s="101"/>
      <c r="F1868" s="108"/>
      <c r="G1868" s="120"/>
      <c r="H1868" s="101"/>
      <c r="I1868" s="93"/>
      <c r="J1868" s="91"/>
      <c r="L1868" s="94" t="str">
        <f t="shared" si="2"/>
        <v>No infirmation</v>
      </c>
      <c r="M1868" s="94" t="str">
        <f t="shared" si="3"/>
        <v/>
      </c>
    </row>
    <row r="1869" ht="15.75" customHeight="1">
      <c r="B1869" s="77">
        <f t="shared" si="1"/>
        <v>0</v>
      </c>
      <c r="C1869" s="67"/>
      <c r="D1869" s="78"/>
      <c r="E1869" s="101"/>
      <c r="F1869" s="108"/>
      <c r="G1869" s="120"/>
      <c r="H1869" s="101"/>
      <c r="I1869" s="93"/>
      <c r="J1869" s="91"/>
      <c r="L1869" s="94" t="str">
        <f t="shared" si="2"/>
        <v>No infirmation</v>
      </c>
      <c r="M1869" s="94" t="str">
        <f t="shared" si="3"/>
        <v/>
      </c>
    </row>
    <row r="1870" ht="15.75" customHeight="1">
      <c r="B1870" s="77">
        <f t="shared" si="1"/>
        <v>0</v>
      </c>
      <c r="C1870" s="67"/>
      <c r="D1870" s="78"/>
      <c r="E1870" s="101"/>
      <c r="F1870" s="108"/>
      <c r="G1870" s="120"/>
      <c r="H1870" s="101"/>
      <c r="I1870" s="93"/>
      <c r="J1870" s="91"/>
      <c r="L1870" s="94" t="str">
        <f t="shared" si="2"/>
        <v>No infirmation</v>
      </c>
      <c r="M1870" s="94" t="str">
        <f t="shared" si="3"/>
        <v/>
      </c>
    </row>
    <row r="1871" ht="15.75" customHeight="1">
      <c r="B1871" s="77">
        <f t="shared" si="1"/>
        <v>0</v>
      </c>
      <c r="C1871" s="67"/>
      <c r="D1871" s="78"/>
      <c r="E1871" s="101"/>
      <c r="F1871" s="108"/>
      <c r="G1871" s="120"/>
      <c r="H1871" s="101"/>
      <c r="I1871" s="93"/>
      <c r="J1871" s="91"/>
      <c r="L1871" s="94" t="str">
        <f t="shared" si="2"/>
        <v>No infirmation</v>
      </c>
      <c r="M1871" s="94" t="str">
        <f t="shared" si="3"/>
        <v/>
      </c>
    </row>
    <row r="1872" ht="15.75" customHeight="1">
      <c r="B1872" s="77">
        <f t="shared" si="1"/>
        <v>0</v>
      </c>
      <c r="C1872" s="67"/>
      <c r="D1872" s="78"/>
      <c r="E1872" s="101"/>
      <c r="F1872" s="108"/>
      <c r="G1872" s="120"/>
      <c r="H1872" s="101"/>
      <c r="I1872" s="93"/>
      <c r="J1872" s="91"/>
      <c r="L1872" s="94" t="str">
        <f t="shared" si="2"/>
        <v>No infirmation</v>
      </c>
      <c r="M1872" s="94" t="str">
        <f t="shared" si="3"/>
        <v/>
      </c>
    </row>
    <row r="1873" ht="15.75" customHeight="1">
      <c r="B1873" s="77">
        <f t="shared" si="1"/>
        <v>0</v>
      </c>
      <c r="C1873" s="67"/>
      <c r="D1873" s="78"/>
      <c r="E1873" s="101"/>
      <c r="F1873" s="108"/>
      <c r="G1873" s="120"/>
      <c r="H1873" s="101"/>
      <c r="I1873" s="93"/>
      <c r="J1873" s="91"/>
      <c r="L1873" s="94" t="str">
        <f t="shared" si="2"/>
        <v>No infirmation</v>
      </c>
      <c r="M1873" s="94" t="str">
        <f t="shared" si="3"/>
        <v/>
      </c>
    </row>
    <row r="1874" ht="15.75" customHeight="1">
      <c r="B1874" s="77">
        <f t="shared" si="1"/>
        <v>0</v>
      </c>
      <c r="C1874" s="67"/>
      <c r="D1874" s="78"/>
      <c r="E1874" s="101"/>
      <c r="F1874" s="108"/>
      <c r="G1874" s="120"/>
      <c r="H1874" s="101"/>
      <c r="I1874" s="93"/>
      <c r="J1874" s="91"/>
      <c r="L1874" s="94" t="str">
        <f t="shared" si="2"/>
        <v>No infirmation</v>
      </c>
      <c r="M1874" s="94" t="str">
        <f t="shared" si="3"/>
        <v/>
      </c>
    </row>
    <row r="1875" ht="15.75" customHeight="1">
      <c r="B1875" s="77">
        <f t="shared" si="1"/>
        <v>0</v>
      </c>
      <c r="C1875" s="67"/>
      <c r="D1875" s="78"/>
      <c r="E1875" s="101"/>
      <c r="F1875" s="108"/>
      <c r="G1875" s="120"/>
      <c r="H1875" s="101"/>
      <c r="I1875" s="93"/>
      <c r="J1875" s="91"/>
      <c r="L1875" s="94" t="str">
        <f t="shared" si="2"/>
        <v>No infirmation</v>
      </c>
      <c r="M1875" s="94" t="str">
        <f t="shared" si="3"/>
        <v/>
      </c>
    </row>
    <row r="1876" ht="15.75" customHeight="1">
      <c r="B1876" s="77">
        <f t="shared" si="1"/>
        <v>0</v>
      </c>
      <c r="C1876" s="67"/>
      <c r="D1876" s="78"/>
      <c r="E1876" s="101"/>
      <c r="F1876" s="108"/>
      <c r="G1876" s="120"/>
      <c r="H1876" s="101"/>
      <c r="I1876" s="93"/>
      <c r="J1876" s="91"/>
      <c r="L1876" s="94" t="str">
        <f t="shared" si="2"/>
        <v>No infirmation</v>
      </c>
      <c r="M1876" s="94" t="str">
        <f t="shared" si="3"/>
        <v/>
      </c>
    </row>
    <row r="1877" ht="15.75" customHeight="1">
      <c r="B1877" s="77">
        <f t="shared" si="1"/>
        <v>0</v>
      </c>
      <c r="C1877" s="67"/>
      <c r="D1877" s="78"/>
      <c r="E1877" s="101"/>
      <c r="F1877" s="108"/>
      <c r="G1877" s="120"/>
      <c r="H1877" s="101"/>
      <c r="I1877" s="93"/>
      <c r="J1877" s="91"/>
      <c r="L1877" s="94" t="str">
        <f t="shared" si="2"/>
        <v>No infirmation</v>
      </c>
      <c r="M1877" s="94" t="str">
        <f t="shared" si="3"/>
        <v/>
      </c>
    </row>
    <row r="1878" ht="15.75" customHeight="1">
      <c r="B1878" s="77">
        <f t="shared" si="1"/>
        <v>0</v>
      </c>
      <c r="C1878" s="67"/>
      <c r="D1878" s="78"/>
      <c r="E1878" s="101"/>
      <c r="F1878" s="108"/>
      <c r="G1878" s="120"/>
      <c r="H1878" s="101"/>
      <c r="I1878" s="93"/>
      <c r="J1878" s="91"/>
      <c r="L1878" s="94" t="str">
        <f t="shared" si="2"/>
        <v>No infirmation</v>
      </c>
      <c r="M1878" s="94" t="str">
        <f t="shared" si="3"/>
        <v/>
      </c>
    </row>
    <row r="1879" ht="15.75" customHeight="1">
      <c r="B1879" s="77">
        <f t="shared" si="1"/>
        <v>0</v>
      </c>
      <c r="C1879" s="67"/>
      <c r="D1879" s="78"/>
      <c r="E1879" s="101"/>
      <c r="F1879" s="108"/>
      <c r="G1879" s="120"/>
      <c r="H1879" s="101"/>
      <c r="I1879" s="93"/>
      <c r="J1879" s="91"/>
      <c r="L1879" s="94" t="str">
        <f t="shared" si="2"/>
        <v>No infirmation</v>
      </c>
      <c r="M1879" s="94" t="str">
        <f t="shared" si="3"/>
        <v/>
      </c>
    </row>
    <row r="1880" ht="15.75" customHeight="1">
      <c r="B1880" s="77">
        <f t="shared" si="1"/>
        <v>0</v>
      </c>
      <c r="C1880" s="67"/>
      <c r="D1880" s="78"/>
      <c r="E1880" s="101"/>
      <c r="F1880" s="108"/>
      <c r="G1880" s="120"/>
      <c r="H1880" s="101"/>
      <c r="I1880" s="93"/>
      <c r="J1880" s="91"/>
      <c r="L1880" s="94" t="str">
        <f t="shared" si="2"/>
        <v>No infirmation</v>
      </c>
      <c r="M1880" s="94" t="str">
        <f t="shared" si="3"/>
        <v/>
      </c>
    </row>
    <row r="1881" ht="15.75" customHeight="1">
      <c r="B1881" s="77">
        <f t="shared" si="1"/>
        <v>0</v>
      </c>
      <c r="C1881" s="67"/>
      <c r="D1881" s="78"/>
      <c r="E1881" s="101"/>
      <c r="F1881" s="108"/>
      <c r="G1881" s="120"/>
      <c r="H1881" s="101"/>
      <c r="I1881" s="93"/>
      <c r="J1881" s="91"/>
      <c r="L1881" s="94" t="str">
        <f t="shared" si="2"/>
        <v>No infirmation</v>
      </c>
      <c r="M1881" s="94" t="str">
        <f t="shared" si="3"/>
        <v/>
      </c>
    </row>
    <row r="1882" ht="15.75" customHeight="1">
      <c r="B1882" s="77">
        <f t="shared" si="1"/>
        <v>0</v>
      </c>
      <c r="C1882" s="67"/>
      <c r="D1882" s="78"/>
      <c r="E1882" s="101"/>
      <c r="F1882" s="108"/>
      <c r="G1882" s="120"/>
      <c r="H1882" s="101"/>
      <c r="I1882" s="93"/>
      <c r="J1882" s="91"/>
      <c r="L1882" s="94" t="str">
        <f t="shared" si="2"/>
        <v>No infirmation</v>
      </c>
      <c r="M1882" s="94" t="str">
        <f t="shared" si="3"/>
        <v/>
      </c>
    </row>
    <row r="1883" ht="15.75" customHeight="1">
      <c r="B1883" s="77">
        <f t="shared" si="1"/>
        <v>0</v>
      </c>
      <c r="C1883" s="67"/>
      <c r="D1883" s="78"/>
      <c r="E1883" s="101"/>
      <c r="F1883" s="108"/>
      <c r="G1883" s="120"/>
      <c r="H1883" s="101"/>
      <c r="I1883" s="93"/>
      <c r="J1883" s="91"/>
      <c r="L1883" s="94" t="str">
        <f t="shared" si="2"/>
        <v>No infirmation</v>
      </c>
      <c r="M1883" s="94" t="str">
        <f t="shared" si="3"/>
        <v/>
      </c>
    </row>
    <row r="1884" ht="15.75" customHeight="1">
      <c r="B1884" s="77">
        <f t="shared" si="1"/>
        <v>0</v>
      </c>
      <c r="C1884" s="67"/>
      <c r="D1884" s="78"/>
      <c r="E1884" s="101"/>
      <c r="F1884" s="108"/>
      <c r="G1884" s="120"/>
      <c r="H1884" s="101"/>
      <c r="I1884" s="93"/>
      <c r="J1884" s="91"/>
      <c r="L1884" s="94" t="str">
        <f t="shared" si="2"/>
        <v>No infirmation</v>
      </c>
      <c r="M1884" s="94" t="str">
        <f t="shared" si="3"/>
        <v/>
      </c>
    </row>
    <row r="1885" ht="15.75" customHeight="1">
      <c r="B1885" s="77">
        <f t="shared" si="1"/>
        <v>0</v>
      </c>
      <c r="C1885" s="67"/>
      <c r="D1885" s="78"/>
      <c r="E1885" s="101"/>
      <c r="F1885" s="108"/>
      <c r="G1885" s="120"/>
      <c r="H1885" s="101"/>
      <c r="I1885" s="93"/>
      <c r="J1885" s="91"/>
      <c r="L1885" s="94" t="str">
        <f t="shared" si="2"/>
        <v>No infirmation</v>
      </c>
      <c r="M1885" s="94" t="str">
        <f t="shared" si="3"/>
        <v/>
      </c>
    </row>
    <row r="1886" ht="15.75" customHeight="1">
      <c r="B1886" s="77">
        <f t="shared" si="1"/>
        <v>0</v>
      </c>
      <c r="C1886" s="67"/>
      <c r="D1886" s="78"/>
      <c r="E1886" s="101"/>
      <c r="F1886" s="108"/>
      <c r="G1886" s="120"/>
      <c r="H1886" s="101"/>
      <c r="I1886" s="93"/>
      <c r="J1886" s="91"/>
      <c r="L1886" s="94" t="str">
        <f t="shared" si="2"/>
        <v>No infirmation</v>
      </c>
      <c r="M1886" s="94" t="str">
        <f t="shared" si="3"/>
        <v/>
      </c>
    </row>
    <row r="1887" ht="15.75" customHeight="1">
      <c r="B1887" s="77">
        <f t="shared" si="1"/>
        <v>0</v>
      </c>
      <c r="C1887" s="67"/>
      <c r="D1887" s="78"/>
      <c r="E1887" s="101"/>
      <c r="F1887" s="108"/>
      <c r="G1887" s="120"/>
      <c r="H1887" s="101"/>
      <c r="I1887" s="93"/>
      <c r="J1887" s="91"/>
      <c r="L1887" s="94" t="str">
        <f t="shared" si="2"/>
        <v>No infirmation</v>
      </c>
      <c r="M1887" s="94" t="str">
        <f t="shared" si="3"/>
        <v/>
      </c>
    </row>
    <row r="1888" ht="15.75" customHeight="1">
      <c r="B1888" s="77">
        <f t="shared" si="1"/>
        <v>0</v>
      </c>
      <c r="C1888" s="67"/>
      <c r="D1888" s="78"/>
      <c r="E1888" s="101"/>
      <c r="F1888" s="108"/>
      <c r="G1888" s="120"/>
      <c r="H1888" s="101"/>
      <c r="I1888" s="93"/>
      <c r="J1888" s="91"/>
      <c r="L1888" s="94" t="str">
        <f t="shared" si="2"/>
        <v>No infirmation</v>
      </c>
      <c r="M1888" s="94" t="str">
        <f t="shared" si="3"/>
        <v/>
      </c>
    </row>
    <row r="1889" ht="15.75" customHeight="1">
      <c r="B1889" s="77">
        <f t="shared" si="1"/>
        <v>0</v>
      </c>
      <c r="C1889" s="67"/>
      <c r="D1889" s="78"/>
      <c r="E1889" s="101"/>
      <c r="F1889" s="108"/>
      <c r="G1889" s="120"/>
      <c r="H1889" s="101"/>
      <c r="I1889" s="93"/>
      <c r="J1889" s="91"/>
      <c r="L1889" s="94" t="str">
        <f t="shared" si="2"/>
        <v>No infirmation</v>
      </c>
      <c r="M1889" s="94" t="str">
        <f t="shared" si="3"/>
        <v/>
      </c>
    </row>
    <row r="1890" ht="15.75" customHeight="1">
      <c r="B1890" s="77">
        <f t="shared" si="1"/>
        <v>0</v>
      </c>
      <c r="C1890" s="67"/>
      <c r="D1890" s="78"/>
      <c r="E1890" s="101"/>
      <c r="F1890" s="108"/>
      <c r="G1890" s="120"/>
      <c r="H1890" s="101"/>
      <c r="I1890" s="93"/>
      <c r="J1890" s="91"/>
      <c r="L1890" s="94" t="str">
        <f t="shared" si="2"/>
        <v>No infirmation</v>
      </c>
      <c r="M1890" s="94" t="str">
        <f t="shared" si="3"/>
        <v/>
      </c>
    </row>
    <row r="1891" ht="15.75" customHeight="1">
      <c r="B1891" s="77">
        <f t="shared" si="1"/>
        <v>0</v>
      </c>
      <c r="C1891" s="67"/>
      <c r="D1891" s="78"/>
      <c r="E1891" s="101"/>
      <c r="F1891" s="108"/>
      <c r="G1891" s="120"/>
      <c r="H1891" s="101"/>
      <c r="I1891" s="93"/>
      <c r="J1891" s="91"/>
      <c r="L1891" s="94" t="str">
        <f t="shared" si="2"/>
        <v>No infirmation</v>
      </c>
      <c r="M1891" s="94" t="str">
        <f t="shared" si="3"/>
        <v/>
      </c>
    </row>
    <row r="1892" ht="15.75" customHeight="1">
      <c r="B1892" s="77">
        <f t="shared" si="1"/>
        <v>0</v>
      </c>
      <c r="C1892" s="67"/>
      <c r="D1892" s="78"/>
      <c r="E1892" s="101"/>
      <c r="F1892" s="108"/>
      <c r="G1892" s="120"/>
      <c r="H1892" s="101"/>
      <c r="I1892" s="93"/>
      <c r="J1892" s="91"/>
      <c r="L1892" s="94" t="str">
        <f t="shared" si="2"/>
        <v>No infirmation</v>
      </c>
      <c r="M1892" s="94" t="str">
        <f t="shared" si="3"/>
        <v/>
      </c>
    </row>
    <row r="1893" ht="15.75" customHeight="1">
      <c r="B1893" s="77">
        <f t="shared" si="1"/>
        <v>0</v>
      </c>
      <c r="C1893" s="67"/>
      <c r="D1893" s="78"/>
      <c r="E1893" s="101"/>
      <c r="F1893" s="108"/>
      <c r="G1893" s="120"/>
      <c r="H1893" s="101"/>
      <c r="I1893" s="93"/>
      <c r="J1893" s="91"/>
      <c r="L1893" s="94" t="str">
        <f t="shared" si="2"/>
        <v>No infirmation</v>
      </c>
      <c r="M1893" s="94" t="str">
        <f t="shared" si="3"/>
        <v/>
      </c>
    </row>
    <row r="1894" ht="15.75" customHeight="1">
      <c r="B1894" s="77">
        <f t="shared" si="1"/>
        <v>0</v>
      </c>
      <c r="C1894" s="67"/>
      <c r="D1894" s="78"/>
      <c r="E1894" s="101"/>
      <c r="F1894" s="108"/>
      <c r="G1894" s="120"/>
      <c r="H1894" s="101"/>
      <c r="I1894" s="93"/>
      <c r="J1894" s="91"/>
      <c r="L1894" s="94" t="str">
        <f t="shared" si="2"/>
        <v>No infirmation</v>
      </c>
      <c r="M1894" s="94" t="str">
        <f t="shared" si="3"/>
        <v/>
      </c>
    </row>
    <row r="1895" ht="15.75" customHeight="1">
      <c r="B1895" s="77">
        <f t="shared" si="1"/>
        <v>0</v>
      </c>
      <c r="C1895" s="67"/>
      <c r="D1895" s="78"/>
      <c r="E1895" s="101"/>
      <c r="F1895" s="108"/>
      <c r="G1895" s="120"/>
      <c r="H1895" s="101"/>
      <c r="I1895" s="93"/>
      <c r="J1895" s="91"/>
      <c r="L1895" s="94" t="str">
        <f t="shared" si="2"/>
        <v>No infirmation</v>
      </c>
      <c r="M1895" s="94" t="str">
        <f t="shared" si="3"/>
        <v/>
      </c>
    </row>
    <row r="1896" ht="15.75" customHeight="1">
      <c r="B1896" s="77">
        <f t="shared" si="1"/>
        <v>0</v>
      </c>
      <c r="C1896" s="67"/>
      <c r="D1896" s="78"/>
      <c r="E1896" s="101"/>
      <c r="F1896" s="108"/>
      <c r="G1896" s="120"/>
      <c r="H1896" s="101"/>
      <c r="I1896" s="93"/>
      <c r="J1896" s="91"/>
      <c r="L1896" s="94" t="str">
        <f t="shared" si="2"/>
        <v>No infirmation</v>
      </c>
      <c r="M1896" s="94" t="str">
        <f t="shared" si="3"/>
        <v/>
      </c>
    </row>
    <row r="1897" ht="15.75" customHeight="1">
      <c r="B1897" s="77">
        <f t="shared" si="1"/>
        <v>0</v>
      </c>
      <c r="C1897" s="67"/>
      <c r="D1897" s="78"/>
      <c r="E1897" s="101"/>
      <c r="F1897" s="108"/>
      <c r="G1897" s="120"/>
      <c r="H1897" s="101"/>
      <c r="I1897" s="93"/>
      <c r="J1897" s="91"/>
      <c r="L1897" s="94" t="str">
        <f t="shared" si="2"/>
        <v>No infirmation</v>
      </c>
      <c r="M1897" s="94" t="str">
        <f t="shared" si="3"/>
        <v/>
      </c>
    </row>
    <row r="1898" ht="15.75" customHeight="1">
      <c r="B1898" s="77">
        <f t="shared" si="1"/>
        <v>0</v>
      </c>
      <c r="C1898" s="67"/>
      <c r="D1898" s="78"/>
      <c r="E1898" s="101"/>
      <c r="F1898" s="108"/>
      <c r="G1898" s="120"/>
      <c r="H1898" s="101"/>
      <c r="I1898" s="93"/>
      <c r="J1898" s="91"/>
      <c r="L1898" s="94" t="str">
        <f t="shared" si="2"/>
        <v>No infirmation</v>
      </c>
      <c r="M1898" s="94" t="str">
        <f t="shared" si="3"/>
        <v/>
      </c>
    </row>
    <row r="1899" ht="15.75" customHeight="1">
      <c r="B1899" s="77">
        <f t="shared" si="1"/>
        <v>0</v>
      </c>
      <c r="C1899" s="67"/>
      <c r="D1899" s="78"/>
      <c r="E1899" s="101"/>
      <c r="F1899" s="108"/>
      <c r="G1899" s="120"/>
      <c r="H1899" s="101"/>
      <c r="I1899" s="93"/>
      <c r="J1899" s="91"/>
      <c r="L1899" s="94" t="str">
        <f t="shared" si="2"/>
        <v>No infirmation</v>
      </c>
      <c r="M1899" s="94" t="str">
        <f t="shared" si="3"/>
        <v/>
      </c>
    </row>
    <row r="1900" ht="15.75" customHeight="1">
      <c r="B1900" s="77">
        <f t="shared" si="1"/>
        <v>0</v>
      </c>
      <c r="C1900" s="67"/>
      <c r="D1900" s="78"/>
      <c r="E1900" s="101"/>
      <c r="F1900" s="108"/>
      <c r="G1900" s="120"/>
      <c r="H1900" s="101"/>
      <c r="I1900" s="93"/>
      <c r="J1900" s="91"/>
      <c r="L1900" s="94" t="str">
        <f t="shared" si="2"/>
        <v>No infirmation</v>
      </c>
      <c r="M1900" s="94" t="str">
        <f t="shared" si="3"/>
        <v/>
      </c>
    </row>
    <row r="1901" ht="15.75" customHeight="1">
      <c r="B1901" s="77">
        <f t="shared" si="1"/>
        <v>0</v>
      </c>
      <c r="C1901" s="67"/>
      <c r="D1901" s="78"/>
      <c r="E1901" s="101"/>
      <c r="F1901" s="108"/>
      <c r="G1901" s="120"/>
      <c r="H1901" s="101"/>
      <c r="I1901" s="93"/>
      <c r="J1901" s="91"/>
      <c r="L1901" s="94" t="str">
        <f t="shared" si="2"/>
        <v>No infirmation</v>
      </c>
      <c r="M1901" s="94" t="str">
        <f t="shared" si="3"/>
        <v/>
      </c>
    </row>
    <row r="1902" ht="15.75" customHeight="1">
      <c r="B1902" s="77">
        <f t="shared" si="1"/>
        <v>0</v>
      </c>
      <c r="C1902" s="67"/>
      <c r="D1902" s="78"/>
      <c r="E1902" s="101"/>
      <c r="F1902" s="108"/>
      <c r="G1902" s="120"/>
      <c r="H1902" s="101"/>
      <c r="I1902" s="93"/>
      <c r="J1902" s="91"/>
      <c r="L1902" s="94" t="str">
        <f t="shared" si="2"/>
        <v>No infirmation</v>
      </c>
      <c r="M1902" s="94" t="str">
        <f t="shared" si="3"/>
        <v/>
      </c>
    </row>
    <row r="1903" ht="15.75" customHeight="1">
      <c r="B1903" s="77">
        <f t="shared" si="1"/>
        <v>0</v>
      </c>
      <c r="C1903" s="67"/>
      <c r="D1903" s="78"/>
      <c r="E1903" s="101"/>
      <c r="F1903" s="108"/>
      <c r="G1903" s="120"/>
      <c r="H1903" s="101"/>
      <c r="I1903" s="93"/>
      <c r="J1903" s="91"/>
      <c r="L1903" s="94" t="str">
        <f t="shared" si="2"/>
        <v>No infirmation</v>
      </c>
      <c r="M1903" s="94" t="str">
        <f t="shared" si="3"/>
        <v/>
      </c>
    </row>
    <row r="1904" ht="15.75" customHeight="1">
      <c r="B1904" s="77">
        <f t="shared" si="1"/>
        <v>0</v>
      </c>
      <c r="C1904" s="67"/>
      <c r="D1904" s="78"/>
      <c r="E1904" s="101"/>
      <c r="F1904" s="108"/>
      <c r="G1904" s="120"/>
      <c r="H1904" s="101"/>
      <c r="I1904" s="93"/>
      <c r="J1904" s="91"/>
      <c r="L1904" s="94" t="str">
        <f t="shared" si="2"/>
        <v>No infirmation</v>
      </c>
      <c r="M1904" s="94" t="str">
        <f t="shared" si="3"/>
        <v/>
      </c>
    </row>
    <row r="1905" ht="15.75" customHeight="1">
      <c r="B1905" s="77">
        <f t="shared" si="1"/>
        <v>0</v>
      </c>
      <c r="C1905" s="67"/>
      <c r="D1905" s="78"/>
      <c r="E1905" s="101"/>
      <c r="F1905" s="108"/>
      <c r="G1905" s="120"/>
      <c r="H1905" s="101"/>
      <c r="I1905" s="93"/>
      <c r="J1905" s="91"/>
      <c r="L1905" s="94" t="str">
        <f t="shared" si="2"/>
        <v>No infirmation</v>
      </c>
      <c r="M1905" s="94" t="str">
        <f t="shared" si="3"/>
        <v/>
      </c>
    </row>
    <row r="1906" ht="15.75" customHeight="1">
      <c r="B1906" s="77">
        <f t="shared" si="1"/>
        <v>0</v>
      </c>
      <c r="C1906" s="67"/>
      <c r="D1906" s="78"/>
      <c r="E1906" s="101"/>
      <c r="F1906" s="108"/>
      <c r="G1906" s="120"/>
      <c r="H1906" s="101"/>
      <c r="I1906" s="93"/>
      <c r="J1906" s="91"/>
      <c r="L1906" s="94" t="str">
        <f t="shared" si="2"/>
        <v>No infirmation</v>
      </c>
      <c r="M1906" s="94" t="str">
        <f t="shared" si="3"/>
        <v/>
      </c>
    </row>
    <row r="1907" ht="15.75" customHeight="1">
      <c r="B1907" s="77">
        <f t="shared" si="1"/>
        <v>0</v>
      </c>
      <c r="C1907" s="67"/>
      <c r="D1907" s="78"/>
      <c r="E1907" s="101"/>
      <c r="F1907" s="108"/>
      <c r="G1907" s="120"/>
      <c r="H1907" s="101"/>
      <c r="I1907" s="93"/>
      <c r="J1907" s="91"/>
      <c r="L1907" s="94" t="str">
        <f t="shared" si="2"/>
        <v>No infirmation</v>
      </c>
      <c r="M1907" s="94" t="str">
        <f t="shared" si="3"/>
        <v/>
      </c>
    </row>
    <row r="1908" ht="15.75" customHeight="1">
      <c r="B1908" s="77">
        <f t="shared" si="1"/>
        <v>0</v>
      </c>
      <c r="C1908" s="67"/>
      <c r="D1908" s="78"/>
      <c r="E1908" s="101"/>
      <c r="F1908" s="108"/>
      <c r="G1908" s="120"/>
      <c r="H1908" s="101"/>
      <c r="I1908" s="93"/>
      <c r="J1908" s="91"/>
      <c r="L1908" s="94" t="str">
        <f t="shared" si="2"/>
        <v>No infirmation</v>
      </c>
      <c r="M1908" s="94" t="str">
        <f t="shared" si="3"/>
        <v/>
      </c>
    </row>
    <row r="1909" ht="15.75" customHeight="1">
      <c r="B1909" s="77">
        <f t="shared" si="1"/>
        <v>0</v>
      </c>
      <c r="C1909" s="67"/>
      <c r="D1909" s="78"/>
      <c r="E1909" s="101"/>
      <c r="F1909" s="108"/>
      <c r="G1909" s="120"/>
      <c r="H1909" s="101"/>
      <c r="I1909" s="93"/>
      <c r="J1909" s="91"/>
      <c r="L1909" s="94" t="str">
        <f t="shared" si="2"/>
        <v>No infirmation</v>
      </c>
      <c r="M1909" s="94" t="str">
        <f t="shared" si="3"/>
        <v/>
      </c>
    </row>
    <row r="1910" ht="15.75" customHeight="1">
      <c r="B1910" s="77">
        <f t="shared" si="1"/>
        <v>0</v>
      </c>
      <c r="C1910" s="67"/>
      <c r="D1910" s="78"/>
      <c r="E1910" s="101"/>
      <c r="F1910" s="108"/>
      <c r="G1910" s="120"/>
      <c r="H1910" s="101"/>
      <c r="I1910" s="93"/>
      <c r="J1910" s="91"/>
      <c r="L1910" s="94" t="str">
        <f t="shared" si="2"/>
        <v>No infirmation</v>
      </c>
      <c r="M1910" s="94" t="str">
        <f t="shared" si="3"/>
        <v/>
      </c>
    </row>
    <row r="1911" ht="15.75" customHeight="1">
      <c r="B1911" s="77">
        <f t="shared" si="1"/>
        <v>0</v>
      </c>
      <c r="C1911" s="67"/>
      <c r="D1911" s="78"/>
      <c r="E1911" s="101"/>
      <c r="F1911" s="108"/>
      <c r="G1911" s="120"/>
      <c r="H1911" s="101"/>
      <c r="I1911" s="93"/>
      <c r="J1911" s="91"/>
      <c r="L1911" s="94" t="str">
        <f t="shared" si="2"/>
        <v>No infirmation</v>
      </c>
      <c r="M1911" s="94" t="str">
        <f t="shared" si="3"/>
        <v/>
      </c>
    </row>
    <row r="1912" ht="15.75" customHeight="1">
      <c r="B1912" s="77">
        <f t="shared" si="1"/>
        <v>0</v>
      </c>
      <c r="C1912" s="67"/>
      <c r="D1912" s="78"/>
      <c r="E1912" s="101"/>
      <c r="F1912" s="108"/>
      <c r="G1912" s="120"/>
      <c r="H1912" s="101"/>
      <c r="I1912" s="93"/>
      <c r="J1912" s="91"/>
      <c r="L1912" s="94" t="str">
        <f t="shared" si="2"/>
        <v>No infirmation</v>
      </c>
      <c r="M1912" s="94" t="str">
        <f t="shared" si="3"/>
        <v/>
      </c>
    </row>
    <row r="1913" ht="15.75" customHeight="1">
      <c r="B1913" s="77">
        <f t="shared" si="1"/>
        <v>0</v>
      </c>
      <c r="C1913" s="67"/>
      <c r="D1913" s="78"/>
      <c r="E1913" s="101"/>
      <c r="F1913" s="108"/>
      <c r="G1913" s="120"/>
      <c r="H1913" s="101"/>
      <c r="I1913" s="93"/>
      <c r="J1913" s="91"/>
      <c r="L1913" s="94" t="str">
        <f t="shared" si="2"/>
        <v>No infirmation</v>
      </c>
      <c r="M1913" s="94" t="str">
        <f t="shared" si="3"/>
        <v/>
      </c>
    </row>
    <row r="1914" ht="15.75" customHeight="1">
      <c r="B1914" s="77">
        <f t="shared" si="1"/>
        <v>0</v>
      </c>
      <c r="C1914" s="67"/>
      <c r="D1914" s="78"/>
      <c r="E1914" s="101"/>
      <c r="F1914" s="108"/>
      <c r="G1914" s="120"/>
      <c r="H1914" s="101"/>
      <c r="I1914" s="93"/>
      <c r="J1914" s="91"/>
      <c r="L1914" s="94" t="str">
        <f t="shared" si="2"/>
        <v>No infirmation</v>
      </c>
      <c r="M1914" s="94" t="str">
        <f t="shared" si="3"/>
        <v/>
      </c>
    </row>
    <row r="1915" ht="15.75" customHeight="1">
      <c r="B1915" s="77">
        <f t="shared" si="1"/>
        <v>0</v>
      </c>
      <c r="C1915" s="67"/>
      <c r="D1915" s="78"/>
      <c r="E1915" s="101"/>
      <c r="F1915" s="108"/>
      <c r="G1915" s="120"/>
      <c r="H1915" s="101"/>
      <c r="I1915" s="93"/>
      <c r="J1915" s="91"/>
      <c r="L1915" s="94" t="str">
        <f t="shared" si="2"/>
        <v>No infirmation</v>
      </c>
      <c r="M1915" s="94" t="str">
        <f t="shared" si="3"/>
        <v/>
      </c>
    </row>
    <row r="1916" ht="15.75" customHeight="1">
      <c r="B1916" s="77">
        <f t="shared" si="1"/>
        <v>0</v>
      </c>
      <c r="C1916" s="67"/>
      <c r="D1916" s="78"/>
      <c r="E1916" s="101"/>
      <c r="F1916" s="108"/>
      <c r="G1916" s="120"/>
      <c r="H1916" s="101"/>
      <c r="I1916" s="93"/>
      <c r="J1916" s="91"/>
      <c r="L1916" s="94" t="str">
        <f t="shared" si="2"/>
        <v>No infirmation</v>
      </c>
      <c r="M1916" s="94" t="str">
        <f t="shared" si="3"/>
        <v/>
      </c>
    </row>
    <row r="1917" ht="15.75" customHeight="1">
      <c r="B1917" s="77">
        <f t="shared" si="1"/>
        <v>0</v>
      </c>
      <c r="C1917" s="67"/>
      <c r="D1917" s="78"/>
      <c r="E1917" s="101"/>
      <c r="F1917" s="108"/>
      <c r="G1917" s="120"/>
      <c r="H1917" s="101"/>
      <c r="I1917" s="93"/>
      <c r="J1917" s="91"/>
      <c r="L1917" s="94" t="str">
        <f t="shared" si="2"/>
        <v>No infirmation</v>
      </c>
      <c r="M1917" s="94" t="str">
        <f t="shared" si="3"/>
        <v/>
      </c>
    </row>
    <row r="1918" ht="15.75" customHeight="1">
      <c r="B1918" s="77">
        <f t="shared" si="1"/>
        <v>0</v>
      </c>
      <c r="C1918" s="67"/>
      <c r="D1918" s="78"/>
      <c r="E1918" s="101"/>
      <c r="F1918" s="108"/>
      <c r="G1918" s="120"/>
      <c r="H1918" s="101"/>
      <c r="I1918" s="93"/>
      <c r="J1918" s="91"/>
      <c r="L1918" s="94" t="str">
        <f t="shared" si="2"/>
        <v>No infirmation</v>
      </c>
      <c r="M1918" s="94" t="str">
        <f t="shared" si="3"/>
        <v/>
      </c>
    </row>
    <row r="1919" ht="15.75" customHeight="1">
      <c r="B1919" s="77">
        <f t="shared" si="1"/>
        <v>0</v>
      </c>
      <c r="C1919" s="67"/>
      <c r="D1919" s="78"/>
      <c r="E1919" s="101"/>
      <c r="F1919" s="108"/>
      <c r="G1919" s="120"/>
      <c r="H1919" s="101"/>
      <c r="I1919" s="93"/>
      <c r="J1919" s="91"/>
      <c r="L1919" s="94" t="str">
        <f t="shared" si="2"/>
        <v>No infirmation</v>
      </c>
      <c r="M1919" s="94" t="str">
        <f t="shared" si="3"/>
        <v/>
      </c>
    </row>
    <row r="1920" ht="15.75" customHeight="1">
      <c r="B1920" s="77">
        <f t="shared" si="1"/>
        <v>0</v>
      </c>
      <c r="C1920" s="67"/>
      <c r="D1920" s="78"/>
      <c r="E1920" s="101"/>
      <c r="F1920" s="108"/>
      <c r="G1920" s="120"/>
      <c r="H1920" s="101"/>
      <c r="I1920" s="93"/>
      <c r="J1920" s="91"/>
      <c r="L1920" s="94" t="str">
        <f t="shared" si="2"/>
        <v>No infirmation</v>
      </c>
      <c r="M1920" s="94" t="str">
        <f t="shared" si="3"/>
        <v/>
      </c>
    </row>
    <row r="1921" ht="15.75" customHeight="1">
      <c r="B1921" s="77">
        <f t="shared" si="1"/>
        <v>0</v>
      </c>
      <c r="C1921" s="67"/>
      <c r="D1921" s="78"/>
      <c r="E1921" s="101"/>
      <c r="F1921" s="108"/>
      <c r="G1921" s="120"/>
      <c r="H1921" s="101"/>
      <c r="I1921" s="93"/>
      <c r="J1921" s="91"/>
      <c r="L1921" s="94" t="str">
        <f t="shared" si="2"/>
        <v>No infirmation</v>
      </c>
      <c r="M1921" s="94" t="str">
        <f t="shared" si="3"/>
        <v/>
      </c>
    </row>
    <row r="1922" ht="15.75" customHeight="1">
      <c r="B1922" s="77">
        <f t="shared" si="1"/>
        <v>0</v>
      </c>
      <c r="C1922" s="67"/>
      <c r="D1922" s="78"/>
      <c r="E1922" s="101"/>
      <c r="F1922" s="108"/>
      <c r="G1922" s="120"/>
      <c r="H1922" s="101"/>
      <c r="I1922" s="93"/>
      <c r="J1922" s="91"/>
      <c r="L1922" s="94" t="str">
        <f t="shared" si="2"/>
        <v>No infirmation</v>
      </c>
      <c r="M1922" s="94" t="str">
        <f t="shared" si="3"/>
        <v/>
      </c>
    </row>
    <row r="1923" ht="15.75" customHeight="1">
      <c r="B1923" s="77">
        <f t="shared" si="1"/>
        <v>0</v>
      </c>
      <c r="C1923" s="67"/>
      <c r="D1923" s="78"/>
      <c r="E1923" s="101"/>
      <c r="F1923" s="108"/>
      <c r="G1923" s="120"/>
      <c r="H1923" s="101"/>
      <c r="I1923" s="93"/>
      <c r="J1923" s="91"/>
      <c r="L1923" s="94" t="str">
        <f t="shared" si="2"/>
        <v>No infirmation</v>
      </c>
      <c r="M1923" s="94" t="str">
        <f t="shared" si="3"/>
        <v/>
      </c>
    </row>
    <row r="1924" ht="15.75" customHeight="1">
      <c r="B1924" s="77">
        <f t="shared" si="1"/>
        <v>0</v>
      </c>
      <c r="C1924" s="67"/>
      <c r="D1924" s="78"/>
      <c r="E1924" s="101"/>
      <c r="F1924" s="108"/>
      <c r="G1924" s="120"/>
      <c r="H1924" s="101"/>
      <c r="I1924" s="93"/>
      <c r="J1924" s="91"/>
      <c r="L1924" s="94" t="str">
        <f t="shared" si="2"/>
        <v>No infirmation</v>
      </c>
      <c r="M1924" s="94" t="str">
        <f t="shared" si="3"/>
        <v/>
      </c>
    </row>
    <row r="1925" ht="15.75" customHeight="1">
      <c r="B1925" s="77">
        <f t="shared" si="1"/>
        <v>0</v>
      </c>
      <c r="C1925" s="67"/>
      <c r="D1925" s="78"/>
      <c r="E1925" s="101"/>
      <c r="F1925" s="108"/>
      <c r="G1925" s="120"/>
      <c r="H1925" s="101"/>
      <c r="I1925" s="93"/>
      <c r="J1925" s="91"/>
      <c r="L1925" s="94" t="str">
        <f t="shared" si="2"/>
        <v>No infirmation</v>
      </c>
      <c r="M1925" s="94" t="str">
        <f t="shared" si="3"/>
        <v/>
      </c>
    </row>
    <row r="1926" ht="15.75" customHeight="1">
      <c r="B1926" s="77">
        <f t="shared" si="1"/>
        <v>0</v>
      </c>
      <c r="C1926" s="67"/>
      <c r="D1926" s="78"/>
      <c r="E1926" s="101"/>
      <c r="F1926" s="108"/>
      <c r="G1926" s="120"/>
      <c r="H1926" s="101"/>
      <c r="I1926" s="93"/>
      <c r="J1926" s="91"/>
      <c r="L1926" s="94" t="str">
        <f t="shared" si="2"/>
        <v>No infirmation</v>
      </c>
      <c r="M1926" s="94" t="str">
        <f t="shared" si="3"/>
        <v/>
      </c>
    </row>
    <row r="1927" ht="15.75" customHeight="1">
      <c r="B1927" s="77">
        <f t="shared" si="1"/>
        <v>0</v>
      </c>
      <c r="C1927" s="67"/>
      <c r="D1927" s="78"/>
      <c r="E1927" s="101"/>
      <c r="F1927" s="108"/>
      <c r="G1927" s="120"/>
      <c r="H1927" s="101"/>
      <c r="I1927" s="93"/>
      <c r="J1927" s="91"/>
      <c r="L1927" s="94" t="str">
        <f t="shared" si="2"/>
        <v>No infirmation</v>
      </c>
      <c r="M1927" s="94" t="str">
        <f t="shared" si="3"/>
        <v/>
      </c>
    </row>
    <row r="1928" ht="15.75" customHeight="1">
      <c r="B1928" s="77">
        <f t="shared" si="1"/>
        <v>0</v>
      </c>
      <c r="C1928" s="67"/>
      <c r="D1928" s="78"/>
      <c r="E1928" s="101"/>
      <c r="F1928" s="108"/>
      <c r="G1928" s="120"/>
      <c r="H1928" s="101"/>
      <c r="I1928" s="93"/>
      <c r="J1928" s="91"/>
      <c r="L1928" s="94" t="str">
        <f t="shared" si="2"/>
        <v>No infirmation</v>
      </c>
      <c r="M1928" s="94" t="str">
        <f t="shared" si="3"/>
        <v/>
      </c>
    </row>
    <row r="1929" ht="15.75" customHeight="1">
      <c r="B1929" s="77">
        <f t="shared" si="1"/>
        <v>0</v>
      </c>
      <c r="C1929" s="67"/>
      <c r="D1929" s="78"/>
      <c r="E1929" s="101"/>
      <c r="F1929" s="108"/>
      <c r="G1929" s="120"/>
      <c r="H1929" s="101"/>
      <c r="I1929" s="93"/>
      <c r="J1929" s="91"/>
      <c r="L1929" s="94" t="str">
        <f t="shared" si="2"/>
        <v>No infirmation</v>
      </c>
      <c r="M1929" s="94" t="str">
        <f t="shared" si="3"/>
        <v/>
      </c>
    </row>
    <row r="1930" ht="15.75" customHeight="1">
      <c r="B1930" s="77">
        <f t="shared" si="1"/>
        <v>0</v>
      </c>
      <c r="C1930" s="67"/>
      <c r="D1930" s="78"/>
      <c r="E1930" s="101"/>
      <c r="F1930" s="108"/>
      <c r="G1930" s="120"/>
      <c r="H1930" s="101"/>
      <c r="I1930" s="93"/>
      <c r="J1930" s="91"/>
      <c r="L1930" s="94" t="str">
        <f t="shared" si="2"/>
        <v>No infirmation</v>
      </c>
      <c r="M1930" s="94" t="str">
        <f t="shared" si="3"/>
        <v/>
      </c>
    </row>
    <row r="1931" ht="15.75" customHeight="1">
      <c r="B1931" s="77">
        <f t="shared" si="1"/>
        <v>0</v>
      </c>
      <c r="C1931" s="67"/>
      <c r="D1931" s="78"/>
      <c r="E1931" s="101"/>
      <c r="F1931" s="108"/>
      <c r="G1931" s="120"/>
      <c r="H1931" s="101"/>
      <c r="I1931" s="93"/>
      <c r="J1931" s="91"/>
      <c r="L1931" s="94" t="str">
        <f t="shared" si="2"/>
        <v>No infirmation</v>
      </c>
      <c r="M1931" s="94" t="str">
        <f t="shared" si="3"/>
        <v/>
      </c>
    </row>
    <row r="1932" ht="15.75" customHeight="1">
      <c r="B1932" s="77">
        <f t="shared" si="1"/>
        <v>0</v>
      </c>
      <c r="C1932" s="67"/>
      <c r="D1932" s="78"/>
      <c r="E1932" s="101"/>
      <c r="F1932" s="108"/>
      <c r="G1932" s="120"/>
      <c r="H1932" s="101"/>
      <c r="I1932" s="93"/>
      <c r="J1932" s="91"/>
      <c r="L1932" s="94" t="str">
        <f t="shared" si="2"/>
        <v>No infirmation</v>
      </c>
      <c r="M1932" s="94" t="str">
        <f t="shared" si="3"/>
        <v/>
      </c>
    </row>
    <row r="1933" ht="15.75" customHeight="1">
      <c r="B1933" s="77">
        <f t="shared" si="1"/>
        <v>0</v>
      </c>
      <c r="C1933" s="67"/>
      <c r="D1933" s="78"/>
      <c r="E1933" s="101"/>
      <c r="F1933" s="108"/>
      <c r="G1933" s="120"/>
      <c r="H1933" s="101"/>
      <c r="I1933" s="93"/>
      <c r="J1933" s="91"/>
      <c r="L1933" s="94" t="str">
        <f t="shared" si="2"/>
        <v>No infirmation</v>
      </c>
      <c r="M1933" s="94" t="str">
        <f t="shared" si="3"/>
        <v/>
      </c>
    </row>
    <row r="1934" ht="15.75" customHeight="1">
      <c r="B1934" s="77">
        <f t="shared" si="1"/>
        <v>0</v>
      </c>
      <c r="C1934" s="67"/>
      <c r="D1934" s="78"/>
      <c r="E1934" s="101"/>
      <c r="F1934" s="108"/>
      <c r="G1934" s="120"/>
      <c r="H1934" s="101"/>
      <c r="I1934" s="93"/>
      <c r="J1934" s="91"/>
      <c r="L1934" s="94" t="str">
        <f t="shared" si="2"/>
        <v>No infirmation</v>
      </c>
      <c r="M1934" s="94" t="str">
        <f t="shared" si="3"/>
        <v/>
      </c>
    </row>
    <row r="1935" ht="15.75" customHeight="1">
      <c r="B1935" s="77">
        <f t="shared" si="1"/>
        <v>0</v>
      </c>
      <c r="C1935" s="67"/>
      <c r="D1935" s="78"/>
      <c r="E1935" s="101"/>
      <c r="F1935" s="108"/>
      <c r="G1935" s="120"/>
      <c r="H1935" s="101"/>
      <c r="I1935" s="93"/>
      <c r="J1935" s="91"/>
      <c r="L1935" s="94" t="str">
        <f t="shared" si="2"/>
        <v>No infirmation</v>
      </c>
      <c r="M1935" s="94" t="str">
        <f t="shared" si="3"/>
        <v/>
      </c>
    </row>
    <row r="1936" ht="15.75" customHeight="1">
      <c r="B1936" s="77">
        <f t="shared" si="1"/>
        <v>0</v>
      </c>
      <c r="C1936" s="67"/>
      <c r="D1936" s="78"/>
      <c r="E1936" s="101"/>
      <c r="F1936" s="108"/>
      <c r="G1936" s="120"/>
      <c r="H1936" s="101"/>
      <c r="I1936" s="93"/>
      <c r="J1936" s="91"/>
      <c r="L1936" s="94" t="str">
        <f t="shared" si="2"/>
        <v>No infirmation</v>
      </c>
      <c r="M1936" s="94" t="str">
        <f t="shared" si="3"/>
        <v/>
      </c>
    </row>
    <row r="1937" ht="15.75" customHeight="1">
      <c r="B1937" s="77">
        <f t="shared" si="1"/>
        <v>0</v>
      </c>
      <c r="C1937" s="67"/>
      <c r="D1937" s="78"/>
      <c r="E1937" s="101"/>
      <c r="F1937" s="108"/>
      <c r="G1937" s="120"/>
      <c r="H1937" s="101"/>
      <c r="I1937" s="93"/>
      <c r="J1937" s="91"/>
      <c r="L1937" s="94" t="str">
        <f t="shared" si="2"/>
        <v>No infirmation</v>
      </c>
      <c r="M1937" s="94" t="str">
        <f t="shared" si="3"/>
        <v/>
      </c>
    </row>
    <row r="1938" ht="15.75" customHeight="1">
      <c r="B1938" s="77">
        <f t="shared" si="1"/>
        <v>0</v>
      </c>
      <c r="C1938" s="67"/>
      <c r="D1938" s="78"/>
      <c r="E1938" s="101"/>
      <c r="F1938" s="108"/>
      <c r="G1938" s="120"/>
      <c r="H1938" s="101"/>
      <c r="I1938" s="93"/>
      <c r="J1938" s="91"/>
      <c r="L1938" s="94" t="str">
        <f t="shared" si="2"/>
        <v>No infirmation</v>
      </c>
      <c r="M1938" s="94" t="str">
        <f t="shared" si="3"/>
        <v/>
      </c>
    </row>
    <row r="1939" ht="15.75" customHeight="1">
      <c r="B1939" s="77">
        <f t="shared" si="1"/>
        <v>0</v>
      </c>
      <c r="C1939" s="67"/>
      <c r="D1939" s="78"/>
      <c r="E1939" s="101"/>
      <c r="F1939" s="108"/>
      <c r="G1939" s="120"/>
      <c r="H1939" s="101"/>
      <c r="I1939" s="93"/>
      <c r="J1939" s="91"/>
      <c r="L1939" s="94" t="str">
        <f t="shared" si="2"/>
        <v>No infirmation</v>
      </c>
      <c r="M1939" s="94" t="str">
        <f t="shared" si="3"/>
        <v/>
      </c>
    </row>
    <row r="1940" ht="15.75" customHeight="1">
      <c r="B1940" s="77">
        <f t="shared" si="1"/>
        <v>0</v>
      </c>
      <c r="C1940" s="67"/>
      <c r="D1940" s="78"/>
      <c r="E1940" s="101"/>
      <c r="F1940" s="108"/>
      <c r="G1940" s="120"/>
      <c r="H1940" s="101"/>
      <c r="I1940" s="93"/>
      <c r="J1940" s="91"/>
      <c r="L1940" s="94" t="str">
        <f t="shared" si="2"/>
        <v>No infirmation</v>
      </c>
      <c r="M1940" s="94" t="str">
        <f t="shared" si="3"/>
        <v/>
      </c>
    </row>
    <row r="1941" ht="15.75" customHeight="1">
      <c r="B1941" s="77">
        <f t="shared" si="1"/>
        <v>0</v>
      </c>
      <c r="C1941" s="67"/>
      <c r="D1941" s="78"/>
      <c r="E1941" s="101"/>
      <c r="F1941" s="108"/>
      <c r="G1941" s="120"/>
      <c r="H1941" s="101"/>
      <c r="I1941" s="93"/>
      <c r="J1941" s="91"/>
      <c r="L1941" s="94" t="str">
        <f t="shared" si="2"/>
        <v>No infirmation</v>
      </c>
      <c r="M1941" s="94" t="str">
        <f t="shared" si="3"/>
        <v/>
      </c>
    </row>
    <row r="1942" ht="15.75" customHeight="1">
      <c r="B1942" s="77">
        <f t="shared" si="1"/>
        <v>0</v>
      </c>
      <c r="C1942" s="67"/>
      <c r="D1942" s="78"/>
      <c r="E1942" s="101"/>
      <c r="F1942" s="108"/>
      <c r="G1942" s="120"/>
      <c r="H1942" s="101"/>
      <c r="I1942" s="93"/>
      <c r="J1942" s="91"/>
      <c r="L1942" s="94" t="str">
        <f t="shared" si="2"/>
        <v>No infirmation</v>
      </c>
      <c r="M1942" s="94" t="str">
        <f t="shared" si="3"/>
        <v/>
      </c>
    </row>
    <row r="1943" ht="15.75" customHeight="1">
      <c r="B1943" s="77">
        <f t="shared" si="1"/>
        <v>0</v>
      </c>
      <c r="C1943" s="67"/>
      <c r="D1943" s="78"/>
      <c r="E1943" s="101"/>
      <c r="F1943" s="108"/>
      <c r="G1943" s="120"/>
      <c r="H1943" s="101"/>
      <c r="I1943" s="93"/>
      <c r="J1943" s="91"/>
      <c r="L1943" s="94" t="str">
        <f t="shared" si="2"/>
        <v>No infirmation</v>
      </c>
      <c r="M1943" s="94" t="str">
        <f t="shared" si="3"/>
        <v/>
      </c>
    </row>
    <row r="1944" ht="15.75" customHeight="1">
      <c r="B1944" s="77">
        <f t="shared" si="1"/>
        <v>0</v>
      </c>
      <c r="C1944" s="67"/>
      <c r="D1944" s="78"/>
      <c r="E1944" s="101"/>
      <c r="F1944" s="108"/>
      <c r="G1944" s="120"/>
      <c r="H1944" s="101"/>
      <c r="I1944" s="93"/>
      <c r="J1944" s="91"/>
      <c r="L1944" s="94" t="str">
        <f t="shared" si="2"/>
        <v>No infirmation</v>
      </c>
      <c r="M1944" s="94" t="str">
        <f t="shared" si="3"/>
        <v/>
      </c>
    </row>
    <row r="1945" ht="15.75" customHeight="1">
      <c r="B1945" s="77">
        <f t="shared" si="1"/>
        <v>0</v>
      </c>
      <c r="C1945" s="67"/>
      <c r="D1945" s="78"/>
      <c r="E1945" s="101"/>
      <c r="F1945" s="108"/>
      <c r="G1945" s="120"/>
      <c r="H1945" s="101"/>
      <c r="I1945" s="93"/>
      <c r="J1945" s="91"/>
      <c r="L1945" s="94" t="str">
        <f t="shared" si="2"/>
        <v>No infirmation</v>
      </c>
      <c r="M1945" s="94" t="str">
        <f t="shared" si="3"/>
        <v/>
      </c>
    </row>
    <row r="1946" ht="15.75" customHeight="1">
      <c r="B1946" s="77">
        <f t="shared" si="1"/>
        <v>0</v>
      </c>
      <c r="C1946" s="67"/>
      <c r="D1946" s="78"/>
      <c r="E1946" s="101"/>
      <c r="F1946" s="108"/>
      <c r="G1946" s="120"/>
      <c r="H1946" s="101"/>
      <c r="I1946" s="93"/>
      <c r="J1946" s="91"/>
      <c r="L1946" s="94" t="str">
        <f t="shared" si="2"/>
        <v>No infirmation</v>
      </c>
      <c r="M1946" s="94" t="str">
        <f t="shared" si="3"/>
        <v/>
      </c>
    </row>
    <row r="1947" ht="15.75" customHeight="1">
      <c r="B1947" s="77">
        <f t="shared" si="1"/>
        <v>0</v>
      </c>
      <c r="C1947" s="67"/>
      <c r="D1947" s="78"/>
      <c r="E1947" s="101"/>
      <c r="F1947" s="108"/>
      <c r="G1947" s="120"/>
      <c r="H1947" s="101"/>
      <c r="I1947" s="93"/>
      <c r="J1947" s="91"/>
      <c r="L1947" s="94" t="str">
        <f t="shared" si="2"/>
        <v>No infirmation</v>
      </c>
      <c r="M1947" s="94" t="str">
        <f t="shared" si="3"/>
        <v/>
      </c>
    </row>
    <row r="1948" ht="15.75" customHeight="1">
      <c r="B1948" s="77">
        <f t="shared" si="1"/>
        <v>0</v>
      </c>
      <c r="C1948" s="67"/>
      <c r="D1948" s="78"/>
      <c r="E1948" s="101"/>
      <c r="F1948" s="108"/>
      <c r="G1948" s="120"/>
      <c r="H1948" s="101"/>
      <c r="I1948" s="93"/>
      <c r="J1948" s="91"/>
      <c r="L1948" s="94" t="str">
        <f t="shared" si="2"/>
        <v>No infirmation</v>
      </c>
      <c r="M1948" s="94" t="str">
        <f t="shared" si="3"/>
        <v/>
      </c>
    </row>
    <row r="1949" ht="15.75" customHeight="1">
      <c r="B1949" s="77">
        <f t="shared" si="1"/>
        <v>0</v>
      </c>
      <c r="C1949" s="67"/>
      <c r="D1949" s="78"/>
      <c r="E1949" s="101"/>
      <c r="F1949" s="108"/>
      <c r="G1949" s="120"/>
      <c r="H1949" s="101"/>
      <c r="I1949" s="93"/>
      <c r="J1949" s="91"/>
      <c r="L1949" s="94" t="str">
        <f t="shared" si="2"/>
        <v>No infirmation</v>
      </c>
      <c r="M1949" s="94" t="str">
        <f t="shared" si="3"/>
        <v/>
      </c>
    </row>
    <row r="1950" ht="15.75" customHeight="1">
      <c r="B1950" s="77">
        <f t="shared" si="1"/>
        <v>0</v>
      </c>
      <c r="C1950" s="67"/>
      <c r="D1950" s="78"/>
      <c r="E1950" s="101"/>
      <c r="F1950" s="108"/>
      <c r="G1950" s="120"/>
      <c r="H1950" s="101"/>
      <c r="I1950" s="93"/>
      <c r="J1950" s="91"/>
      <c r="L1950" s="94" t="str">
        <f t="shared" si="2"/>
        <v>No infirmation</v>
      </c>
      <c r="M1950" s="94" t="str">
        <f t="shared" si="3"/>
        <v/>
      </c>
    </row>
    <row r="1951" ht="15.75" customHeight="1">
      <c r="B1951" s="77">
        <f t="shared" si="1"/>
        <v>0</v>
      </c>
      <c r="C1951" s="67"/>
      <c r="D1951" s="78"/>
      <c r="E1951" s="101"/>
      <c r="F1951" s="108"/>
      <c r="G1951" s="120"/>
      <c r="H1951" s="101"/>
      <c r="I1951" s="93"/>
      <c r="J1951" s="91"/>
      <c r="L1951" s="94" t="str">
        <f t="shared" si="2"/>
        <v>No infirmation</v>
      </c>
      <c r="M1951" s="94" t="str">
        <f t="shared" si="3"/>
        <v/>
      </c>
    </row>
    <row r="1952" ht="15.75" customHeight="1">
      <c r="B1952" s="77">
        <f t="shared" si="1"/>
        <v>0</v>
      </c>
      <c r="C1952" s="67"/>
      <c r="D1952" s="78"/>
      <c r="E1952" s="101"/>
      <c r="F1952" s="108"/>
      <c r="G1952" s="120"/>
      <c r="H1952" s="101"/>
      <c r="I1952" s="93"/>
      <c r="J1952" s="91"/>
      <c r="L1952" s="94" t="str">
        <f t="shared" si="2"/>
        <v>No infirmation</v>
      </c>
      <c r="M1952" s="94" t="str">
        <f t="shared" si="3"/>
        <v/>
      </c>
    </row>
    <row r="1953" ht="15.75" customHeight="1">
      <c r="B1953" s="77">
        <f t="shared" si="1"/>
        <v>0</v>
      </c>
      <c r="C1953" s="67"/>
      <c r="D1953" s="78"/>
      <c r="E1953" s="101"/>
      <c r="F1953" s="108"/>
      <c r="G1953" s="120"/>
      <c r="H1953" s="101"/>
      <c r="I1953" s="93"/>
      <c r="J1953" s="91"/>
      <c r="L1953" s="94" t="str">
        <f t="shared" si="2"/>
        <v>No infirmation</v>
      </c>
      <c r="M1953" s="94" t="str">
        <f t="shared" si="3"/>
        <v/>
      </c>
    </row>
    <row r="1954" ht="15.75" customHeight="1">
      <c r="B1954" s="77">
        <f t="shared" si="1"/>
        <v>0</v>
      </c>
      <c r="C1954" s="67"/>
      <c r="D1954" s="78"/>
      <c r="E1954" s="101"/>
      <c r="F1954" s="108"/>
      <c r="G1954" s="120"/>
      <c r="H1954" s="101"/>
      <c r="I1954" s="93"/>
      <c r="J1954" s="91"/>
      <c r="L1954" s="94" t="str">
        <f t="shared" si="2"/>
        <v>No infirmation</v>
      </c>
      <c r="M1954" s="94" t="str">
        <f t="shared" si="3"/>
        <v/>
      </c>
    </row>
    <row r="1955" ht="15.75" customHeight="1">
      <c r="B1955" s="77">
        <f t="shared" si="1"/>
        <v>0</v>
      </c>
      <c r="C1955" s="67"/>
      <c r="D1955" s="78"/>
      <c r="E1955" s="101"/>
      <c r="F1955" s="108"/>
      <c r="G1955" s="120"/>
      <c r="H1955" s="101"/>
      <c r="I1955" s="93"/>
      <c r="J1955" s="91"/>
      <c r="L1955" s="94" t="str">
        <f t="shared" si="2"/>
        <v>No infirmation</v>
      </c>
      <c r="M1955" s="94" t="str">
        <f t="shared" si="3"/>
        <v/>
      </c>
    </row>
    <row r="1956" ht="15.75" customHeight="1">
      <c r="B1956" s="77">
        <f t="shared" si="1"/>
        <v>0</v>
      </c>
      <c r="C1956" s="67"/>
      <c r="D1956" s="78"/>
      <c r="E1956" s="101"/>
      <c r="F1956" s="108"/>
      <c r="G1956" s="120"/>
      <c r="H1956" s="101"/>
      <c r="I1956" s="93"/>
      <c r="J1956" s="91"/>
      <c r="L1956" s="94" t="str">
        <f t="shared" si="2"/>
        <v>No infirmation</v>
      </c>
      <c r="M1956" s="94" t="str">
        <f t="shared" si="3"/>
        <v/>
      </c>
    </row>
    <row r="1957" ht="15.75" customHeight="1">
      <c r="B1957" s="77">
        <f t="shared" si="1"/>
        <v>0</v>
      </c>
      <c r="C1957" s="67"/>
      <c r="D1957" s="78"/>
      <c r="E1957" s="101"/>
      <c r="F1957" s="108"/>
      <c r="G1957" s="120"/>
      <c r="H1957" s="101"/>
      <c r="I1957" s="93"/>
      <c r="J1957" s="91"/>
      <c r="L1957" s="94" t="str">
        <f t="shared" si="2"/>
        <v>No infirmation</v>
      </c>
      <c r="M1957" s="94" t="str">
        <f t="shared" si="3"/>
        <v/>
      </c>
    </row>
    <row r="1958" ht="15.75" customHeight="1">
      <c r="B1958" s="77">
        <f t="shared" si="1"/>
        <v>0</v>
      </c>
      <c r="C1958" s="67"/>
      <c r="D1958" s="78"/>
      <c r="E1958" s="101"/>
      <c r="F1958" s="108"/>
      <c r="G1958" s="120"/>
      <c r="H1958" s="101"/>
      <c r="I1958" s="93"/>
      <c r="J1958" s="91"/>
      <c r="L1958" s="94" t="str">
        <f t="shared" si="2"/>
        <v>No infirmation</v>
      </c>
      <c r="M1958" s="94" t="str">
        <f t="shared" si="3"/>
        <v/>
      </c>
    </row>
    <row r="1959" ht="15.75" customHeight="1">
      <c r="B1959" s="77">
        <f t="shared" si="1"/>
        <v>0</v>
      </c>
      <c r="C1959" s="67"/>
      <c r="D1959" s="78"/>
      <c r="E1959" s="101"/>
      <c r="F1959" s="108"/>
      <c r="G1959" s="120"/>
      <c r="H1959" s="101"/>
      <c r="I1959" s="93"/>
      <c r="J1959" s="91"/>
      <c r="L1959" s="94" t="str">
        <f t="shared" si="2"/>
        <v>No infirmation</v>
      </c>
      <c r="M1959" s="94" t="str">
        <f t="shared" si="3"/>
        <v/>
      </c>
    </row>
    <row r="1960" ht="15.75" customHeight="1">
      <c r="B1960" s="77">
        <f t="shared" si="1"/>
        <v>0</v>
      </c>
      <c r="C1960" s="67"/>
      <c r="D1960" s="78"/>
      <c r="E1960" s="101"/>
      <c r="F1960" s="108"/>
      <c r="G1960" s="120"/>
      <c r="H1960" s="101"/>
      <c r="I1960" s="93"/>
      <c r="J1960" s="91"/>
      <c r="L1960" s="94" t="str">
        <f t="shared" si="2"/>
        <v>No infirmation</v>
      </c>
      <c r="M1960" s="94" t="str">
        <f t="shared" si="3"/>
        <v/>
      </c>
    </row>
    <row r="1961" ht="15.75" customHeight="1">
      <c r="B1961" s="77">
        <f t="shared" si="1"/>
        <v>0</v>
      </c>
      <c r="C1961" s="67"/>
      <c r="D1961" s="78"/>
      <c r="E1961" s="101"/>
      <c r="F1961" s="108"/>
      <c r="G1961" s="120"/>
      <c r="H1961" s="101"/>
      <c r="I1961" s="93"/>
      <c r="J1961" s="91"/>
      <c r="L1961" s="94" t="str">
        <f t="shared" si="2"/>
        <v>No infirmation</v>
      </c>
      <c r="M1961" s="94" t="str">
        <f t="shared" si="3"/>
        <v/>
      </c>
    </row>
    <row r="1962" ht="15.75" customHeight="1">
      <c r="B1962" s="77">
        <f t="shared" si="1"/>
        <v>0</v>
      </c>
      <c r="C1962" s="67"/>
      <c r="D1962" s="78"/>
      <c r="E1962" s="101"/>
      <c r="F1962" s="108"/>
      <c r="G1962" s="120"/>
      <c r="H1962" s="101"/>
      <c r="I1962" s="93"/>
      <c r="J1962" s="91"/>
      <c r="L1962" s="94" t="str">
        <f t="shared" si="2"/>
        <v>No infirmation</v>
      </c>
      <c r="M1962" s="94" t="str">
        <f t="shared" si="3"/>
        <v/>
      </c>
    </row>
    <row r="1963" ht="15.75" customHeight="1">
      <c r="B1963" s="77">
        <f t="shared" si="1"/>
        <v>0</v>
      </c>
      <c r="C1963" s="67"/>
      <c r="D1963" s="78"/>
      <c r="E1963" s="101"/>
      <c r="F1963" s="108"/>
      <c r="G1963" s="120"/>
      <c r="H1963" s="101"/>
      <c r="I1963" s="93"/>
      <c r="J1963" s="91"/>
      <c r="L1963" s="94" t="str">
        <f t="shared" si="2"/>
        <v>No infirmation</v>
      </c>
      <c r="M1963" s="94" t="str">
        <f t="shared" si="3"/>
        <v/>
      </c>
    </row>
    <row r="1964" ht="15.75" customHeight="1">
      <c r="B1964" s="77">
        <f t="shared" si="1"/>
        <v>0</v>
      </c>
      <c r="C1964" s="67"/>
      <c r="D1964" s="78"/>
      <c r="E1964" s="101"/>
      <c r="F1964" s="108"/>
      <c r="G1964" s="120"/>
      <c r="H1964" s="101"/>
      <c r="I1964" s="93"/>
      <c r="J1964" s="91"/>
      <c r="L1964" s="94" t="str">
        <f t="shared" si="2"/>
        <v>No infirmation</v>
      </c>
      <c r="M1964" s="94" t="str">
        <f t="shared" si="3"/>
        <v/>
      </c>
    </row>
    <row r="1965" ht="15.75" customHeight="1">
      <c r="B1965" s="77">
        <f t="shared" si="1"/>
        <v>0</v>
      </c>
      <c r="C1965" s="67"/>
      <c r="D1965" s="78"/>
      <c r="E1965" s="101"/>
      <c r="F1965" s="108"/>
      <c r="G1965" s="120"/>
      <c r="H1965" s="101"/>
      <c r="I1965" s="93"/>
      <c r="J1965" s="91"/>
      <c r="L1965" s="94" t="str">
        <f t="shared" si="2"/>
        <v>No infirmation</v>
      </c>
      <c r="M1965" s="94" t="str">
        <f t="shared" si="3"/>
        <v/>
      </c>
    </row>
    <row r="1966" ht="15.75" customHeight="1">
      <c r="B1966" s="77">
        <f t="shared" si="1"/>
        <v>0</v>
      </c>
      <c r="C1966" s="67"/>
      <c r="D1966" s="78"/>
      <c r="E1966" s="101"/>
      <c r="F1966" s="108"/>
      <c r="G1966" s="120"/>
      <c r="H1966" s="101"/>
      <c r="I1966" s="93"/>
      <c r="J1966" s="91"/>
      <c r="L1966" s="94" t="str">
        <f t="shared" si="2"/>
        <v>No infirmation</v>
      </c>
      <c r="M1966" s="94" t="str">
        <f t="shared" si="3"/>
        <v/>
      </c>
    </row>
    <row r="1967" ht="15.75" customHeight="1">
      <c r="B1967" s="77">
        <f t="shared" si="1"/>
        <v>0</v>
      </c>
      <c r="C1967" s="67"/>
      <c r="D1967" s="78"/>
      <c r="E1967" s="101"/>
      <c r="F1967" s="108"/>
      <c r="G1967" s="120"/>
      <c r="H1967" s="101"/>
      <c r="I1967" s="93"/>
      <c r="J1967" s="91"/>
      <c r="L1967" s="94" t="str">
        <f t="shared" si="2"/>
        <v>No infirmation</v>
      </c>
      <c r="M1967" s="94" t="str">
        <f t="shared" si="3"/>
        <v/>
      </c>
    </row>
    <row r="1968" ht="15.75" customHeight="1">
      <c r="B1968" s="77">
        <f t="shared" si="1"/>
        <v>0</v>
      </c>
      <c r="C1968" s="67"/>
      <c r="D1968" s="78"/>
      <c r="E1968" s="101"/>
      <c r="F1968" s="108"/>
      <c r="G1968" s="120"/>
      <c r="H1968" s="101"/>
      <c r="I1968" s="93"/>
      <c r="J1968" s="91"/>
      <c r="L1968" s="94" t="str">
        <f t="shared" si="2"/>
        <v>No infirmation</v>
      </c>
      <c r="M1968" s="94" t="str">
        <f t="shared" si="3"/>
        <v/>
      </c>
    </row>
    <row r="1969" ht="15.75" customHeight="1">
      <c r="B1969" s="77">
        <f t="shared" si="1"/>
        <v>0</v>
      </c>
      <c r="C1969" s="67"/>
      <c r="D1969" s="78"/>
      <c r="E1969" s="101"/>
      <c r="F1969" s="108"/>
      <c r="G1969" s="120"/>
      <c r="H1969" s="101"/>
      <c r="I1969" s="93"/>
      <c r="J1969" s="91"/>
      <c r="L1969" s="94" t="str">
        <f t="shared" si="2"/>
        <v>No infirmation</v>
      </c>
      <c r="M1969" s="94" t="str">
        <f t="shared" si="3"/>
        <v/>
      </c>
    </row>
    <row r="1970" ht="15.75" customHeight="1">
      <c r="B1970" s="77">
        <f t="shared" si="1"/>
        <v>0</v>
      </c>
      <c r="C1970" s="67"/>
      <c r="D1970" s="78"/>
      <c r="E1970" s="101"/>
      <c r="F1970" s="108"/>
      <c r="G1970" s="120"/>
      <c r="H1970" s="101"/>
      <c r="I1970" s="93"/>
      <c r="J1970" s="91"/>
      <c r="L1970" s="94" t="str">
        <f t="shared" si="2"/>
        <v>No infirmation</v>
      </c>
      <c r="M1970" s="94" t="str">
        <f t="shared" si="3"/>
        <v/>
      </c>
    </row>
    <row r="1971" ht="15.75" customHeight="1">
      <c r="B1971" s="77">
        <f t="shared" si="1"/>
        <v>0</v>
      </c>
      <c r="C1971" s="67"/>
      <c r="D1971" s="78"/>
      <c r="E1971" s="101"/>
      <c r="F1971" s="108"/>
      <c r="G1971" s="120"/>
      <c r="H1971" s="101"/>
      <c r="I1971" s="93"/>
      <c r="J1971" s="91"/>
      <c r="L1971" s="94" t="str">
        <f t="shared" si="2"/>
        <v>No infirmation</v>
      </c>
      <c r="M1971" s="94" t="str">
        <f t="shared" si="3"/>
        <v/>
      </c>
    </row>
    <row r="1972" ht="15.75" customHeight="1">
      <c r="B1972" s="77">
        <f t="shared" si="1"/>
        <v>0</v>
      </c>
      <c r="C1972" s="67"/>
      <c r="D1972" s="78"/>
      <c r="E1972" s="101"/>
      <c r="F1972" s="108"/>
      <c r="G1972" s="120"/>
      <c r="H1972" s="101"/>
      <c r="I1972" s="93"/>
      <c r="J1972" s="91"/>
      <c r="L1972" s="94" t="str">
        <f t="shared" si="2"/>
        <v>No infirmation</v>
      </c>
      <c r="M1972" s="94" t="str">
        <f t="shared" si="3"/>
        <v/>
      </c>
    </row>
    <row r="1973" ht="15.75" customHeight="1">
      <c r="B1973" s="77">
        <f t="shared" si="1"/>
        <v>0</v>
      </c>
      <c r="C1973" s="67"/>
      <c r="D1973" s="78"/>
      <c r="E1973" s="101"/>
      <c r="F1973" s="108"/>
      <c r="G1973" s="120"/>
      <c r="H1973" s="101"/>
      <c r="I1973" s="93"/>
      <c r="J1973" s="91"/>
      <c r="L1973" s="94" t="str">
        <f t="shared" si="2"/>
        <v>No infirmation</v>
      </c>
      <c r="M1973" s="94" t="str">
        <f t="shared" si="3"/>
        <v/>
      </c>
    </row>
    <row r="1974" ht="15.75" customHeight="1">
      <c r="B1974" s="77">
        <f t="shared" si="1"/>
        <v>0</v>
      </c>
      <c r="C1974" s="67"/>
      <c r="D1974" s="78"/>
      <c r="E1974" s="101"/>
      <c r="F1974" s="108"/>
      <c r="G1974" s="120"/>
      <c r="H1974" s="101"/>
      <c r="I1974" s="93"/>
      <c r="J1974" s="91"/>
      <c r="L1974" s="94" t="str">
        <f t="shared" si="2"/>
        <v>No infirmation</v>
      </c>
      <c r="M1974" s="94" t="str">
        <f t="shared" si="3"/>
        <v/>
      </c>
    </row>
    <row r="1975" ht="15.75" customHeight="1">
      <c r="B1975" s="77">
        <f t="shared" si="1"/>
        <v>0</v>
      </c>
      <c r="C1975" s="67"/>
      <c r="D1975" s="78"/>
      <c r="E1975" s="101"/>
      <c r="F1975" s="108"/>
      <c r="G1975" s="120"/>
      <c r="H1975" s="101"/>
      <c r="I1975" s="93"/>
      <c r="J1975" s="91"/>
      <c r="L1975" s="94" t="str">
        <f t="shared" si="2"/>
        <v>No infirmation</v>
      </c>
      <c r="M1975" s="94" t="str">
        <f t="shared" si="3"/>
        <v/>
      </c>
    </row>
    <row r="1976" ht="15.75" customHeight="1">
      <c r="B1976" s="77">
        <f t="shared" si="1"/>
        <v>0</v>
      </c>
      <c r="C1976" s="67"/>
      <c r="D1976" s="78"/>
      <c r="E1976" s="101"/>
      <c r="F1976" s="108"/>
      <c r="G1976" s="120"/>
      <c r="H1976" s="101"/>
      <c r="I1976" s="93"/>
      <c r="J1976" s="91"/>
      <c r="L1976" s="94" t="str">
        <f t="shared" si="2"/>
        <v>No infirmation</v>
      </c>
      <c r="M1976" s="94" t="str">
        <f t="shared" si="3"/>
        <v/>
      </c>
    </row>
    <row r="1977" ht="15.75" customHeight="1">
      <c r="B1977" s="77">
        <f t="shared" si="1"/>
        <v>0</v>
      </c>
      <c r="C1977" s="67"/>
      <c r="D1977" s="78"/>
      <c r="E1977" s="101"/>
      <c r="F1977" s="108"/>
      <c r="G1977" s="120"/>
      <c r="H1977" s="101"/>
      <c r="I1977" s="93"/>
      <c r="J1977" s="91"/>
      <c r="L1977" s="94" t="str">
        <f t="shared" si="2"/>
        <v>No infirmation</v>
      </c>
      <c r="M1977" s="94" t="str">
        <f t="shared" si="3"/>
        <v/>
      </c>
    </row>
    <row r="1978" ht="15.75" customHeight="1">
      <c r="B1978" s="77">
        <f t="shared" si="1"/>
        <v>0</v>
      </c>
      <c r="C1978" s="67"/>
      <c r="D1978" s="78"/>
      <c r="E1978" s="101"/>
      <c r="F1978" s="108"/>
      <c r="G1978" s="120"/>
      <c r="H1978" s="101"/>
      <c r="I1978" s="93"/>
      <c r="J1978" s="91"/>
      <c r="L1978" s="94" t="str">
        <f t="shared" si="2"/>
        <v>No infirmation</v>
      </c>
      <c r="M1978" s="94" t="str">
        <f t="shared" si="3"/>
        <v/>
      </c>
    </row>
    <row r="1979" ht="15.75" customHeight="1">
      <c r="B1979" s="77">
        <f t="shared" si="1"/>
        <v>0</v>
      </c>
      <c r="C1979" s="67"/>
      <c r="D1979" s="78"/>
      <c r="E1979" s="101"/>
      <c r="F1979" s="108"/>
      <c r="G1979" s="120"/>
      <c r="H1979" s="101"/>
      <c r="I1979" s="93"/>
      <c r="J1979" s="91"/>
      <c r="L1979" s="94" t="str">
        <f t="shared" si="2"/>
        <v>No infirmation</v>
      </c>
      <c r="M1979" s="94" t="str">
        <f t="shared" si="3"/>
        <v/>
      </c>
    </row>
    <row r="1980" ht="15.75" customHeight="1">
      <c r="B1980" s="77">
        <f t="shared" si="1"/>
        <v>0</v>
      </c>
      <c r="C1980" s="67"/>
      <c r="D1980" s="78"/>
      <c r="E1980" s="101"/>
      <c r="F1980" s="108"/>
      <c r="G1980" s="120"/>
      <c r="H1980" s="101"/>
      <c r="I1980" s="93"/>
      <c r="J1980" s="91"/>
      <c r="L1980" s="94" t="str">
        <f t="shared" si="2"/>
        <v>No infirmation</v>
      </c>
      <c r="M1980" s="94" t="str">
        <f t="shared" si="3"/>
        <v/>
      </c>
    </row>
    <row r="1981" ht="15.75" customHeight="1">
      <c r="B1981" s="77">
        <f t="shared" si="1"/>
        <v>0</v>
      </c>
      <c r="C1981" s="67"/>
      <c r="D1981" s="78"/>
      <c r="E1981" s="101"/>
      <c r="F1981" s="108"/>
      <c r="G1981" s="120"/>
      <c r="H1981" s="101"/>
      <c r="I1981" s="93"/>
      <c r="J1981" s="91"/>
      <c r="L1981" s="94" t="str">
        <f t="shared" si="2"/>
        <v>No infirmation</v>
      </c>
      <c r="M1981" s="94" t="str">
        <f t="shared" si="3"/>
        <v/>
      </c>
    </row>
    <row r="1982" ht="15.75" customHeight="1">
      <c r="B1982" s="77">
        <f t="shared" si="1"/>
        <v>0</v>
      </c>
      <c r="C1982" s="67"/>
      <c r="D1982" s="78"/>
      <c r="E1982" s="101"/>
      <c r="F1982" s="108"/>
      <c r="G1982" s="120"/>
      <c r="H1982" s="101"/>
      <c r="I1982" s="93"/>
      <c r="J1982" s="91"/>
      <c r="L1982" s="94" t="str">
        <f t="shared" si="2"/>
        <v>No infirmation</v>
      </c>
      <c r="M1982" s="94" t="str">
        <f t="shared" si="3"/>
        <v/>
      </c>
    </row>
    <row r="1983" ht="15.75" customHeight="1">
      <c r="B1983" s="77">
        <f t="shared" si="1"/>
        <v>0</v>
      </c>
      <c r="C1983" s="67"/>
      <c r="D1983" s="78"/>
      <c r="E1983" s="101"/>
      <c r="F1983" s="108"/>
      <c r="G1983" s="120"/>
      <c r="H1983" s="101"/>
      <c r="I1983" s="93"/>
      <c r="J1983" s="91"/>
      <c r="L1983" s="94" t="str">
        <f t="shared" si="2"/>
        <v>No infirmation</v>
      </c>
      <c r="M1983" s="94" t="str">
        <f t="shared" si="3"/>
        <v/>
      </c>
    </row>
    <row r="1984" ht="15.75" customHeight="1">
      <c r="B1984" s="77">
        <f t="shared" si="1"/>
        <v>0</v>
      </c>
      <c r="C1984" s="67"/>
      <c r="D1984" s="78"/>
      <c r="E1984" s="101"/>
      <c r="F1984" s="108"/>
      <c r="G1984" s="120"/>
      <c r="H1984" s="101"/>
      <c r="I1984" s="93"/>
      <c r="J1984" s="91"/>
      <c r="L1984" s="94" t="str">
        <f t="shared" si="2"/>
        <v>No infirmation</v>
      </c>
      <c r="M1984" s="94" t="str">
        <f t="shared" si="3"/>
        <v/>
      </c>
    </row>
    <row r="1985" ht="15.75" customHeight="1">
      <c r="B1985" s="77">
        <f t="shared" si="1"/>
        <v>0</v>
      </c>
      <c r="C1985" s="67"/>
      <c r="D1985" s="78"/>
      <c r="E1985" s="101"/>
      <c r="F1985" s="108"/>
      <c r="G1985" s="120"/>
      <c r="H1985" s="101"/>
      <c r="I1985" s="93"/>
      <c r="J1985" s="91"/>
      <c r="L1985" s="94" t="str">
        <f t="shared" si="2"/>
        <v>No infirmation</v>
      </c>
      <c r="M1985" s="94" t="str">
        <f t="shared" si="3"/>
        <v/>
      </c>
    </row>
    <row r="1986" ht="15.75" customHeight="1">
      <c r="B1986" s="77">
        <f t="shared" si="1"/>
        <v>0</v>
      </c>
      <c r="C1986" s="67"/>
      <c r="D1986" s="78"/>
      <c r="E1986" s="101"/>
      <c r="F1986" s="108"/>
      <c r="G1986" s="120"/>
      <c r="H1986" s="101"/>
      <c r="I1986" s="93"/>
      <c r="J1986" s="91"/>
      <c r="L1986" s="94" t="str">
        <f t="shared" si="2"/>
        <v>No infirmation</v>
      </c>
      <c r="M1986" s="94" t="str">
        <f t="shared" si="3"/>
        <v/>
      </c>
    </row>
    <row r="1987" ht="15.75" customHeight="1">
      <c r="B1987" s="77">
        <f t="shared" si="1"/>
        <v>0</v>
      </c>
      <c r="C1987" s="67"/>
      <c r="D1987" s="78"/>
      <c r="E1987" s="101"/>
      <c r="F1987" s="108"/>
      <c r="G1987" s="120"/>
      <c r="H1987" s="101"/>
      <c r="I1987" s="93"/>
      <c r="J1987" s="91"/>
      <c r="L1987" s="94" t="str">
        <f t="shared" si="2"/>
        <v>No infirmation</v>
      </c>
      <c r="M1987" s="94" t="str">
        <f t="shared" si="3"/>
        <v/>
      </c>
    </row>
    <row r="1988" ht="15.75" customHeight="1">
      <c r="B1988" s="77">
        <f t="shared" si="1"/>
        <v>0</v>
      </c>
      <c r="C1988" s="67"/>
      <c r="D1988" s="78"/>
      <c r="E1988" s="101"/>
      <c r="F1988" s="108"/>
      <c r="G1988" s="120"/>
      <c r="H1988" s="101"/>
      <c r="I1988" s="93"/>
      <c r="J1988" s="91"/>
      <c r="L1988" s="94" t="str">
        <f t="shared" si="2"/>
        <v>No infirmation</v>
      </c>
      <c r="M1988" s="94" t="str">
        <f t="shared" si="3"/>
        <v/>
      </c>
    </row>
    <row r="1989" ht="15.75" customHeight="1">
      <c r="B1989" s="77">
        <f t="shared" si="1"/>
        <v>0</v>
      </c>
      <c r="C1989" s="67"/>
      <c r="D1989" s="78"/>
      <c r="E1989" s="101"/>
      <c r="F1989" s="108"/>
      <c r="G1989" s="120"/>
      <c r="H1989" s="101"/>
      <c r="I1989" s="93"/>
      <c r="J1989" s="91"/>
      <c r="L1989" s="94" t="str">
        <f t="shared" si="2"/>
        <v>No infirmation</v>
      </c>
      <c r="M1989" s="94" t="str">
        <f t="shared" si="3"/>
        <v/>
      </c>
    </row>
    <row r="1990" ht="15.75" customHeight="1">
      <c r="B1990" s="77">
        <f t="shared" si="1"/>
        <v>0</v>
      </c>
      <c r="C1990" s="67"/>
      <c r="D1990" s="78"/>
      <c r="E1990" s="101"/>
      <c r="F1990" s="108"/>
      <c r="G1990" s="120"/>
      <c r="H1990" s="101"/>
      <c r="I1990" s="93"/>
      <c r="J1990" s="91"/>
      <c r="L1990" s="94" t="str">
        <f t="shared" si="2"/>
        <v>No infirmation</v>
      </c>
      <c r="M1990" s="94" t="str">
        <f t="shared" si="3"/>
        <v/>
      </c>
    </row>
    <row r="1991" ht="15.75" customHeight="1">
      <c r="B1991" s="77">
        <f t="shared" si="1"/>
        <v>0</v>
      </c>
      <c r="C1991" s="67"/>
      <c r="D1991" s="78"/>
      <c r="E1991" s="101"/>
      <c r="F1991" s="108"/>
      <c r="G1991" s="120"/>
      <c r="H1991" s="101"/>
      <c r="I1991" s="93"/>
      <c r="J1991" s="91"/>
      <c r="L1991" s="94" t="str">
        <f t="shared" si="2"/>
        <v>No infirmation</v>
      </c>
      <c r="M1991" s="94" t="str">
        <f t="shared" si="3"/>
        <v/>
      </c>
    </row>
    <row r="1992" ht="15.75" customHeight="1">
      <c r="B1992" s="77">
        <f t="shared" si="1"/>
        <v>0</v>
      </c>
      <c r="C1992" s="67"/>
      <c r="D1992" s="78"/>
      <c r="E1992" s="101"/>
      <c r="F1992" s="108"/>
      <c r="G1992" s="120"/>
      <c r="H1992" s="101"/>
      <c r="I1992" s="93"/>
      <c r="J1992" s="91"/>
      <c r="L1992" s="94" t="str">
        <f t="shared" si="2"/>
        <v>No infirmation</v>
      </c>
      <c r="M1992" s="94" t="str">
        <f t="shared" si="3"/>
        <v/>
      </c>
    </row>
    <row r="1993" ht="15.75" customHeight="1">
      <c r="B1993" s="77">
        <f t="shared" si="1"/>
        <v>0</v>
      </c>
      <c r="C1993" s="67"/>
      <c r="D1993" s="78"/>
      <c r="E1993" s="101"/>
      <c r="F1993" s="108"/>
      <c r="G1993" s="120"/>
      <c r="H1993" s="101"/>
      <c r="I1993" s="93"/>
      <c r="J1993" s="91"/>
      <c r="L1993" s="94" t="str">
        <f t="shared" si="2"/>
        <v>No infirmation</v>
      </c>
      <c r="M1993" s="94" t="str">
        <f t="shared" si="3"/>
        <v/>
      </c>
    </row>
    <row r="1994" ht="15.75" customHeight="1">
      <c r="B1994" s="77">
        <f t="shared" si="1"/>
        <v>0</v>
      </c>
      <c r="C1994" s="67"/>
      <c r="D1994" s="78"/>
      <c r="E1994" s="101"/>
      <c r="F1994" s="108"/>
      <c r="G1994" s="120"/>
      <c r="H1994" s="101"/>
      <c r="I1994" s="93"/>
      <c r="J1994" s="91"/>
      <c r="L1994" s="94" t="str">
        <f t="shared" si="2"/>
        <v>No infirmation</v>
      </c>
      <c r="M1994" s="94" t="str">
        <f t="shared" si="3"/>
        <v/>
      </c>
    </row>
    <row r="1995" ht="15.75" customHeight="1">
      <c r="B1995" s="77">
        <f t="shared" si="1"/>
        <v>0</v>
      </c>
      <c r="C1995" s="67"/>
      <c r="D1995" s="78"/>
      <c r="E1995" s="101"/>
      <c r="F1995" s="108"/>
      <c r="G1995" s="120"/>
      <c r="H1995" s="101"/>
      <c r="I1995" s="93"/>
      <c r="J1995" s="91"/>
      <c r="L1995" s="94" t="str">
        <f t="shared" si="2"/>
        <v>No infirmation</v>
      </c>
      <c r="M1995" s="94" t="str">
        <f t="shared" si="3"/>
        <v/>
      </c>
    </row>
    <row r="1996" ht="15.75" customHeight="1">
      <c r="B1996" s="77">
        <f t="shared" si="1"/>
        <v>0</v>
      </c>
      <c r="C1996" s="67"/>
      <c r="D1996" s="78"/>
      <c r="E1996" s="101"/>
      <c r="F1996" s="108"/>
      <c r="G1996" s="120"/>
      <c r="H1996" s="101"/>
      <c r="I1996" s="93"/>
      <c r="J1996" s="91"/>
      <c r="L1996" s="94" t="str">
        <f t="shared" si="2"/>
        <v>No infirmation</v>
      </c>
      <c r="M1996" s="94" t="str">
        <f t="shared" si="3"/>
        <v/>
      </c>
    </row>
    <row r="1997" ht="15.75" customHeight="1">
      <c r="B1997" s="77">
        <f t="shared" si="1"/>
        <v>0</v>
      </c>
      <c r="C1997" s="67"/>
      <c r="D1997" s="78"/>
      <c r="E1997" s="101"/>
      <c r="F1997" s="108"/>
      <c r="G1997" s="120"/>
      <c r="H1997" s="101"/>
      <c r="I1997" s="93"/>
      <c r="J1997" s="91"/>
      <c r="L1997" s="94" t="str">
        <f t="shared" si="2"/>
        <v>No infirmation</v>
      </c>
      <c r="M1997" s="94" t="str">
        <f t="shared" si="3"/>
        <v/>
      </c>
    </row>
    <row r="1998" ht="15.75" customHeight="1">
      <c r="B1998" s="77">
        <f t="shared" si="1"/>
        <v>0</v>
      </c>
      <c r="C1998" s="67"/>
      <c r="D1998" s="78"/>
      <c r="E1998" s="101"/>
      <c r="F1998" s="108"/>
      <c r="G1998" s="120"/>
      <c r="H1998" s="101"/>
      <c r="I1998" s="93"/>
      <c r="J1998" s="91"/>
      <c r="L1998" s="94" t="str">
        <f t="shared" si="2"/>
        <v>No infirmation</v>
      </c>
      <c r="M1998" s="94" t="str">
        <f t="shared" si="3"/>
        <v/>
      </c>
    </row>
    <row r="1999" ht="15.75" customHeight="1">
      <c r="B1999" s="77">
        <f t="shared" si="1"/>
        <v>0</v>
      </c>
      <c r="C1999" s="67"/>
      <c r="D1999" s="78"/>
      <c r="E1999" s="101"/>
      <c r="F1999" s="108"/>
      <c r="G1999" s="120"/>
      <c r="H1999" s="101"/>
      <c r="I1999" s="93"/>
      <c r="J1999" s="91"/>
      <c r="L1999" s="94" t="str">
        <f t="shared" si="2"/>
        <v>No infirmation</v>
      </c>
      <c r="M1999" s="94" t="str">
        <f t="shared" si="3"/>
        <v/>
      </c>
    </row>
    <row r="2000" ht="15.75" customHeight="1">
      <c r="B2000" s="77">
        <f t="shared" si="1"/>
        <v>0</v>
      </c>
      <c r="C2000" s="67"/>
      <c r="D2000" s="78"/>
      <c r="E2000" s="101"/>
      <c r="F2000" s="108"/>
      <c r="G2000" s="120"/>
      <c r="H2000" s="101"/>
      <c r="I2000" s="93"/>
      <c r="J2000" s="91"/>
      <c r="L2000" s="94" t="str">
        <f t="shared" si="2"/>
        <v>No infirmation</v>
      </c>
      <c r="M2000" s="94" t="str">
        <f t="shared" si="3"/>
        <v/>
      </c>
    </row>
    <row r="2001" ht="15.75" customHeight="1">
      <c r="B2001" s="77">
        <f t="shared" si="1"/>
        <v>0</v>
      </c>
      <c r="C2001" s="67"/>
      <c r="D2001" s="78"/>
      <c r="E2001" s="101"/>
      <c r="F2001" s="108"/>
      <c r="G2001" s="120"/>
      <c r="H2001" s="101"/>
      <c r="I2001" s="93"/>
      <c r="J2001" s="91"/>
      <c r="L2001" s="94" t="str">
        <f t="shared" si="2"/>
        <v>No infirmation</v>
      </c>
      <c r="M2001" s="94" t="str">
        <f t="shared" si="3"/>
        <v/>
      </c>
    </row>
    <row r="2002" ht="15.75" customHeight="1">
      <c r="B2002" s="77">
        <f t="shared" si="1"/>
        <v>0</v>
      </c>
      <c r="C2002" s="67"/>
      <c r="D2002" s="78"/>
      <c r="E2002" s="101"/>
      <c r="F2002" s="108"/>
      <c r="G2002" s="120"/>
      <c r="H2002" s="101"/>
      <c r="I2002" s="93"/>
      <c r="J2002" s="91"/>
      <c r="L2002" s="94" t="str">
        <f t="shared" si="2"/>
        <v>No infirmation</v>
      </c>
      <c r="M2002" s="94" t="str">
        <f t="shared" si="3"/>
        <v/>
      </c>
    </row>
    <row r="2003" ht="15.75" customHeight="1">
      <c r="B2003" s="77">
        <f t="shared" si="1"/>
        <v>0</v>
      </c>
      <c r="C2003" s="67"/>
      <c r="D2003" s="78"/>
      <c r="E2003" s="101"/>
      <c r="F2003" s="108"/>
      <c r="G2003" s="120"/>
      <c r="H2003" s="101"/>
      <c r="I2003" s="93"/>
      <c r="J2003" s="91"/>
      <c r="L2003" s="94" t="str">
        <f t="shared" si="2"/>
        <v>No infirmation</v>
      </c>
      <c r="M2003" s="94" t="str">
        <f t="shared" si="3"/>
        <v/>
      </c>
    </row>
    <row r="2004" ht="15.75" customHeight="1">
      <c r="B2004" s="77">
        <f t="shared" si="1"/>
        <v>0</v>
      </c>
      <c r="C2004" s="67"/>
      <c r="D2004" s="78"/>
      <c r="E2004" s="101"/>
      <c r="F2004" s="108"/>
      <c r="G2004" s="120"/>
      <c r="H2004" s="101"/>
      <c r="I2004" s="93"/>
      <c r="J2004" s="91"/>
      <c r="L2004" s="94" t="str">
        <f t="shared" si="2"/>
        <v>No infirmation</v>
      </c>
      <c r="M2004" s="94" t="str">
        <f t="shared" si="3"/>
        <v/>
      </c>
    </row>
    <row r="2005" ht="15.75" customHeight="1">
      <c r="B2005" s="77">
        <f t="shared" si="1"/>
        <v>0</v>
      </c>
      <c r="C2005" s="67"/>
      <c r="D2005" s="78"/>
      <c r="E2005" s="101"/>
      <c r="F2005" s="108"/>
      <c r="G2005" s="120"/>
      <c r="H2005" s="101"/>
      <c r="I2005" s="93"/>
      <c r="J2005" s="91"/>
      <c r="L2005" s="94" t="str">
        <f t="shared" si="2"/>
        <v>No infirmation</v>
      </c>
      <c r="M2005" s="94" t="str">
        <f t="shared" si="3"/>
        <v/>
      </c>
    </row>
    <row r="2006" ht="15.75" customHeight="1">
      <c r="B2006" s="77">
        <f t="shared" si="1"/>
        <v>0</v>
      </c>
      <c r="C2006" s="67"/>
      <c r="D2006" s="78"/>
      <c r="E2006" s="101"/>
      <c r="F2006" s="108"/>
      <c r="G2006" s="120"/>
      <c r="H2006" s="101"/>
      <c r="I2006" s="93"/>
      <c r="J2006" s="91"/>
      <c r="L2006" s="94" t="str">
        <f t="shared" si="2"/>
        <v>No infirmation</v>
      </c>
      <c r="M2006" s="94" t="str">
        <f t="shared" si="3"/>
        <v/>
      </c>
    </row>
    <row r="2007" ht="15.75" customHeight="1">
      <c r="B2007" s="77">
        <f t="shared" si="1"/>
        <v>0</v>
      </c>
      <c r="C2007" s="67"/>
      <c r="D2007" s="78"/>
      <c r="E2007" s="101"/>
      <c r="F2007" s="108"/>
      <c r="G2007" s="120"/>
      <c r="H2007" s="101"/>
      <c r="I2007" s="93"/>
      <c r="J2007" s="91"/>
      <c r="L2007" s="94" t="str">
        <f t="shared" si="2"/>
        <v>No infirmation</v>
      </c>
      <c r="M2007" s="94" t="str">
        <f t="shared" si="3"/>
        <v/>
      </c>
    </row>
    <row r="2008" ht="15.75" customHeight="1">
      <c r="B2008" s="77">
        <f t="shared" si="1"/>
        <v>0</v>
      </c>
      <c r="C2008" s="67"/>
      <c r="D2008" s="78"/>
      <c r="E2008" s="101"/>
      <c r="F2008" s="108"/>
      <c r="G2008" s="120"/>
      <c r="H2008" s="101"/>
      <c r="I2008" s="93"/>
      <c r="J2008" s="91"/>
      <c r="L2008" s="94" t="str">
        <f t="shared" si="2"/>
        <v>No infirmation</v>
      </c>
      <c r="M2008" s="94" t="str">
        <f t="shared" si="3"/>
        <v/>
      </c>
    </row>
    <row r="2009" ht="15.75" customHeight="1">
      <c r="B2009" s="77">
        <f t="shared" si="1"/>
        <v>0</v>
      </c>
      <c r="C2009" s="67"/>
      <c r="D2009" s="78"/>
      <c r="E2009" s="101"/>
      <c r="F2009" s="108"/>
      <c r="G2009" s="120"/>
      <c r="H2009" s="101"/>
      <c r="I2009" s="93"/>
      <c r="J2009" s="91"/>
      <c r="L2009" s="94" t="str">
        <f t="shared" si="2"/>
        <v>No infirmation</v>
      </c>
      <c r="M2009" s="94" t="str">
        <f t="shared" si="3"/>
        <v/>
      </c>
    </row>
    <row r="2010" ht="15.75" customHeight="1">
      <c r="B2010" s="77">
        <f t="shared" si="1"/>
        <v>0</v>
      </c>
      <c r="C2010" s="67"/>
      <c r="D2010" s="78"/>
      <c r="E2010" s="101"/>
      <c r="F2010" s="108"/>
      <c r="G2010" s="120"/>
      <c r="H2010" s="101"/>
      <c r="I2010" s="93"/>
      <c r="J2010" s="91"/>
      <c r="L2010" s="94" t="str">
        <f t="shared" si="2"/>
        <v>No infirmation</v>
      </c>
      <c r="M2010" s="94" t="str">
        <f t="shared" si="3"/>
        <v/>
      </c>
    </row>
    <row r="2011" ht="15.75" customHeight="1">
      <c r="B2011" s="77">
        <f t="shared" si="1"/>
        <v>0</v>
      </c>
      <c r="C2011" s="67"/>
      <c r="D2011" s="78"/>
      <c r="E2011" s="101"/>
      <c r="F2011" s="108"/>
      <c r="G2011" s="120"/>
      <c r="H2011" s="101"/>
      <c r="I2011" s="93"/>
      <c r="J2011" s="91"/>
      <c r="L2011" s="94" t="str">
        <f t="shared" si="2"/>
        <v>No infirmation</v>
      </c>
      <c r="M2011" s="94" t="str">
        <f t="shared" si="3"/>
        <v/>
      </c>
    </row>
    <row r="2012" ht="15.75" customHeight="1">
      <c r="B2012" s="77">
        <f t="shared" si="1"/>
        <v>0</v>
      </c>
      <c r="C2012" s="67"/>
      <c r="D2012" s="78"/>
      <c r="E2012" s="101"/>
      <c r="F2012" s="108"/>
      <c r="G2012" s="120"/>
      <c r="H2012" s="101"/>
      <c r="I2012" s="93"/>
      <c r="J2012" s="91"/>
      <c r="L2012" s="94" t="str">
        <f t="shared" si="2"/>
        <v>No infirmation</v>
      </c>
      <c r="M2012" s="94" t="str">
        <f t="shared" si="3"/>
        <v/>
      </c>
    </row>
    <row r="2013" ht="15.75" customHeight="1">
      <c r="B2013" s="77">
        <f t="shared" si="1"/>
        <v>0</v>
      </c>
      <c r="C2013" s="67"/>
      <c r="D2013" s="78"/>
      <c r="E2013" s="101"/>
      <c r="F2013" s="108"/>
      <c r="G2013" s="120"/>
      <c r="H2013" s="101"/>
      <c r="I2013" s="93"/>
      <c r="J2013" s="91"/>
      <c r="L2013" s="94" t="str">
        <f t="shared" si="2"/>
        <v>No infirmation</v>
      </c>
      <c r="M2013" s="94" t="str">
        <f t="shared" si="3"/>
        <v/>
      </c>
    </row>
    <row r="2014" ht="15.75" customHeight="1">
      <c r="B2014" s="77">
        <f t="shared" si="1"/>
        <v>0</v>
      </c>
      <c r="C2014" s="67"/>
      <c r="D2014" s="78"/>
      <c r="E2014" s="101"/>
      <c r="F2014" s="108"/>
      <c r="G2014" s="120"/>
      <c r="H2014" s="101"/>
      <c r="I2014" s="93"/>
      <c r="J2014" s="91"/>
      <c r="L2014" s="94" t="str">
        <f t="shared" si="2"/>
        <v>No infirmation</v>
      </c>
      <c r="M2014" s="94" t="str">
        <f t="shared" si="3"/>
        <v/>
      </c>
    </row>
    <row r="2015" ht="15.75" customHeight="1">
      <c r="B2015" s="77">
        <f t="shared" si="1"/>
        <v>0</v>
      </c>
      <c r="C2015" s="67"/>
      <c r="D2015" s="78"/>
      <c r="E2015" s="101"/>
      <c r="F2015" s="108"/>
      <c r="G2015" s="120"/>
      <c r="H2015" s="101"/>
      <c r="I2015" s="93"/>
      <c r="J2015" s="91"/>
      <c r="L2015" s="94" t="str">
        <f t="shared" si="2"/>
        <v>No infirmation</v>
      </c>
      <c r="M2015" s="94" t="str">
        <f t="shared" si="3"/>
        <v/>
      </c>
    </row>
    <row r="2016" ht="15.75" customHeight="1">
      <c r="B2016" s="77">
        <f t="shared" si="1"/>
        <v>0</v>
      </c>
      <c r="C2016" s="67"/>
      <c r="D2016" s="78"/>
      <c r="E2016" s="101"/>
      <c r="F2016" s="108"/>
      <c r="G2016" s="120"/>
      <c r="H2016" s="101"/>
      <c r="I2016" s="93"/>
      <c r="J2016" s="91"/>
      <c r="L2016" s="94" t="str">
        <f t="shared" si="2"/>
        <v>No infirmation</v>
      </c>
      <c r="M2016" s="94" t="str">
        <f t="shared" si="3"/>
        <v/>
      </c>
    </row>
    <row r="2017" ht="15.75" customHeight="1">
      <c r="B2017" s="77">
        <f t="shared" si="1"/>
        <v>0</v>
      </c>
      <c r="C2017" s="67"/>
      <c r="D2017" s="78"/>
      <c r="E2017" s="101"/>
      <c r="F2017" s="108"/>
      <c r="G2017" s="120"/>
      <c r="H2017" s="101"/>
      <c r="I2017" s="93"/>
      <c r="J2017" s="91"/>
      <c r="L2017" s="94" t="str">
        <f t="shared" si="2"/>
        <v>No infirmation</v>
      </c>
      <c r="M2017" s="94" t="str">
        <f t="shared" si="3"/>
        <v/>
      </c>
    </row>
    <row r="2018" ht="15.75" customHeight="1">
      <c r="B2018" s="77">
        <f t="shared" si="1"/>
        <v>0</v>
      </c>
      <c r="C2018" s="67"/>
      <c r="D2018" s="78"/>
      <c r="E2018" s="101"/>
      <c r="F2018" s="108"/>
      <c r="G2018" s="120"/>
      <c r="H2018" s="101"/>
      <c r="I2018" s="93"/>
      <c r="J2018" s="91"/>
      <c r="L2018" s="94" t="str">
        <f t="shared" si="2"/>
        <v>No infirmation</v>
      </c>
      <c r="M2018" s="94" t="str">
        <f t="shared" si="3"/>
        <v/>
      </c>
    </row>
    <row r="2019" ht="15.75" customHeight="1">
      <c r="B2019" s="77">
        <f t="shared" si="1"/>
        <v>0</v>
      </c>
      <c r="C2019" s="67"/>
      <c r="D2019" s="78"/>
      <c r="E2019" s="101"/>
      <c r="F2019" s="108"/>
      <c r="G2019" s="120"/>
      <c r="H2019" s="101"/>
      <c r="I2019" s="93"/>
      <c r="J2019" s="91"/>
      <c r="L2019" s="94" t="str">
        <f t="shared" si="2"/>
        <v>No infirmation</v>
      </c>
      <c r="M2019" s="94" t="str">
        <f t="shared" si="3"/>
        <v/>
      </c>
    </row>
    <row r="2020" ht="15.75" customHeight="1">
      <c r="B2020" s="77">
        <f t="shared" si="1"/>
        <v>0</v>
      </c>
      <c r="C2020" s="67"/>
      <c r="D2020" s="78"/>
      <c r="E2020" s="101"/>
      <c r="F2020" s="108"/>
      <c r="G2020" s="120"/>
      <c r="H2020" s="101"/>
      <c r="I2020" s="93"/>
      <c r="J2020" s="91"/>
      <c r="L2020" s="94" t="str">
        <f t="shared" si="2"/>
        <v>No infirmation</v>
      </c>
      <c r="M2020" s="94" t="str">
        <f t="shared" si="3"/>
        <v/>
      </c>
    </row>
    <row r="2021" ht="15.75" customHeight="1">
      <c r="B2021" s="77">
        <f t="shared" si="1"/>
        <v>0</v>
      </c>
      <c r="C2021" s="67"/>
      <c r="D2021" s="78"/>
      <c r="E2021" s="101"/>
      <c r="F2021" s="108"/>
      <c r="G2021" s="120"/>
      <c r="H2021" s="101"/>
      <c r="I2021" s="93"/>
      <c r="J2021" s="91"/>
      <c r="L2021" s="94" t="str">
        <f t="shared" si="2"/>
        <v>No infirmation</v>
      </c>
      <c r="M2021" s="94" t="str">
        <f t="shared" si="3"/>
        <v/>
      </c>
    </row>
    <row r="2022" ht="15.75" customHeight="1">
      <c r="B2022" s="77">
        <f t="shared" si="1"/>
        <v>0</v>
      </c>
      <c r="C2022" s="67"/>
      <c r="D2022" s="78"/>
      <c r="E2022" s="101"/>
      <c r="F2022" s="108"/>
      <c r="G2022" s="120"/>
      <c r="H2022" s="101"/>
      <c r="I2022" s="93"/>
      <c r="J2022" s="91"/>
      <c r="L2022" s="94" t="str">
        <f t="shared" si="2"/>
        <v>No infirmation</v>
      </c>
      <c r="M2022" s="94" t="str">
        <f t="shared" si="3"/>
        <v/>
      </c>
    </row>
    <row r="2023" ht="15.75" customHeight="1">
      <c r="B2023" s="77">
        <f t="shared" si="1"/>
        <v>0</v>
      </c>
      <c r="C2023" s="67"/>
      <c r="D2023" s="78"/>
      <c r="E2023" s="101"/>
      <c r="F2023" s="108"/>
      <c r="G2023" s="120"/>
      <c r="H2023" s="101"/>
      <c r="I2023" s="93"/>
      <c r="J2023" s="91"/>
      <c r="L2023" s="94" t="str">
        <f t="shared" si="2"/>
        <v>No infirmation</v>
      </c>
      <c r="M2023" s="94" t="str">
        <f t="shared" si="3"/>
        <v/>
      </c>
    </row>
    <row r="2024" ht="15.75" customHeight="1">
      <c r="B2024" s="77">
        <f t="shared" si="1"/>
        <v>0</v>
      </c>
      <c r="C2024" s="67"/>
      <c r="D2024" s="78"/>
      <c r="E2024" s="101"/>
      <c r="F2024" s="108"/>
      <c r="G2024" s="120"/>
      <c r="H2024" s="101"/>
      <c r="I2024" s="93"/>
      <c r="J2024" s="91"/>
      <c r="L2024" s="94" t="str">
        <f t="shared" si="2"/>
        <v>No infirmation</v>
      </c>
      <c r="M2024" s="94" t="str">
        <f t="shared" si="3"/>
        <v/>
      </c>
    </row>
    <row r="2025" ht="15.75" customHeight="1">
      <c r="B2025" s="77">
        <f t="shared" si="1"/>
        <v>0</v>
      </c>
      <c r="C2025" s="67"/>
      <c r="D2025" s="78"/>
      <c r="E2025" s="101"/>
      <c r="F2025" s="108"/>
      <c r="G2025" s="120"/>
      <c r="H2025" s="101"/>
      <c r="I2025" s="93"/>
      <c r="J2025" s="91"/>
      <c r="L2025" s="94" t="str">
        <f t="shared" si="2"/>
        <v>No infirmation</v>
      </c>
      <c r="M2025" s="94" t="str">
        <f t="shared" si="3"/>
        <v/>
      </c>
    </row>
    <row r="2026" ht="15.75" customHeight="1">
      <c r="B2026" s="77">
        <f t="shared" si="1"/>
        <v>0</v>
      </c>
      <c r="C2026" s="67"/>
      <c r="D2026" s="78"/>
      <c r="E2026" s="101"/>
      <c r="F2026" s="108"/>
      <c r="G2026" s="120"/>
      <c r="H2026" s="101"/>
      <c r="I2026" s="93"/>
      <c r="J2026" s="91"/>
      <c r="L2026" s="94" t="str">
        <f t="shared" si="2"/>
        <v>No infirmation</v>
      </c>
      <c r="M2026" s="94" t="str">
        <f t="shared" si="3"/>
        <v/>
      </c>
    </row>
    <row r="2027" ht="15.75" customHeight="1">
      <c r="B2027" s="77">
        <f t="shared" si="1"/>
        <v>0</v>
      </c>
      <c r="C2027" s="67"/>
      <c r="D2027" s="78"/>
      <c r="E2027" s="101"/>
      <c r="F2027" s="108"/>
      <c r="G2027" s="120"/>
      <c r="H2027" s="101"/>
      <c r="I2027" s="93"/>
      <c r="J2027" s="91"/>
      <c r="L2027" s="94" t="str">
        <f t="shared" si="2"/>
        <v>No infirmation</v>
      </c>
      <c r="M2027" s="94" t="str">
        <f t="shared" si="3"/>
        <v/>
      </c>
    </row>
    <row r="2028" ht="15.75" customHeight="1">
      <c r="B2028" s="77">
        <f t="shared" si="1"/>
        <v>0</v>
      </c>
      <c r="C2028" s="67"/>
      <c r="D2028" s="78"/>
      <c r="E2028" s="101"/>
      <c r="F2028" s="108"/>
      <c r="G2028" s="120"/>
      <c r="H2028" s="101"/>
      <c r="I2028" s="93"/>
      <c r="J2028" s="91"/>
      <c r="L2028" s="94" t="str">
        <f t="shared" si="2"/>
        <v>No infirmation</v>
      </c>
      <c r="M2028" s="94" t="str">
        <f t="shared" si="3"/>
        <v/>
      </c>
    </row>
    <row r="2029" ht="15.75" customHeight="1">
      <c r="B2029" s="77">
        <f t="shared" si="1"/>
        <v>0</v>
      </c>
      <c r="C2029" s="67"/>
      <c r="D2029" s="78"/>
      <c r="E2029" s="101"/>
      <c r="F2029" s="108"/>
      <c r="G2029" s="120"/>
      <c r="H2029" s="101"/>
      <c r="I2029" s="93"/>
      <c r="J2029" s="91"/>
      <c r="L2029" s="94" t="str">
        <f t="shared" si="2"/>
        <v>No infirmation</v>
      </c>
      <c r="M2029" s="94" t="str">
        <f t="shared" si="3"/>
        <v/>
      </c>
    </row>
    <row r="2030" ht="15.75" customHeight="1">
      <c r="B2030" s="77">
        <f t="shared" si="1"/>
        <v>0</v>
      </c>
      <c r="C2030" s="67"/>
      <c r="D2030" s="78"/>
      <c r="E2030" s="101"/>
      <c r="F2030" s="108"/>
      <c r="G2030" s="120"/>
      <c r="H2030" s="101"/>
      <c r="I2030" s="93"/>
      <c r="J2030" s="91"/>
      <c r="L2030" s="94" t="str">
        <f t="shared" si="2"/>
        <v>No infirmation</v>
      </c>
      <c r="M2030" s="94" t="str">
        <f t="shared" si="3"/>
        <v/>
      </c>
    </row>
    <row r="2031" ht="15.75" customHeight="1">
      <c r="B2031" s="77">
        <f t="shared" si="1"/>
        <v>0</v>
      </c>
      <c r="C2031" s="67"/>
      <c r="D2031" s="78"/>
      <c r="E2031" s="101"/>
      <c r="F2031" s="108"/>
      <c r="G2031" s="120"/>
      <c r="H2031" s="101"/>
      <c r="I2031" s="93"/>
      <c r="J2031" s="91"/>
      <c r="L2031" s="94" t="str">
        <f t="shared" si="2"/>
        <v>No infirmation</v>
      </c>
      <c r="M2031" s="94" t="str">
        <f t="shared" si="3"/>
        <v/>
      </c>
    </row>
    <row r="2032" ht="15.75" customHeight="1">
      <c r="B2032" s="77">
        <f t="shared" si="1"/>
        <v>0</v>
      </c>
      <c r="C2032" s="67"/>
      <c r="D2032" s="78"/>
      <c r="E2032" s="101"/>
      <c r="F2032" s="108"/>
      <c r="G2032" s="120"/>
      <c r="H2032" s="101"/>
      <c r="I2032" s="93"/>
      <c r="J2032" s="91"/>
      <c r="L2032" s="94" t="str">
        <f t="shared" si="2"/>
        <v>No infirmation</v>
      </c>
      <c r="M2032" s="94" t="str">
        <f t="shared" si="3"/>
        <v/>
      </c>
    </row>
    <row r="2033" ht="15.75" customHeight="1">
      <c r="B2033" s="77">
        <f t="shared" si="1"/>
        <v>0</v>
      </c>
      <c r="C2033" s="67"/>
      <c r="D2033" s="78"/>
      <c r="E2033" s="101"/>
      <c r="F2033" s="108"/>
      <c r="G2033" s="120"/>
      <c r="H2033" s="101"/>
      <c r="I2033" s="93"/>
      <c r="J2033" s="91"/>
      <c r="L2033" s="94" t="str">
        <f t="shared" si="2"/>
        <v>No infirmation</v>
      </c>
      <c r="M2033" s="94" t="str">
        <f t="shared" si="3"/>
        <v/>
      </c>
    </row>
    <row r="2034" ht="15.75" customHeight="1">
      <c r="B2034" s="77">
        <f t="shared" si="1"/>
        <v>0</v>
      </c>
      <c r="C2034" s="67"/>
      <c r="D2034" s="78"/>
      <c r="E2034" s="101"/>
      <c r="F2034" s="108"/>
      <c r="G2034" s="120"/>
      <c r="H2034" s="101"/>
      <c r="I2034" s="93"/>
      <c r="J2034" s="91"/>
      <c r="L2034" s="94" t="str">
        <f t="shared" si="2"/>
        <v>No infirmation</v>
      </c>
      <c r="M2034" s="94" t="str">
        <f t="shared" si="3"/>
        <v/>
      </c>
    </row>
    <row r="2035" ht="15.75" customHeight="1">
      <c r="B2035" s="77">
        <f t="shared" si="1"/>
        <v>0</v>
      </c>
      <c r="C2035" s="67"/>
      <c r="D2035" s="78"/>
      <c r="E2035" s="101"/>
      <c r="F2035" s="108"/>
      <c r="G2035" s="120"/>
      <c r="H2035" s="101"/>
      <c r="I2035" s="93"/>
      <c r="J2035" s="91"/>
      <c r="L2035" s="94" t="str">
        <f t="shared" si="2"/>
        <v>No infirmation</v>
      </c>
      <c r="M2035" s="94" t="str">
        <f t="shared" si="3"/>
        <v/>
      </c>
    </row>
    <row r="2036" ht="15.75" customHeight="1">
      <c r="B2036" s="77">
        <f t="shared" si="1"/>
        <v>0</v>
      </c>
      <c r="C2036" s="67"/>
      <c r="D2036" s="78"/>
      <c r="E2036" s="101"/>
      <c r="F2036" s="108"/>
      <c r="G2036" s="120"/>
      <c r="H2036" s="101"/>
      <c r="I2036" s="93"/>
      <c r="J2036" s="91"/>
      <c r="L2036" s="94" t="str">
        <f t="shared" si="2"/>
        <v>No infirmation</v>
      </c>
      <c r="M2036" s="94" t="str">
        <f t="shared" si="3"/>
        <v/>
      </c>
    </row>
    <row r="2037" ht="15.75" customHeight="1">
      <c r="B2037" s="77">
        <f t="shared" si="1"/>
        <v>0</v>
      </c>
      <c r="C2037" s="67"/>
      <c r="D2037" s="78"/>
      <c r="E2037" s="101"/>
      <c r="F2037" s="108"/>
      <c r="G2037" s="120"/>
      <c r="H2037" s="101"/>
      <c r="I2037" s="93"/>
      <c r="J2037" s="91"/>
      <c r="L2037" s="94" t="str">
        <f t="shared" si="2"/>
        <v>No infirmation</v>
      </c>
      <c r="M2037" s="94" t="str">
        <f t="shared" si="3"/>
        <v/>
      </c>
    </row>
    <row r="2038" ht="15.75" customHeight="1">
      <c r="B2038" s="77">
        <f t="shared" si="1"/>
        <v>0</v>
      </c>
      <c r="C2038" s="67"/>
      <c r="D2038" s="78"/>
      <c r="E2038" s="101"/>
      <c r="F2038" s="108"/>
      <c r="G2038" s="120"/>
      <c r="H2038" s="101"/>
      <c r="I2038" s="93"/>
      <c r="J2038" s="91"/>
      <c r="L2038" s="94" t="str">
        <f t="shared" si="2"/>
        <v>No infirmation</v>
      </c>
      <c r="M2038" s="94" t="str">
        <f t="shared" si="3"/>
        <v/>
      </c>
    </row>
    <row r="2039" ht="15.75" customHeight="1">
      <c r="B2039" s="77">
        <f t="shared" si="1"/>
        <v>0</v>
      </c>
      <c r="C2039" s="67"/>
      <c r="D2039" s="78"/>
      <c r="E2039" s="101"/>
      <c r="F2039" s="108"/>
      <c r="G2039" s="120"/>
      <c r="H2039" s="101"/>
      <c r="I2039" s="93"/>
      <c r="J2039" s="91"/>
      <c r="L2039" s="94" t="str">
        <f t="shared" si="2"/>
        <v>No infirmation</v>
      </c>
      <c r="M2039" s="94" t="str">
        <f t="shared" si="3"/>
        <v/>
      </c>
    </row>
    <row r="2040" ht="15.75" customHeight="1">
      <c r="B2040" s="77">
        <f t="shared" si="1"/>
        <v>0</v>
      </c>
      <c r="C2040" s="67"/>
      <c r="D2040" s="78"/>
      <c r="E2040" s="101"/>
      <c r="F2040" s="108"/>
      <c r="G2040" s="120"/>
      <c r="H2040" s="101"/>
      <c r="I2040" s="93"/>
      <c r="J2040" s="91"/>
      <c r="L2040" s="94" t="str">
        <f t="shared" si="2"/>
        <v>No infirmation</v>
      </c>
      <c r="M2040" s="94" t="str">
        <f t="shared" si="3"/>
        <v/>
      </c>
    </row>
    <row r="2041" ht="15.75" customHeight="1">
      <c r="B2041" s="77">
        <f t="shared" si="1"/>
        <v>0</v>
      </c>
      <c r="C2041" s="67"/>
      <c r="D2041" s="78"/>
      <c r="E2041" s="101"/>
      <c r="F2041" s="108"/>
      <c r="G2041" s="120"/>
      <c r="H2041" s="101"/>
      <c r="I2041" s="93"/>
      <c r="J2041" s="91"/>
      <c r="L2041" s="94" t="str">
        <f t="shared" si="2"/>
        <v>No infirmation</v>
      </c>
      <c r="M2041" s="94" t="str">
        <f t="shared" si="3"/>
        <v/>
      </c>
    </row>
    <row r="2042" ht="15.75" customHeight="1">
      <c r="B2042" s="77">
        <f t="shared" si="1"/>
        <v>0</v>
      </c>
      <c r="C2042" s="67"/>
      <c r="D2042" s="78"/>
      <c r="E2042" s="101"/>
      <c r="F2042" s="108"/>
      <c r="G2042" s="120"/>
      <c r="H2042" s="101"/>
      <c r="I2042" s="93"/>
      <c r="J2042" s="91"/>
      <c r="L2042" s="94" t="str">
        <f t="shared" si="2"/>
        <v>No infirmation</v>
      </c>
      <c r="M2042" s="94" t="str">
        <f t="shared" si="3"/>
        <v/>
      </c>
    </row>
    <row r="2043" ht="15.75" customHeight="1">
      <c r="B2043" s="77">
        <f t="shared" si="1"/>
        <v>0</v>
      </c>
      <c r="C2043" s="67"/>
      <c r="D2043" s="78"/>
      <c r="E2043" s="101"/>
      <c r="F2043" s="108"/>
      <c r="G2043" s="120"/>
      <c r="H2043" s="101"/>
      <c r="I2043" s="93"/>
      <c r="J2043" s="91"/>
      <c r="L2043" s="94" t="str">
        <f t="shared" si="2"/>
        <v>No infirmation</v>
      </c>
      <c r="M2043" s="94" t="str">
        <f t="shared" si="3"/>
        <v/>
      </c>
    </row>
    <row r="2044" ht="15.75" customHeight="1">
      <c r="B2044" s="77">
        <f t="shared" si="1"/>
        <v>0</v>
      </c>
      <c r="C2044" s="67"/>
      <c r="D2044" s="78"/>
      <c r="E2044" s="101"/>
      <c r="F2044" s="108"/>
      <c r="G2044" s="120"/>
      <c r="H2044" s="101"/>
      <c r="I2044" s="93"/>
      <c r="J2044" s="91"/>
      <c r="L2044" s="94" t="str">
        <f t="shared" si="2"/>
        <v>No infirmation</v>
      </c>
      <c r="M2044" s="94" t="str">
        <f t="shared" si="3"/>
        <v/>
      </c>
    </row>
    <row r="2045" ht="15.75" customHeight="1">
      <c r="B2045" s="77">
        <f t="shared" si="1"/>
        <v>0</v>
      </c>
      <c r="C2045" s="67"/>
      <c r="D2045" s="78"/>
      <c r="E2045" s="101"/>
      <c r="F2045" s="108"/>
      <c r="G2045" s="120"/>
      <c r="H2045" s="101"/>
      <c r="I2045" s="93"/>
      <c r="J2045" s="91"/>
      <c r="L2045" s="94" t="str">
        <f t="shared" si="2"/>
        <v>No infirmation</v>
      </c>
      <c r="M2045" s="94" t="str">
        <f t="shared" si="3"/>
        <v/>
      </c>
    </row>
    <row r="2046" ht="15.75" customHeight="1">
      <c r="B2046" s="77">
        <f t="shared" si="1"/>
        <v>0</v>
      </c>
      <c r="C2046" s="67"/>
      <c r="D2046" s="78"/>
      <c r="E2046" s="101"/>
      <c r="F2046" s="108"/>
      <c r="G2046" s="120"/>
      <c r="H2046" s="101"/>
      <c r="I2046" s="93"/>
      <c r="J2046" s="91"/>
      <c r="L2046" s="94" t="str">
        <f t="shared" si="2"/>
        <v>No infirmation</v>
      </c>
      <c r="M2046" s="94" t="str">
        <f t="shared" si="3"/>
        <v/>
      </c>
    </row>
    <row r="2047" ht="15.75" customHeight="1">
      <c r="B2047" s="77">
        <f t="shared" si="1"/>
        <v>0</v>
      </c>
      <c r="C2047" s="67"/>
      <c r="D2047" s="78"/>
      <c r="E2047" s="101"/>
      <c r="F2047" s="108"/>
      <c r="G2047" s="120"/>
      <c r="H2047" s="101"/>
      <c r="I2047" s="93"/>
      <c r="J2047" s="91"/>
      <c r="L2047" s="94" t="str">
        <f t="shared" si="2"/>
        <v>No infirmation</v>
      </c>
      <c r="M2047" s="94" t="str">
        <f t="shared" si="3"/>
        <v/>
      </c>
    </row>
    <row r="2048" ht="15.75" customHeight="1">
      <c r="B2048" s="77">
        <f t="shared" si="1"/>
        <v>0</v>
      </c>
      <c r="C2048" s="67"/>
      <c r="D2048" s="78"/>
      <c r="E2048" s="101"/>
      <c r="F2048" s="108"/>
      <c r="G2048" s="120"/>
      <c r="H2048" s="101"/>
      <c r="I2048" s="93"/>
      <c r="J2048" s="91"/>
      <c r="L2048" s="94" t="str">
        <f t="shared" si="2"/>
        <v>No infirmation</v>
      </c>
      <c r="M2048" s="94" t="str">
        <f t="shared" si="3"/>
        <v/>
      </c>
    </row>
    <row r="2049" ht="15.75" customHeight="1">
      <c r="B2049" s="77">
        <f t="shared" si="1"/>
        <v>0</v>
      </c>
      <c r="C2049" s="67"/>
      <c r="D2049" s="78"/>
      <c r="E2049" s="101"/>
      <c r="F2049" s="108"/>
      <c r="G2049" s="120"/>
      <c r="H2049" s="101"/>
      <c r="I2049" s="93"/>
      <c r="J2049" s="91"/>
      <c r="L2049" s="94" t="str">
        <f t="shared" si="2"/>
        <v>No infirmation</v>
      </c>
      <c r="M2049" s="94" t="str">
        <f t="shared" si="3"/>
        <v/>
      </c>
    </row>
    <row r="2050" ht="15.75" customHeight="1">
      <c r="B2050" s="77">
        <f t="shared" si="1"/>
        <v>0</v>
      </c>
      <c r="C2050" s="67"/>
      <c r="D2050" s="78"/>
      <c r="E2050" s="101"/>
      <c r="F2050" s="108"/>
      <c r="G2050" s="120"/>
      <c r="H2050" s="101"/>
      <c r="I2050" s="93"/>
      <c r="J2050" s="91"/>
      <c r="L2050" s="94" t="str">
        <f t="shared" si="2"/>
        <v>No infirmation</v>
      </c>
      <c r="M2050" s="94" t="str">
        <f t="shared" si="3"/>
        <v/>
      </c>
    </row>
    <row r="2051" ht="15.75" customHeight="1">
      <c r="B2051" s="77">
        <f t="shared" si="1"/>
        <v>0</v>
      </c>
      <c r="C2051" s="67"/>
      <c r="D2051" s="78"/>
      <c r="E2051" s="101"/>
      <c r="F2051" s="108"/>
      <c r="G2051" s="120"/>
      <c r="H2051" s="101"/>
      <c r="I2051" s="93"/>
      <c r="J2051" s="91"/>
      <c r="L2051" s="94" t="str">
        <f t="shared" si="2"/>
        <v>No infirmation</v>
      </c>
      <c r="M2051" s="94" t="str">
        <f t="shared" si="3"/>
        <v/>
      </c>
    </row>
    <row r="2052" ht="15.75" customHeight="1">
      <c r="B2052" s="77">
        <f t="shared" si="1"/>
        <v>0</v>
      </c>
      <c r="C2052" s="67"/>
      <c r="D2052" s="78"/>
      <c r="E2052" s="101"/>
      <c r="F2052" s="108"/>
      <c r="G2052" s="120"/>
      <c r="H2052" s="101"/>
      <c r="I2052" s="93"/>
      <c r="J2052" s="91"/>
      <c r="L2052" s="94" t="str">
        <f t="shared" si="2"/>
        <v>No infirmation</v>
      </c>
      <c r="M2052" s="94" t="str">
        <f t="shared" si="3"/>
        <v/>
      </c>
    </row>
    <row r="2053" ht="15.75" customHeight="1">
      <c r="B2053" s="77">
        <f t="shared" si="1"/>
        <v>0</v>
      </c>
      <c r="C2053" s="67"/>
      <c r="D2053" s="78"/>
      <c r="E2053" s="101"/>
      <c r="F2053" s="108"/>
      <c r="G2053" s="120"/>
      <c r="H2053" s="101"/>
      <c r="I2053" s="93"/>
      <c r="J2053" s="91"/>
      <c r="L2053" s="94" t="str">
        <f t="shared" si="2"/>
        <v>No infirmation</v>
      </c>
      <c r="M2053" s="94" t="str">
        <f t="shared" si="3"/>
        <v/>
      </c>
    </row>
    <row r="2054" ht="15.75" customHeight="1">
      <c r="B2054" s="77">
        <f t="shared" si="1"/>
        <v>0</v>
      </c>
      <c r="C2054" s="67"/>
      <c r="D2054" s="78"/>
      <c r="E2054" s="101"/>
      <c r="F2054" s="108"/>
      <c r="G2054" s="120"/>
      <c r="H2054" s="101"/>
      <c r="I2054" s="93"/>
      <c r="J2054" s="91"/>
      <c r="L2054" s="94" t="str">
        <f t="shared" si="2"/>
        <v>No infirmation</v>
      </c>
      <c r="M2054" s="94" t="str">
        <f t="shared" si="3"/>
        <v/>
      </c>
    </row>
    <row r="2055" ht="15.75" customHeight="1">
      <c r="B2055" s="77">
        <f t="shared" si="1"/>
        <v>0</v>
      </c>
      <c r="C2055" s="67"/>
      <c r="D2055" s="78"/>
      <c r="E2055" s="101"/>
      <c r="F2055" s="108"/>
      <c r="G2055" s="120"/>
      <c r="H2055" s="101"/>
      <c r="I2055" s="93"/>
      <c r="J2055" s="91"/>
      <c r="L2055" s="94" t="str">
        <f t="shared" si="2"/>
        <v>No infirmation</v>
      </c>
      <c r="M2055" s="94" t="str">
        <f t="shared" si="3"/>
        <v/>
      </c>
    </row>
    <row r="2056" ht="15.75" customHeight="1">
      <c r="B2056" s="77">
        <f t="shared" si="1"/>
        <v>0</v>
      </c>
      <c r="C2056" s="67"/>
      <c r="D2056" s="78"/>
      <c r="E2056" s="101"/>
      <c r="F2056" s="108"/>
      <c r="G2056" s="120"/>
      <c r="H2056" s="101"/>
      <c r="I2056" s="93"/>
      <c r="J2056" s="91"/>
      <c r="L2056" s="94" t="str">
        <f t="shared" si="2"/>
        <v>No infirmation</v>
      </c>
      <c r="M2056" s="94" t="str">
        <f t="shared" si="3"/>
        <v/>
      </c>
    </row>
    <row r="2057" ht="15.75" customHeight="1">
      <c r="B2057" s="77">
        <f t="shared" si="1"/>
        <v>0</v>
      </c>
      <c r="C2057" s="67"/>
      <c r="D2057" s="78"/>
      <c r="E2057" s="101"/>
      <c r="F2057" s="108"/>
      <c r="G2057" s="120"/>
      <c r="H2057" s="101"/>
      <c r="I2057" s="93"/>
      <c r="J2057" s="91"/>
      <c r="L2057" s="94" t="str">
        <f t="shared" si="2"/>
        <v>No infirmation</v>
      </c>
      <c r="M2057" s="94" t="str">
        <f t="shared" si="3"/>
        <v/>
      </c>
    </row>
    <row r="2058" ht="15.75" customHeight="1">
      <c r="B2058" s="77">
        <f t="shared" si="1"/>
        <v>0</v>
      </c>
      <c r="C2058" s="67"/>
      <c r="D2058" s="78"/>
      <c r="E2058" s="101"/>
      <c r="F2058" s="108"/>
      <c r="G2058" s="120"/>
      <c r="H2058" s="101"/>
      <c r="I2058" s="93"/>
      <c r="J2058" s="91"/>
      <c r="L2058" s="94" t="str">
        <f t="shared" si="2"/>
        <v>No infirmation</v>
      </c>
      <c r="M2058" s="94" t="str">
        <f t="shared" si="3"/>
        <v/>
      </c>
    </row>
    <row r="2059" ht="15.75" customHeight="1">
      <c r="B2059" s="77">
        <f t="shared" si="1"/>
        <v>0</v>
      </c>
      <c r="C2059" s="67"/>
      <c r="D2059" s="78"/>
      <c r="E2059" s="101"/>
      <c r="F2059" s="108"/>
      <c r="G2059" s="120"/>
      <c r="H2059" s="101"/>
      <c r="I2059" s="93"/>
      <c r="J2059" s="91"/>
      <c r="L2059" s="94" t="str">
        <f t="shared" si="2"/>
        <v>No infirmation</v>
      </c>
      <c r="M2059" s="94" t="str">
        <f t="shared" si="3"/>
        <v/>
      </c>
    </row>
    <row r="2060" ht="15.75" customHeight="1">
      <c r="B2060" s="77">
        <f t="shared" si="1"/>
        <v>0</v>
      </c>
      <c r="C2060" s="67"/>
      <c r="D2060" s="78"/>
      <c r="E2060" s="101"/>
      <c r="F2060" s="108"/>
      <c r="G2060" s="120"/>
      <c r="H2060" s="101"/>
      <c r="I2060" s="93"/>
      <c r="J2060" s="91"/>
      <c r="L2060" s="94" t="str">
        <f t="shared" si="2"/>
        <v>No infirmation</v>
      </c>
      <c r="M2060" s="94" t="str">
        <f t="shared" si="3"/>
        <v/>
      </c>
    </row>
    <row r="2061" ht="15.75" customHeight="1">
      <c r="B2061" s="77">
        <f t="shared" si="1"/>
        <v>0</v>
      </c>
      <c r="C2061" s="67"/>
      <c r="D2061" s="78"/>
      <c r="E2061" s="101"/>
      <c r="F2061" s="108"/>
      <c r="G2061" s="120"/>
      <c r="H2061" s="101"/>
      <c r="I2061" s="93"/>
      <c r="J2061" s="91"/>
      <c r="L2061" s="94" t="str">
        <f t="shared" si="2"/>
        <v>No infirmation</v>
      </c>
      <c r="M2061" s="94" t="str">
        <f t="shared" si="3"/>
        <v/>
      </c>
    </row>
    <row r="2062" ht="15.75" customHeight="1">
      <c r="B2062" s="77">
        <f t="shared" si="1"/>
        <v>0</v>
      </c>
      <c r="C2062" s="67"/>
      <c r="D2062" s="78"/>
      <c r="E2062" s="101"/>
      <c r="F2062" s="108"/>
      <c r="G2062" s="120"/>
      <c r="H2062" s="101"/>
      <c r="I2062" s="93"/>
      <c r="J2062" s="91"/>
      <c r="L2062" s="94" t="str">
        <f t="shared" si="2"/>
        <v>No infirmation</v>
      </c>
      <c r="M2062" s="94" t="str">
        <f t="shared" si="3"/>
        <v/>
      </c>
    </row>
    <row r="2063" ht="15.75" customHeight="1">
      <c r="B2063" s="77">
        <f t="shared" si="1"/>
        <v>0</v>
      </c>
      <c r="C2063" s="67"/>
      <c r="D2063" s="78"/>
      <c r="E2063" s="101"/>
      <c r="F2063" s="108"/>
      <c r="G2063" s="120"/>
      <c r="H2063" s="101"/>
      <c r="I2063" s="93"/>
      <c r="J2063" s="91"/>
      <c r="L2063" s="94" t="str">
        <f t="shared" si="2"/>
        <v>No infirmation</v>
      </c>
      <c r="M2063" s="94" t="str">
        <f t="shared" si="3"/>
        <v/>
      </c>
    </row>
    <row r="2064" ht="15.75" customHeight="1">
      <c r="B2064" s="77">
        <f t="shared" si="1"/>
        <v>0</v>
      </c>
      <c r="C2064" s="67"/>
      <c r="D2064" s="78"/>
      <c r="E2064" s="101"/>
      <c r="F2064" s="108"/>
      <c r="G2064" s="120"/>
      <c r="H2064" s="101"/>
      <c r="I2064" s="93"/>
      <c r="J2064" s="91"/>
      <c r="L2064" s="94" t="str">
        <f t="shared" si="2"/>
        <v>No infirmation</v>
      </c>
      <c r="M2064" s="94" t="str">
        <f t="shared" si="3"/>
        <v/>
      </c>
    </row>
    <row r="2065" ht="15.75" customHeight="1">
      <c r="B2065" s="77">
        <f t="shared" si="1"/>
        <v>0</v>
      </c>
      <c r="C2065" s="67"/>
      <c r="D2065" s="78"/>
      <c r="E2065" s="101"/>
      <c r="F2065" s="108"/>
      <c r="G2065" s="120"/>
      <c r="H2065" s="101"/>
      <c r="I2065" s="93"/>
      <c r="J2065" s="91"/>
      <c r="L2065" s="94" t="str">
        <f t="shared" si="2"/>
        <v>No infirmation</v>
      </c>
      <c r="M2065" s="94" t="str">
        <f t="shared" si="3"/>
        <v/>
      </c>
    </row>
    <row r="2066" ht="15.75" customHeight="1">
      <c r="B2066" s="77">
        <f t="shared" si="1"/>
        <v>0</v>
      </c>
      <c r="C2066" s="67"/>
      <c r="D2066" s="78"/>
      <c r="E2066" s="101"/>
      <c r="F2066" s="108"/>
      <c r="G2066" s="120"/>
      <c r="H2066" s="101"/>
      <c r="I2066" s="93"/>
      <c r="J2066" s="91"/>
      <c r="L2066" s="94" t="str">
        <f t="shared" si="2"/>
        <v>No infirmation</v>
      </c>
      <c r="M2066" s="94" t="str">
        <f t="shared" si="3"/>
        <v/>
      </c>
    </row>
    <row r="2067" ht="15.75" customHeight="1">
      <c r="B2067" s="77">
        <f t="shared" si="1"/>
        <v>0</v>
      </c>
      <c r="C2067" s="67"/>
      <c r="D2067" s="78"/>
      <c r="E2067" s="101"/>
      <c r="F2067" s="108"/>
      <c r="G2067" s="120"/>
      <c r="H2067" s="101"/>
      <c r="I2067" s="93"/>
      <c r="J2067" s="91"/>
      <c r="L2067" s="94" t="str">
        <f t="shared" si="2"/>
        <v>No infirmation</v>
      </c>
      <c r="M2067" s="94" t="str">
        <f t="shared" si="3"/>
        <v/>
      </c>
    </row>
    <row r="2068" ht="15.75" customHeight="1">
      <c r="B2068" s="77">
        <f t="shared" si="1"/>
        <v>0</v>
      </c>
      <c r="C2068" s="67"/>
      <c r="D2068" s="78"/>
      <c r="E2068" s="101"/>
      <c r="F2068" s="108"/>
      <c r="G2068" s="120"/>
      <c r="H2068" s="101"/>
      <c r="I2068" s="93"/>
      <c r="J2068" s="91"/>
      <c r="L2068" s="94" t="str">
        <f t="shared" si="2"/>
        <v>No infirmation</v>
      </c>
      <c r="M2068" s="94" t="str">
        <f t="shared" si="3"/>
        <v/>
      </c>
    </row>
    <row r="2069" ht="15.75" customHeight="1">
      <c r="B2069" s="77">
        <f t="shared" si="1"/>
        <v>0</v>
      </c>
      <c r="C2069" s="67"/>
      <c r="D2069" s="78"/>
      <c r="E2069" s="101"/>
      <c r="F2069" s="108"/>
      <c r="G2069" s="120"/>
      <c r="H2069" s="101"/>
      <c r="I2069" s="93"/>
      <c r="J2069" s="91"/>
      <c r="L2069" s="94" t="str">
        <f t="shared" si="2"/>
        <v>No infirmation</v>
      </c>
      <c r="M2069" s="94" t="str">
        <f t="shared" si="3"/>
        <v/>
      </c>
    </row>
    <row r="2070" ht="15.75" customHeight="1">
      <c r="B2070" s="77">
        <f t="shared" si="1"/>
        <v>0</v>
      </c>
      <c r="C2070" s="67"/>
      <c r="D2070" s="78"/>
      <c r="E2070" s="101"/>
      <c r="F2070" s="108"/>
      <c r="G2070" s="120"/>
      <c r="H2070" s="101"/>
      <c r="I2070" s="93"/>
      <c r="J2070" s="91"/>
      <c r="L2070" s="94" t="str">
        <f t="shared" si="2"/>
        <v>No infirmation</v>
      </c>
      <c r="M2070" s="94" t="str">
        <f t="shared" si="3"/>
        <v/>
      </c>
    </row>
    <row r="2071" ht="15.75" customHeight="1">
      <c r="B2071" s="77">
        <f t="shared" si="1"/>
        <v>0</v>
      </c>
      <c r="C2071" s="67"/>
      <c r="D2071" s="78"/>
      <c r="E2071" s="101"/>
      <c r="F2071" s="108"/>
      <c r="G2071" s="120"/>
      <c r="H2071" s="101"/>
      <c r="I2071" s="93"/>
      <c r="J2071" s="91"/>
      <c r="L2071" s="94" t="str">
        <f t="shared" si="2"/>
        <v>No infirmation</v>
      </c>
      <c r="M2071" s="94" t="str">
        <f t="shared" si="3"/>
        <v/>
      </c>
    </row>
    <row r="2072" ht="15.75" customHeight="1">
      <c r="B2072" s="77">
        <f t="shared" si="1"/>
        <v>0</v>
      </c>
      <c r="C2072" s="67"/>
      <c r="D2072" s="78"/>
      <c r="E2072" s="101"/>
      <c r="F2072" s="108"/>
      <c r="G2072" s="120"/>
      <c r="H2072" s="101"/>
      <c r="I2072" s="93"/>
      <c r="J2072" s="91"/>
      <c r="L2072" s="94" t="str">
        <f t="shared" si="2"/>
        <v>No infirmation</v>
      </c>
      <c r="M2072" s="94" t="str">
        <f t="shared" si="3"/>
        <v/>
      </c>
    </row>
    <row r="2073" ht="15.75" customHeight="1">
      <c r="B2073" s="77">
        <f t="shared" si="1"/>
        <v>0</v>
      </c>
      <c r="C2073" s="67"/>
      <c r="D2073" s="78"/>
      <c r="E2073" s="101"/>
      <c r="F2073" s="108"/>
      <c r="G2073" s="120"/>
      <c r="H2073" s="101"/>
      <c r="I2073" s="93"/>
      <c r="J2073" s="91"/>
      <c r="L2073" s="94" t="str">
        <f t="shared" si="2"/>
        <v>No infirmation</v>
      </c>
      <c r="M2073" s="94" t="str">
        <f t="shared" si="3"/>
        <v/>
      </c>
    </row>
    <row r="2074" ht="15.75" customHeight="1">
      <c r="B2074" s="77">
        <f t="shared" si="1"/>
        <v>0</v>
      </c>
      <c r="C2074" s="67"/>
      <c r="D2074" s="78"/>
      <c r="E2074" s="101"/>
      <c r="F2074" s="108"/>
      <c r="G2074" s="120"/>
      <c r="H2074" s="101"/>
      <c r="I2074" s="93"/>
      <c r="J2074" s="91"/>
      <c r="L2074" s="94" t="str">
        <f t="shared" si="2"/>
        <v>No infirmation</v>
      </c>
      <c r="M2074" s="94" t="str">
        <f t="shared" si="3"/>
        <v/>
      </c>
    </row>
    <row r="2075" ht="15.75" customHeight="1">
      <c r="B2075" s="77">
        <f t="shared" si="1"/>
        <v>0</v>
      </c>
      <c r="C2075" s="67"/>
      <c r="D2075" s="78"/>
      <c r="E2075" s="101"/>
      <c r="F2075" s="108"/>
      <c r="G2075" s="120"/>
      <c r="H2075" s="101"/>
      <c r="I2075" s="93"/>
      <c r="J2075" s="91"/>
      <c r="L2075" s="94" t="str">
        <f t="shared" si="2"/>
        <v>No infirmation</v>
      </c>
      <c r="M2075" s="94" t="str">
        <f t="shared" si="3"/>
        <v/>
      </c>
    </row>
    <row r="2076" ht="15.75" customHeight="1">
      <c r="B2076" s="77">
        <f t="shared" si="1"/>
        <v>0</v>
      </c>
      <c r="C2076" s="67"/>
      <c r="D2076" s="78"/>
      <c r="E2076" s="101"/>
      <c r="F2076" s="108"/>
      <c r="G2076" s="120"/>
      <c r="H2076" s="101"/>
      <c r="I2076" s="93"/>
      <c r="J2076" s="91"/>
      <c r="L2076" s="94" t="str">
        <f t="shared" si="2"/>
        <v>No infirmation</v>
      </c>
      <c r="M2076" s="94" t="str">
        <f t="shared" si="3"/>
        <v/>
      </c>
    </row>
    <row r="2077" ht="15.75" customHeight="1">
      <c r="B2077" s="77">
        <f t="shared" si="1"/>
        <v>0</v>
      </c>
      <c r="C2077" s="67"/>
      <c r="D2077" s="78"/>
      <c r="E2077" s="101"/>
      <c r="F2077" s="108"/>
      <c r="G2077" s="120"/>
      <c r="H2077" s="101"/>
      <c r="I2077" s="93"/>
      <c r="J2077" s="91"/>
      <c r="L2077" s="94" t="str">
        <f t="shared" si="2"/>
        <v>No infirmation</v>
      </c>
      <c r="M2077" s="94" t="str">
        <f t="shared" si="3"/>
        <v/>
      </c>
    </row>
    <row r="2078" ht="15.75" customHeight="1">
      <c r="B2078" s="77">
        <f t="shared" si="1"/>
        <v>0</v>
      </c>
      <c r="C2078" s="67"/>
      <c r="D2078" s="78"/>
      <c r="E2078" s="101"/>
      <c r="F2078" s="108"/>
      <c r="G2078" s="120"/>
      <c r="H2078" s="101"/>
      <c r="I2078" s="93"/>
      <c r="J2078" s="91"/>
      <c r="L2078" s="94" t="str">
        <f t="shared" si="2"/>
        <v>No infirmation</v>
      </c>
      <c r="M2078" s="94" t="str">
        <f t="shared" si="3"/>
        <v/>
      </c>
    </row>
    <row r="2079" ht="15.75" customHeight="1">
      <c r="B2079" s="77">
        <f t="shared" si="1"/>
        <v>0</v>
      </c>
      <c r="C2079" s="67"/>
      <c r="D2079" s="78"/>
      <c r="E2079" s="101"/>
      <c r="F2079" s="108"/>
      <c r="G2079" s="120"/>
      <c r="H2079" s="101"/>
      <c r="I2079" s="93"/>
      <c r="J2079" s="91"/>
      <c r="L2079" s="94" t="str">
        <f t="shared" si="2"/>
        <v>No infirmation</v>
      </c>
      <c r="M2079" s="94" t="str">
        <f t="shared" si="3"/>
        <v/>
      </c>
    </row>
    <row r="2080" ht="15.75" customHeight="1">
      <c r="B2080" s="77">
        <f t="shared" si="1"/>
        <v>0</v>
      </c>
      <c r="C2080" s="67"/>
      <c r="D2080" s="78"/>
      <c r="E2080" s="101"/>
      <c r="F2080" s="108"/>
      <c r="G2080" s="120"/>
      <c r="H2080" s="101"/>
      <c r="I2080" s="93"/>
      <c r="J2080" s="91"/>
      <c r="L2080" s="94" t="str">
        <f t="shared" si="2"/>
        <v>No infirmation</v>
      </c>
      <c r="M2080" s="94" t="str">
        <f t="shared" si="3"/>
        <v/>
      </c>
    </row>
    <row r="2081" ht="15.75" customHeight="1">
      <c r="B2081" s="77">
        <f t="shared" si="1"/>
        <v>0</v>
      </c>
      <c r="C2081" s="67"/>
      <c r="D2081" s="78"/>
      <c r="E2081" s="101"/>
      <c r="F2081" s="108"/>
      <c r="G2081" s="120"/>
      <c r="H2081" s="101"/>
      <c r="I2081" s="93"/>
      <c r="J2081" s="91"/>
      <c r="L2081" s="94" t="str">
        <f t="shared" si="2"/>
        <v>No infirmation</v>
      </c>
      <c r="M2081" s="94" t="str">
        <f t="shared" si="3"/>
        <v/>
      </c>
    </row>
    <row r="2082" ht="15.75" customHeight="1">
      <c r="B2082" s="77">
        <f t="shared" si="1"/>
        <v>0</v>
      </c>
      <c r="C2082" s="67"/>
      <c r="D2082" s="78"/>
      <c r="E2082" s="101"/>
      <c r="F2082" s="108"/>
      <c r="G2082" s="120"/>
      <c r="H2082" s="101"/>
      <c r="I2082" s="93"/>
      <c r="J2082" s="91"/>
      <c r="L2082" s="94" t="str">
        <f t="shared" si="2"/>
        <v>No infirmation</v>
      </c>
      <c r="M2082" s="94" t="str">
        <f t="shared" si="3"/>
        <v/>
      </c>
    </row>
    <row r="2083" ht="15.75" customHeight="1">
      <c r="B2083" s="77">
        <f t="shared" si="1"/>
        <v>0</v>
      </c>
      <c r="C2083" s="67"/>
      <c r="D2083" s="78"/>
      <c r="E2083" s="101"/>
      <c r="F2083" s="108"/>
      <c r="G2083" s="120"/>
      <c r="H2083" s="101"/>
      <c r="I2083" s="93"/>
      <c r="J2083" s="91"/>
      <c r="L2083" s="94" t="str">
        <f t="shared" si="2"/>
        <v>No infirmation</v>
      </c>
      <c r="M2083" s="94" t="str">
        <f t="shared" si="3"/>
        <v/>
      </c>
    </row>
    <row r="2084" ht="15.75" customHeight="1">
      <c r="B2084" s="77">
        <f t="shared" si="1"/>
        <v>0</v>
      </c>
      <c r="C2084" s="67"/>
      <c r="D2084" s="78"/>
      <c r="E2084" s="101"/>
      <c r="F2084" s="108"/>
      <c r="G2084" s="120"/>
      <c r="H2084" s="101"/>
      <c r="I2084" s="93"/>
      <c r="J2084" s="91"/>
      <c r="L2084" s="94" t="str">
        <f t="shared" si="2"/>
        <v>No infirmation</v>
      </c>
      <c r="M2084" s="94" t="str">
        <f t="shared" si="3"/>
        <v/>
      </c>
    </row>
    <row r="2085" ht="15.75" customHeight="1">
      <c r="B2085" s="77">
        <f t="shared" si="1"/>
        <v>0</v>
      </c>
      <c r="C2085" s="67"/>
      <c r="D2085" s="78"/>
      <c r="E2085" s="101"/>
      <c r="F2085" s="108"/>
      <c r="G2085" s="120"/>
      <c r="H2085" s="101"/>
      <c r="I2085" s="93"/>
      <c r="J2085" s="91"/>
      <c r="L2085" s="94" t="str">
        <f t="shared" si="2"/>
        <v>No infirmation</v>
      </c>
      <c r="M2085" s="94" t="str">
        <f t="shared" si="3"/>
        <v/>
      </c>
    </row>
    <row r="2086" ht="15.75" customHeight="1">
      <c r="B2086" s="77">
        <f t="shared" si="1"/>
        <v>0</v>
      </c>
      <c r="C2086" s="67"/>
      <c r="D2086" s="78"/>
      <c r="E2086" s="101"/>
      <c r="F2086" s="108"/>
      <c r="G2086" s="120"/>
      <c r="H2086" s="101"/>
      <c r="I2086" s="93"/>
      <c r="J2086" s="91"/>
      <c r="L2086" s="94" t="str">
        <f t="shared" si="2"/>
        <v>No infirmation</v>
      </c>
      <c r="M2086" s="94" t="str">
        <f t="shared" si="3"/>
        <v/>
      </c>
    </row>
    <row r="2087" ht="15.75" customHeight="1">
      <c r="B2087" s="77">
        <f t="shared" si="1"/>
        <v>0</v>
      </c>
      <c r="C2087" s="67"/>
      <c r="D2087" s="78"/>
      <c r="E2087" s="101"/>
      <c r="F2087" s="108"/>
      <c r="G2087" s="120"/>
      <c r="H2087" s="101"/>
      <c r="I2087" s="93"/>
      <c r="J2087" s="91"/>
      <c r="L2087" s="94" t="str">
        <f t="shared" si="2"/>
        <v>No infirmation</v>
      </c>
      <c r="M2087" s="94" t="str">
        <f t="shared" si="3"/>
        <v/>
      </c>
    </row>
    <row r="2088" ht="15.75" customHeight="1">
      <c r="B2088" s="77">
        <f t="shared" si="1"/>
        <v>0</v>
      </c>
      <c r="C2088" s="67"/>
      <c r="D2088" s="78"/>
      <c r="E2088" s="101"/>
      <c r="F2088" s="108"/>
      <c r="G2088" s="120"/>
      <c r="H2088" s="101"/>
      <c r="I2088" s="93"/>
      <c r="J2088" s="91"/>
      <c r="L2088" s="94" t="str">
        <f t="shared" si="2"/>
        <v>No infirmation</v>
      </c>
      <c r="M2088" s="94" t="str">
        <f t="shared" si="3"/>
        <v/>
      </c>
    </row>
    <row r="2089" ht="15.75" customHeight="1">
      <c r="B2089" s="77">
        <f t="shared" si="1"/>
        <v>0</v>
      </c>
      <c r="C2089" s="67"/>
      <c r="D2089" s="78"/>
      <c r="E2089" s="101"/>
      <c r="F2089" s="108"/>
      <c r="G2089" s="120"/>
      <c r="H2089" s="101"/>
      <c r="I2089" s="93"/>
      <c r="J2089" s="91"/>
      <c r="L2089" s="94" t="str">
        <f t="shared" si="2"/>
        <v>No infirmation</v>
      </c>
      <c r="M2089" s="94" t="str">
        <f t="shared" si="3"/>
        <v/>
      </c>
    </row>
    <row r="2090" ht="15.75" customHeight="1">
      <c r="B2090" s="77">
        <f t="shared" si="1"/>
        <v>0</v>
      </c>
      <c r="C2090" s="67"/>
      <c r="D2090" s="78"/>
      <c r="E2090" s="101"/>
      <c r="F2090" s="108"/>
      <c r="G2090" s="120"/>
      <c r="H2090" s="101"/>
      <c r="I2090" s="93"/>
      <c r="J2090" s="91"/>
      <c r="L2090" s="94" t="str">
        <f t="shared" si="2"/>
        <v>No infirmation</v>
      </c>
      <c r="M2090" s="94" t="str">
        <f t="shared" si="3"/>
        <v/>
      </c>
    </row>
    <row r="2091" ht="15.75" customHeight="1">
      <c r="B2091" s="77">
        <f t="shared" si="1"/>
        <v>0</v>
      </c>
      <c r="C2091" s="67"/>
      <c r="D2091" s="78"/>
      <c r="E2091" s="101"/>
      <c r="F2091" s="108"/>
      <c r="G2091" s="120"/>
      <c r="H2091" s="101"/>
      <c r="I2091" s="93"/>
      <c r="J2091" s="91"/>
      <c r="L2091" s="94" t="str">
        <f t="shared" si="2"/>
        <v>No infirmation</v>
      </c>
      <c r="M2091" s="94" t="str">
        <f t="shared" si="3"/>
        <v/>
      </c>
    </row>
    <row r="2092" ht="15.75" customHeight="1">
      <c r="B2092" s="77">
        <f t="shared" si="1"/>
        <v>0</v>
      </c>
      <c r="C2092" s="67"/>
      <c r="D2092" s="78"/>
      <c r="E2092" s="101"/>
      <c r="F2092" s="108"/>
      <c r="G2092" s="120"/>
      <c r="H2092" s="101"/>
      <c r="I2092" s="93"/>
      <c r="J2092" s="91"/>
      <c r="L2092" s="94" t="str">
        <f t="shared" si="2"/>
        <v>No infirmation</v>
      </c>
      <c r="M2092" s="94" t="str">
        <f t="shared" si="3"/>
        <v/>
      </c>
    </row>
    <row r="2093" ht="15.75" customHeight="1">
      <c r="B2093" s="77">
        <f t="shared" si="1"/>
        <v>0</v>
      </c>
      <c r="C2093" s="67"/>
      <c r="D2093" s="78"/>
      <c r="E2093" s="101"/>
      <c r="F2093" s="108"/>
      <c r="G2093" s="120"/>
      <c r="H2093" s="101"/>
      <c r="I2093" s="93"/>
      <c r="J2093" s="91"/>
      <c r="L2093" s="94" t="str">
        <f t="shared" si="2"/>
        <v>No infirmation</v>
      </c>
      <c r="M2093" s="94" t="str">
        <f t="shared" si="3"/>
        <v/>
      </c>
    </row>
    <row r="2094" ht="15.75" customHeight="1">
      <c r="B2094" s="77">
        <f t="shared" si="1"/>
        <v>0</v>
      </c>
      <c r="C2094" s="67"/>
      <c r="D2094" s="78"/>
      <c r="E2094" s="101"/>
      <c r="F2094" s="108"/>
      <c r="G2094" s="120"/>
      <c r="H2094" s="101"/>
      <c r="I2094" s="93"/>
      <c r="J2094" s="91"/>
      <c r="L2094" s="94" t="str">
        <f t="shared" si="2"/>
        <v>No infirmation</v>
      </c>
      <c r="M2094" s="94" t="str">
        <f t="shared" si="3"/>
        <v/>
      </c>
    </row>
    <row r="2095" ht="15.75" customHeight="1">
      <c r="B2095" s="77">
        <f t="shared" si="1"/>
        <v>0</v>
      </c>
      <c r="C2095" s="67"/>
      <c r="D2095" s="78"/>
      <c r="E2095" s="101"/>
      <c r="F2095" s="108"/>
      <c r="G2095" s="120"/>
      <c r="H2095" s="101"/>
      <c r="I2095" s="93"/>
      <c r="J2095" s="91"/>
      <c r="L2095" s="94" t="str">
        <f t="shared" si="2"/>
        <v>No infirmation</v>
      </c>
      <c r="M2095" s="94" t="str">
        <f t="shared" si="3"/>
        <v/>
      </c>
    </row>
    <row r="2096" ht="15.75" customHeight="1">
      <c r="B2096" s="77">
        <f t="shared" si="1"/>
        <v>0</v>
      </c>
      <c r="C2096" s="67"/>
      <c r="D2096" s="78"/>
      <c r="E2096" s="101"/>
      <c r="F2096" s="108"/>
      <c r="G2096" s="120"/>
      <c r="H2096" s="101"/>
      <c r="I2096" s="93"/>
      <c r="J2096" s="91"/>
      <c r="L2096" s="94" t="str">
        <f t="shared" si="2"/>
        <v>No infirmation</v>
      </c>
      <c r="M2096" s="94" t="str">
        <f t="shared" si="3"/>
        <v/>
      </c>
    </row>
    <row r="2097" ht="15.75" customHeight="1">
      <c r="B2097" s="77">
        <f t="shared" si="1"/>
        <v>0</v>
      </c>
      <c r="C2097" s="67"/>
      <c r="D2097" s="78"/>
      <c r="E2097" s="101"/>
      <c r="F2097" s="108"/>
      <c r="G2097" s="120"/>
      <c r="H2097" s="101"/>
      <c r="I2097" s="93"/>
      <c r="J2097" s="91"/>
      <c r="L2097" s="94" t="str">
        <f t="shared" si="2"/>
        <v>No infirmation</v>
      </c>
      <c r="M2097" s="94" t="str">
        <f t="shared" si="3"/>
        <v/>
      </c>
    </row>
    <row r="2098" ht="15.75" customHeight="1">
      <c r="B2098" s="77">
        <f t="shared" si="1"/>
        <v>0</v>
      </c>
      <c r="C2098" s="67"/>
      <c r="D2098" s="78"/>
      <c r="E2098" s="101"/>
      <c r="F2098" s="108"/>
      <c r="G2098" s="120"/>
      <c r="H2098" s="101"/>
      <c r="I2098" s="93"/>
      <c r="J2098" s="91"/>
      <c r="L2098" s="94" t="str">
        <f t="shared" si="2"/>
        <v>No infirmation</v>
      </c>
      <c r="M2098" s="94" t="str">
        <f t="shared" si="3"/>
        <v/>
      </c>
    </row>
    <row r="2099" ht="15.75" customHeight="1">
      <c r="B2099" s="77">
        <f t="shared" si="1"/>
        <v>0</v>
      </c>
      <c r="C2099" s="67"/>
      <c r="D2099" s="78"/>
      <c r="E2099" s="101"/>
      <c r="F2099" s="108"/>
      <c r="G2099" s="120"/>
      <c r="H2099" s="101"/>
      <c r="I2099" s="93"/>
      <c r="J2099" s="91"/>
      <c r="L2099" s="94" t="str">
        <f t="shared" si="2"/>
        <v>No infirmation</v>
      </c>
      <c r="M2099" s="94" t="str">
        <f t="shared" si="3"/>
        <v/>
      </c>
    </row>
    <row r="2100" ht="15.75" customHeight="1">
      <c r="B2100" s="77">
        <f t="shared" si="1"/>
        <v>0</v>
      </c>
      <c r="C2100" s="67"/>
      <c r="D2100" s="78"/>
      <c r="E2100" s="101"/>
      <c r="F2100" s="108"/>
      <c r="G2100" s="120"/>
      <c r="H2100" s="101"/>
      <c r="I2100" s="93"/>
      <c r="J2100" s="91"/>
      <c r="L2100" s="94" t="str">
        <f t="shared" si="2"/>
        <v>No infirmation</v>
      </c>
      <c r="M2100" s="94" t="str">
        <f t="shared" si="3"/>
        <v/>
      </c>
    </row>
    <row r="2101" ht="15.75" customHeight="1">
      <c r="B2101" s="77">
        <f t="shared" si="1"/>
        <v>0</v>
      </c>
      <c r="C2101" s="67"/>
      <c r="D2101" s="78"/>
      <c r="E2101" s="101"/>
      <c r="F2101" s="108"/>
      <c r="G2101" s="120"/>
      <c r="H2101" s="101"/>
      <c r="I2101" s="93"/>
      <c r="J2101" s="91"/>
      <c r="L2101" s="94" t="str">
        <f t="shared" si="2"/>
        <v>No infirmation</v>
      </c>
      <c r="M2101" s="94" t="str">
        <f t="shared" si="3"/>
        <v/>
      </c>
    </row>
    <row r="2102" ht="15.75" customHeight="1">
      <c r="B2102" s="77">
        <f t="shared" si="1"/>
        <v>0</v>
      </c>
      <c r="C2102" s="67"/>
      <c r="D2102" s="78"/>
      <c r="E2102" s="101"/>
      <c r="F2102" s="108"/>
      <c r="G2102" s="120"/>
      <c r="H2102" s="101"/>
      <c r="I2102" s="93"/>
      <c r="J2102" s="91"/>
      <c r="L2102" s="94" t="str">
        <f t="shared" si="2"/>
        <v>No infirmation</v>
      </c>
      <c r="M2102" s="94" t="str">
        <f t="shared" si="3"/>
        <v/>
      </c>
    </row>
    <row r="2103" ht="15.75" customHeight="1">
      <c r="B2103" s="77">
        <f t="shared" si="1"/>
        <v>0</v>
      </c>
      <c r="C2103" s="67"/>
      <c r="D2103" s="78"/>
      <c r="E2103" s="101"/>
      <c r="F2103" s="108"/>
      <c r="G2103" s="120"/>
      <c r="H2103" s="101"/>
      <c r="I2103" s="93"/>
      <c r="J2103" s="91"/>
      <c r="L2103" s="94" t="str">
        <f t="shared" si="2"/>
        <v>No infirmation</v>
      </c>
      <c r="M2103" s="94" t="str">
        <f t="shared" si="3"/>
        <v/>
      </c>
    </row>
    <row r="2104" ht="15.75" customHeight="1">
      <c r="B2104" s="77">
        <f t="shared" si="1"/>
        <v>0</v>
      </c>
      <c r="C2104" s="67"/>
      <c r="D2104" s="78"/>
      <c r="E2104" s="101"/>
      <c r="F2104" s="108"/>
      <c r="G2104" s="120"/>
      <c r="H2104" s="101"/>
      <c r="I2104" s="93"/>
      <c r="J2104" s="91"/>
      <c r="L2104" s="94" t="str">
        <f t="shared" si="2"/>
        <v>No infirmation</v>
      </c>
      <c r="M2104" s="94" t="str">
        <f t="shared" si="3"/>
        <v/>
      </c>
    </row>
    <row r="2105" ht="15.75" customHeight="1">
      <c r="B2105" s="77">
        <f t="shared" si="1"/>
        <v>0</v>
      </c>
      <c r="C2105" s="67"/>
      <c r="D2105" s="78"/>
      <c r="E2105" s="101"/>
      <c r="F2105" s="108"/>
      <c r="G2105" s="120"/>
      <c r="H2105" s="101"/>
      <c r="I2105" s="93"/>
      <c r="J2105" s="91"/>
      <c r="L2105" s="94" t="str">
        <f t="shared" si="2"/>
        <v>No infirmation</v>
      </c>
      <c r="M2105" s="94" t="str">
        <f t="shared" si="3"/>
        <v/>
      </c>
    </row>
    <row r="2106" ht="15.75" customHeight="1">
      <c r="B2106" s="77">
        <f t="shared" si="1"/>
        <v>0</v>
      </c>
      <c r="C2106" s="67"/>
      <c r="D2106" s="78"/>
      <c r="E2106" s="101"/>
      <c r="F2106" s="108"/>
      <c r="G2106" s="120"/>
      <c r="H2106" s="101"/>
      <c r="I2106" s="93"/>
      <c r="J2106" s="91"/>
      <c r="L2106" s="94" t="str">
        <f t="shared" si="2"/>
        <v>No infirmation</v>
      </c>
      <c r="M2106" s="94" t="str">
        <f t="shared" si="3"/>
        <v/>
      </c>
    </row>
    <row r="2107" ht="15.75" customHeight="1">
      <c r="B2107" s="77">
        <f t="shared" si="1"/>
        <v>0</v>
      </c>
      <c r="C2107" s="67"/>
      <c r="D2107" s="78"/>
      <c r="E2107" s="101"/>
      <c r="F2107" s="108"/>
      <c r="G2107" s="120"/>
      <c r="H2107" s="101"/>
      <c r="I2107" s="93"/>
      <c r="J2107" s="91"/>
      <c r="L2107" s="94" t="str">
        <f t="shared" si="2"/>
        <v>No infirmation</v>
      </c>
      <c r="M2107" s="94" t="str">
        <f t="shared" si="3"/>
        <v/>
      </c>
    </row>
    <row r="2108" ht="15.75" customHeight="1">
      <c r="B2108" s="77">
        <f t="shared" si="1"/>
        <v>0</v>
      </c>
      <c r="C2108" s="67"/>
      <c r="D2108" s="78"/>
      <c r="E2108" s="101"/>
      <c r="F2108" s="108"/>
      <c r="G2108" s="120"/>
      <c r="H2108" s="101"/>
      <c r="I2108" s="93"/>
      <c r="J2108" s="91"/>
      <c r="L2108" s="94" t="str">
        <f t="shared" si="2"/>
        <v>No infirmation</v>
      </c>
      <c r="M2108" s="94" t="str">
        <f t="shared" si="3"/>
        <v/>
      </c>
    </row>
    <row r="2109" ht="15.75" customHeight="1">
      <c r="B2109" s="77">
        <f t="shared" si="1"/>
        <v>0</v>
      </c>
      <c r="C2109" s="67"/>
      <c r="D2109" s="78"/>
      <c r="E2109" s="101"/>
      <c r="F2109" s="108"/>
      <c r="G2109" s="120"/>
      <c r="H2109" s="101"/>
      <c r="I2109" s="93"/>
      <c r="J2109" s="91"/>
      <c r="L2109" s="94" t="str">
        <f t="shared" si="2"/>
        <v>No infirmation</v>
      </c>
      <c r="M2109" s="94" t="str">
        <f t="shared" si="3"/>
        <v/>
      </c>
    </row>
    <row r="2110" ht="15.75" customHeight="1">
      <c r="B2110" s="77">
        <f t="shared" si="1"/>
        <v>0</v>
      </c>
      <c r="C2110" s="67"/>
      <c r="D2110" s="78"/>
      <c r="E2110" s="101"/>
      <c r="F2110" s="108"/>
      <c r="G2110" s="120"/>
      <c r="H2110" s="101"/>
      <c r="I2110" s="93"/>
      <c r="J2110" s="91"/>
      <c r="L2110" s="94" t="str">
        <f t="shared" si="2"/>
        <v>No infirmation</v>
      </c>
      <c r="M2110" s="94" t="str">
        <f t="shared" si="3"/>
        <v/>
      </c>
    </row>
    <row r="2111" ht="15.75" customHeight="1">
      <c r="B2111" s="77">
        <f t="shared" si="1"/>
        <v>0</v>
      </c>
      <c r="C2111" s="67"/>
      <c r="D2111" s="78"/>
      <c r="E2111" s="101"/>
      <c r="F2111" s="108"/>
      <c r="G2111" s="120"/>
      <c r="H2111" s="101"/>
      <c r="I2111" s="93"/>
      <c r="J2111" s="91"/>
      <c r="L2111" s="94" t="str">
        <f t="shared" si="2"/>
        <v>No infirmation</v>
      </c>
      <c r="M2111" s="94" t="str">
        <f t="shared" si="3"/>
        <v/>
      </c>
    </row>
    <row r="2112" ht="15.75" customHeight="1">
      <c r="B2112" s="77">
        <f t="shared" si="1"/>
        <v>0</v>
      </c>
      <c r="C2112" s="67"/>
      <c r="D2112" s="78"/>
      <c r="E2112" s="101"/>
      <c r="F2112" s="108"/>
      <c r="G2112" s="120"/>
      <c r="H2112" s="101"/>
      <c r="I2112" s="93"/>
      <c r="J2112" s="91"/>
      <c r="L2112" s="94" t="str">
        <f t="shared" si="2"/>
        <v>No infirmation</v>
      </c>
      <c r="M2112" s="94" t="str">
        <f t="shared" si="3"/>
        <v/>
      </c>
    </row>
    <row r="2113" ht="15.75" customHeight="1">
      <c r="B2113" s="77">
        <f t="shared" si="1"/>
        <v>0</v>
      </c>
      <c r="C2113" s="67"/>
      <c r="D2113" s="78"/>
      <c r="E2113" s="101"/>
      <c r="F2113" s="108"/>
      <c r="G2113" s="120"/>
      <c r="H2113" s="101"/>
      <c r="I2113" s="93"/>
      <c r="J2113" s="91"/>
      <c r="L2113" s="94" t="str">
        <f t="shared" si="2"/>
        <v>No infirmation</v>
      </c>
      <c r="M2113" s="94" t="str">
        <f t="shared" si="3"/>
        <v/>
      </c>
    </row>
    <row r="2114" ht="15.75" customHeight="1">
      <c r="B2114" s="77">
        <f t="shared" si="1"/>
        <v>0</v>
      </c>
      <c r="C2114" s="67"/>
      <c r="D2114" s="78"/>
      <c r="E2114" s="101"/>
      <c r="F2114" s="108"/>
      <c r="G2114" s="120"/>
      <c r="H2114" s="101"/>
      <c r="I2114" s="93"/>
      <c r="J2114" s="91"/>
      <c r="L2114" s="94" t="str">
        <f t="shared" si="2"/>
        <v>No infirmation</v>
      </c>
      <c r="M2114" s="94" t="str">
        <f t="shared" si="3"/>
        <v/>
      </c>
    </row>
    <row r="2115" ht="15.75" customHeight="1">
      <c r="B2115" s="77">
        <f t="shared" si="1"/>
        <v>0</v>
      </c>
      <c r="C2115" s="67"/>
      <c r="D2115" s="78"/>
      <c r="E2115" s="101"/>
      <c r="F2115" s="108"/>
      <c r="G2115" s="120"/>
      <c r="H2115" s="101"/>
      <c r="I2115" s="93"/>
      <c r="J2115" s="91"/>
      <c r="L2115" s="94" t="str">
        <f t="shared" si="2"/>
        <v>No infirmation</v>
      </c>
      <c r="M2115" s="94" t="str">
        <f t="shared" si="3"/>
        <v/>
      </c>
    </row>
    <row r="2116" ht="15.75" customHeight="1">
      <c r="B2116" s="77">
        <f t="shared" si="1"/>
        <v>0</v>
      </c>
      <c r="C2116" s="67"/>
      <c r="D2116" s="78"/>
      <c r="E2116" s="101"/>
      <c r="F2116" s="108"/>
      <c r="G2116" s="120"/>
      <c r="H2116" s="101"/>
      <c r="I2116" s="93"/>
      <c r="J2116" s="91"/>
      <c r="L2116" s="94" t="str">
        <f t="shared" si="2"/>
        <v>No infirmation</v>
      </c>
      <c r="M2116" s="94" t="str">
        <f t="shared" si="3"/>
        <v/>
      </c>
    </row>
    <row r="2117" ht="15.75" customHeight="1">
      <c r="B2117" s="77">
        <f t="shared" si="1"/>
        <v>0</v>
      </c>
      <c r="C2117" s="67"/>
      <c r="D2117" s="78"/>
      <c r="E2117" s="101"/>
      <c r="F2117" s="108"/>
      <c r="G2117" s="120"/>
      <c r="H2117" s="101"/>
      <c r="I2117" s="93"/>
      <c r="J2117" s="91"/>
      <c r="L2117" s="94" t="str">
        <f t="shared" si="2"/>
        <v>No infirmation</v>
      </c>
      <c r="M2117" s="94" t="str">
        <f t="shared" si="3"/>
        <v/>
      </c>
    </row>
    <row r="2118" ht="15.75" customHeight="1">
      <c r="B2118" s="77">
        <f t="shared" si="1"/>
        <v>0</v>
      </c>
      <c r="C2118" s="67"/>
      <c r="D2118" s="78"/>
      <c r="E2118" s="101"/>
      <c r="F2118" s="108"/>
      <c r="G2118" s="120"/>
      <c r="H2118" s="101"/>
      <c r="I2118" s="93"/>
      <c r="J2118" s="91"/>
      <c r="L2118" s="94" t="str">
        <f t="shared" si="2"/>
        <v>No infirmation</v>
      </c>
      <c r="M2118" s="94" t="str">
        <f t="shared" si="3"/>
        <v/>
      </c>
    </row>
    <row r="2119" ht="15.75" customHeight="1">
      <c r="B2119" s="77">
        <f t="shared" si="1"/>
        <v>0</v>
      </c>
      <c r="C2119" s="67"/>
      <c r="D2119" s="78"/>
      <c r="E2119" s="101"/>
      <c r="F2119" s="108"/>
      <c r="G2119" s="120"/>
      <c r="H2119" s="101"/>
      <c r="I2119" s="93"/>
      <c r="J2119" s="91"/>
      <c r="L2119" s="94" t="str">
        <f t="shared" si="2"/>
        <v>No infirmation</v>
      </c>
      <c r="M2119" s="94" t="str">
        <f t="shared" si="3"/>
        <v/>
      </c>
    </row>
    <row r="2120" ht="15.75" customHeight="1">
      <c r="B2120" s="77">
        <f t="shared" si="1"/>
        <v>0</v>
      </c>
      <c r="C2120" s="67"/>
      <c r="D2120" s="78"/>
      <c r="E2120" s="101"/>
      <c r="F2120" s="108"/>
      <c r="G2120" s="120"/>
      <c r="H2120" s="101"/>
      <c r="I2120" s="93"/>
      <c r="J2120" s="91"/>
      <c r="L2120" s="94" t="str">
        <f t="shared" si="2"/>
        <v>No infirmation</v>
      </c>
      <c r="M2120" s="94" t="str">
        <f t="shared" si="3"/>
        <v/>
      </c>
    </row>
    <row r="2121" ht="15.75" customHeight="1">
      <c r="B2121" s="77">
        <f t="shared" si="1"/>
        <v>0</v>
      </c>
      <c r="C2121" s="67"/>
      <c r="D2121" s="78"/>
      <c r="E2121" s="101"/>
      <c r="F2121" s="108"/>
      <c r="G2121" s="120"/>
      <c r="H2121" s="101"/>
      <c r="I2121" s="93"/>
      <c r="J2121" s="91"/>
      <c r="L2121" s="94" t="str">
        <f t="shared" si="2"/>
        <v>No infirmation</v>
      </c>
      <c r="M2121" s="94" t="str">
        <f t="shared" si="3"/>
        <v/>
      </c>
    </row>
    <row r="2122" ht="15.75" customHeight="1">
      <c r="B2122" s="77">
        <f t="shared" si="1"/>
        <v>0</v>
      </c>
      <c r="C2122" s="67"/>
      <c r="D2122" s="78"/>
      <c r="E2122" s="101"/>
      <c r="F2122" s="108"/>
      <c r="G2122" s="120"/>
      <c r="H2122" s="101"/>
      <c r="I2122" s="93"/>
      <c r="J2122" s="91"/>
      <c r="L2122" s="94" t="str">
        <f t="shared" si="2"/>
        <v>No infirmation</v>
      </c>
      <c r="M2122" s="94" t="str">
        <f t="shared" si="3"/>
        <v/>
      </c>
    </row>
    <row r="2123" ht="15.75" customHeight="1">
      <c r="B2123" s="77">
        <f t="shared" si="1"/>
        <v>0</v>
      </c>
      <c r="C2123" s="67"/>
      <c r="D2123" s="78"/>
      <c r="E2123" s="101"/>
      <c r="F2123" s="108"/>
      <c r="G2123" s="120"/>
      <c r="H2123" s="101"/>
      <c r="I2123" s="93"/>
      <c r="J2123" s="91"/>
      <c r="L2123" s="94" t="str">
        <f t="shared" si="2"/>
        <v>No infirmation</v>
      </c>
      <c r="M2123" s="94" t="str">
        <f t="shared" si="3"/>
        <v/>
      </c>
    </row>
    <row r="2124" ht="15.75" customHeight="1">
      <c r="B2124" s="77">
        <f t="shared" si="1"/>
        <v>0</v>
      </c>
      <c r="C2124" s="67"/>
      <c r="D2124" s="78"/>
      <c r="E2124" s="101"/>
      <c r="F2124" s="108"/>
      <c r="G2124" s="120"/>
      <c r="H2124" s="101"/>
      <c r="I2124" s="93"/>
      <c r="J2124" s="91"/>
      <c r="L2124" s="94" t="str">
        <f t="shared" si="2"/>
        <v>No infirmation</v>
      </c>
      <c r="M2124" s="94" t="str">
        <f t="shared" si="3"/>
        <v/>
      </c>
    </row>
    <row r="2125" ht="15.75" customHeight="1">
      <c r="B2125" s="77">
        <f t="shared" si="1"/>
        <v>0</v>
      </c>
      <c r="C2125" s="67"/>
      <c r="D2125" s="78"/>
      <c r="E2125" s="101"/>
      <c r="F2125" s="108"/>
      <c r="G2125" s="120"/>
      <c r="H2125" s="101"/>
      <c r="I2125" s="93"/>
      <c r="J2125" s="91"/>
      <c r="L2125" s="94" t="str">
        <f t="shared" si="2"/>
        <v>No infirmation</v>
      </c>
      <c r="M2125" s="94" t="str">
        <f t="shared" si="3"/>
        <v/>
      </c>
    </row>
    <row r="2126" ht="15.75" customHeight="1">
      <c r="B2126" s="77">
        <f t="shared" si="1"/>
        <v>0</v>
      </c>
      <c r="C2126" s="67"/>
      <c r="D2126" s="78"/>
      <c r="E2126" s="101"/>
      <c r="F2126" s="108"/>
      <c r="G2126" s="120"/>
      <c r="H2126" s="101"/>
      <c r="I2126" s="93"/>
      <c r="J2126" s="91"/>
      <c r="L2126" s="94" t="str">
        <f t="shared" si="2"/>
        <v>No infirmation</v>
      </c>
      <c r="M2126" s="94" t="str">
        <f t="shared" si="3"/>
        <v/>
      </c>
    </row>
    <row r="2127" ht="15.75" customHeight="1">
      <c r="B2127" s="77">
        <f t="shared" si="1"/>
        <v>0</v>
      </c>
      <c r="C2127" s="67"/>
      <c r="D2127" s="78"/>
      <c r="E2127" s="101"/>
      <c r="F2127" s="108"/>
      <c r="G2127" s="120"/>
      <c r="H2127" s="101"/>
      <c r="I2127" s="93"/>
      <c r="J2127" s="91"/>
      <c r="L2127" s="94" t="str">
        <f t="shared" si="2"/>
        <v>No infirmation</v>
      </c>
      <c r="M2127" s="94" t="str">
        <f t="shared" si="3"/>
        <v/>
      </c>
    </row>
    <row r="2128" ht="15.75" customHeight="1">
      <c r="B2128" s="77">
        <f t="shared" si="1"/>
        <v>0</v>
      </c>
      <c r="C2128" s="67"/>
      <c r="D2128" s="78"/>
      <c r="E2128" s="101"/>
      <c r="F2128" s="108"/>
      <c r="G2128" s="120"/>
      <c r="H2128" s="101"/>
      <c r="I2128" s="93"/>
      <c r="J2128" s="91"/>
      <c r="L2128" s="94" t="str">
        <f t="shared" si="2"/>
        <v>No infirmation</v>
      </c>
      <c r="M2128" s="94" t="str">
        <f t="shared" si="3"/>
        <v/>
      </c>
    </row>
    <row r="2129" ht="15.75" customHeight="1">
      <c r="B2129" s="77">
        <f t="shared" si="1"/>
        <v>0</v>
      </c>
      <c r="C2129" s="67"/>
      <c r="D2129" s="78"/>
      <c r="E2129" s="101"/>
      <c r="F2129" s="108"/>
      <c r="G2129" s="120"/>
      <c r="H2129" s="101"/>
      <c r="I2129" s="93"/>
      <c r="J2129" s="91"/>
      <c r="L2129" s="94" t="str">
        <f t="shared" si="2"/>
        <v>No infirmation</v>
      </c>
      <c r="M2129" s="94" t="str">
        <f t="shared" si="3"/>
        <v/>
      </c>
    </row>
    <row r="2130" ht="15.75" customHeight="1">
      <c r="B2130" s="77">
        <f t="shared" si="1"/>
        <v>0</v>
      </c>
      <c r="C2130" s="67"/>
      <c r="D2130" s="78"/>
      <c r="E2130" s="101"/>
      <c r="F2130" s="108"/>
      <c r="G2130" s="120"/>
      <c r="H2130" s="101"/>
      <c r="I2130" s="93"/>
      <c r="J2130" s="91"/>
      <c r="L2130" s="94" t="str">
        <f t="shared" si="2"/>
        <v>No infirmation</v>
      </c>
      <c r="M2130" s="94" t="str">
        <f t="shared" si="3"/>
        <v/>
      </c>
    </row>
    <row r="2131" ht="15.75" customHeight="1">
      <c r="B2131" s="77">
        <f t="shared" si="1"/>
        <v>0</v>
      </c>
      <c r="C2131" s="67"/>
      <c r="D2131" s="78"/>
      <c r="E2131" s="101"/>
      <c r="F2131" s="108"/>
      <c r="G2131" s="120"/>
      <c r="H2131" s="101"/>
      <c r="I2131" s="93"/>
      <c r="J2131" s="91"/>
      <c r="L2131" s="94" t="str">
        <f t="shared" si="2"/>
        <v>No infirmation</v>
      </c>
      <c r="M2131" s="94" t="str">
        <f t="shared" si="3"/>
        <v/>
      </c>
    </row>
    <row r="2132" ht="15.75" customHeight="1">
      <c r="B2132" s="77">
        <f t="shared" si="1"/>
        <v>0</v>
      </c>
      <c r="C2132" s="67"/>
      <c r="D2132" s="78"/>
      <c r="E2132" s="101"/>
      <c r="F2132" s="108"/>
      <c r="G2132" s="120"/>
      <c r="H2132" s="101"/>
      <c r="I2132" s="93"/>
      <c r="J2132" s="91"/>
      <c r="L2132" s="94" t="str">
        <f t="shared" si="2"/>
        <v>No infirmation</v>
      </c>
      <c r="M2132" s="94" t="str">
        <f t="shared" si="3"/>
        <v/>
      </c>
    </row>
    <row r="2133" ht="15.75" customHeight="1">
      <c r="B2133" s="77">
        <f t="shared" si="1"/>
        <v>0</v>
      </c>
      <c r="C2133" s="67"/>
      <c r="D2133" s="78"/>
      <c r="E2133" s="101"/>
      <c r="F2133" s="108"/>
      <c r="G2133" s="120"/>
      <c r="H2133" s="101"/>
      <c r="I2133" s="93"/>
      <c r="J2133" s="91"/>
      <c r="L2133" s="94" t="str">
        <f t="shared" si="2"/>
        <v>No infirmation</v>
      </c>
      <c r="M2133" s="94" t="str">
        <f t="shared" si="3"/>
        <v/>
      </c>
    </row>
    <row r="2134" ht="15.75" customHeight="1">
      <c r="B2134" s="77">
        <f t="shared" si="1"/>
        <v>0</v>
      </c>
      <c r="C2134" s="67"/>
      <c r="D2134" s="78"/>
      <c r="E2134" s="101"/>
      <c r="F2134" s="108"/>
      <c r="G2134" s="120"/>
      <c r="H2134" s="101"/>
      <c r="I2134" s="93"/>
      <c r="J2134" s="91"/>
      <c r="L2134" s="94" t="str">
        <f t="shared" si="2"/>
        <v>No infirmation</v>
      </c>
      <c r="M2134" s="94" t="str">
        <f t="shared" si="3"/>
        <v/>
      </c>
    </row>
    <row r="2135" ht="15.75" customHeight="1">
      <c r="B2135" s="77">
        <f t="shared" si="1"/>
        <v>0</v>
      </c>
      <c r="C2135" s="67"/>
      <c r="D2135" s="78"/>
      <c r="E2135" s="101"/>
      <c r="F2135" s="108"/>
      <c r="G2135" s="120"/>
      <c r="H2135" s="101"/>
      <c r="I2135" s="93"/>
      <c r="J2135" s="91"/>
      <c r="L2135" s="94" t="str">
        <f t="shared" si="2"/>
        <v>No infirmation</v>
      </c>
      <c r="M2135" s="94" t="str">
        <f t="shared" si="3"/>
        <v/>
      </c>
    </row>
    <row r="2136" ht="15.75" customHeight="1">
      <c r="B2136" s="77">
        <f t="shared" si="1"/>
        <v>0</v>
      </c>
      <c r="C2136" s="67"/>
      <c r="D2136" s="78"/>
      <c r="E2136" s="101"/>
      <c r="F2136" s="108"/>
      <c r="G2136" s="120"/>
      <c r="H2136" s="101"/>
      <c r="I2136" s="93"/>
      <c r="J2136" s="91"/>
      <c r="L2136" s="94" t="str">
        <f t="shared" si="2"/>
        <v>No infirmation</v>
      </c>
      <c r="M2136" s="94" t="str">
        <f t="shared" si="3"/>
        <v/>
      </c>
    </row>
    <row r="2137" ht="15.75" customHeight="1">
      <c r="B2137" s="77">
        <f t="shared" si="1"/>
        <v>0</v>
      </c>
      <c r="C2137" s="67"/>
      <c r="D2137" s="78"/>
      <c r="E2137" s="101"/>
      <c r="F2137" s="108"/>
      <c r="G2137" s="120"/>
      <c r="H2137" s="101"/>
      <c r="I2137" s="93"/>
      <c r="J2137" s="91"/>
      <c r="L2137" s="94" t="str">
        <f t="shared" si="2"/>
        <v>No infirmation</v>
      </c>
      <c r="M2137" s="94" t="str">
        <f t="shared" si="3"/>
        <v/>
      </c>
    </row>
    <row r="2138" ht="15.75" customHeight="1">
      <c r="B2138" s="77">
        <f t="shared" si="1"/>
        <v>0</v>
      </c>
      <c r="C2138" s="67"/>
      <c r="D2138" s="78"/>
      <c r="E2138" s="101"/>
      <c r="F2138" s="108"/>
      <c r="G2138" s="120"/>
      <c r="H2138" s="101"/>
      <c r="I2138" s="93"/>
      <c r="J2138" s="91"/>
      <c r="L2138" s="94" t="str">
        <f t="shared" si="2"/>
        <v>No infirmation</v>
      </c>
      <c r="M2138" s="94" t="str">
        <f t="shared" si="3"/>
        <v/>
      </c>
    </row>
    <row r="2139" ht="15.75" customHeight="1">
      <c r="B2139" s="77">
        <f t="shared" si="1"/>
        <v>0</v>
      </c>
      <c r="C2139" s="67"/>
      <c r="D2139" s="78"/>
      <c r="E2139" s="101"/>
      <c r="F2139" s="108"/>
      <c r="G2139" s="120"/>
      <c r="H2139" s="101"/>
      <c r="I2139" s="93"/>
      <c r="J2139" s="91"/>
      <c r="L2139" s="94" t="str">
        <f t="shared" si="2"/>
        <v>No infirmation</v>
      </c>
      <c r="M2139" s="94" t="str">
        <f t="shared" si="3"/>
        <v/>
      </c>
    </row>
    <row r="2140" ht="15.75" customHeight="1">
      <c r="B2140" s="77">
        <f t="shared" si="1"/>
        <v>0</v>
      </c>
      <c r="C2140" s="67"/>
      <c r="D2140" s="78"/>
      <c r="E2140" s="101"/>
      <c r="F2140" s="108"/>
      <c r="G2140" s="120"/>
      <c r="H2140" s="101"/>
      <c r="I2140" s="93"/>
      <c r="J2140" s="91"/>
      <c r="L2140" s="94" t="str">
        <f t="shared" si="2"/>
        <v>No infirmation</v>
      </c>
      <c r="M2140" s="94" t="str">
        <f t="shared" si="3"/>
        <v/>
      </c>
    </row>
    <row r="2141" ht="15.75" customHeight="1">
      <c r="B2141" s="77">
        <f t="shared" si="1"/>
        <v>0</v>
      </c>
      <c r="C2141" s="67"/>
      <c r="D2141" s="78"/>
      <c r="E2141" s="101"/>
      <c r="F2141" s="108"/>
      <c r="G2141" s="120"/>
      <c r="H2141" s="101"/>
      <c r="I2141" s="93"/>
      <c r="J2141" s="91"/>
      <c r="L2141" s="94" t="str">
        <f t="shared" si="2"/>
        <v>No infirmation</v>
      </c>
      <c r="M2141" s="94" t="str">
        <f t="shared" si="3"/>
        <v/>
      </c>
    </row>
    <row r="2142" ht="15.75" customHeight="1">
      <c r="B2142" s="77">
        <f t="shared" si="1"/>
        <v>0</v>
      </c>
      <c r="C2142" s="67"/>
      <c r="D2142" s="78"/>
      <c r="E2142" s="101"/>
      <c r="F2142" s="108"/>
      <c r="G2142" s="120"/>
      <c r="H2142" s="101"/>
      <c r="I2142" s="93"/>
      <c r="J2142" s="91"/>
      <c r="L2142" s="94" t="str">
        <f t="shared" si="2"/>
        <v>No infirmation</v>
      </c>
      <c r="M2142" s="94" t="str">
        <f t="shared" si="3"/>
        <v/>
      </c>
    </row>
    <row r="2143" ht="15.75" customHeight="1">
      <c r="B2143" s="77">
        <f t="shared" si="1"/>
        <v>0</v>
      </c>
      <c r="C2143" s="67"/>
      <c r="D2143" s="78"/>
      <c r="E2143" s="101"/>
      <c r="F2143" s="108"/>
      <c r="G2143" s="120"/>
      <c r="H2143" s="101"/>
      <c r="I2143" s="93"/>
      <c r="J2143" s="91"/>
      <c r="L2143" s="94" t="str">
        <f t="shared" si="2"/>
        <v>No infirmation</v>
      </c>
      <c r="M2143" s="94" t="str">
        <f t="shared" si="3"/>
        <v/>
      </c>
    </row>
    <row r="2144" ht="15.75" customHeight="1">
      <c r="B2144" s="77">
        <f t="shared" si="1"/>
        <v>0</v>
      </c>
      <c r="C2144" s="67"/>
      <c r="D2144" s="78"/>
      <c r="E2144" s="101"/>
      <c r="F2144" s="108"/>
      <c r="G2144" s="120"/>
      <c r="H2144" s="101"/>
      <c r="I2144" s="93"/>
      <c r="J2144" s="91"/>
      <c r="L2144" s="94" t="str">
        <f t="shared" si="2"/>
        <v>No infirmation</v>
      </c>
      <c r="M2144" s="94" t="str">
        <f t="shared" si="3"/>
        <v/>
      </c>
    </row>
    <row r="2145" ht="15.75" customHeight="1">
      <c r="B2145" s="77">
        <f t="shared" si="1"/>
        <v>0</v>
      </c>
      <c r="C2145" s="67"/>
      <c r="D2145" s="78"/>
      <c r="E2145" s="101"/>
      <c r="F2145" s="108"/>
      <c r="G2145" s="120"/>
      <c r="H2145" s="101"/>
      <c r="I2145" s="93"/>
      <c r="J2145" s="91"/>
      <c r="L2145" s="94" t="str">
        <f t="shared" si="2"/>
        <v>No infirmation</v>
      </c>
      <c r="M2145" s="94" t="str">
        <f t="shared" si="3"/>
        <v/>
      </c>
    </row>
    <row r="2146" ht="15.75" customHeight="1">
      <c r="B2146" s="77">
        <f t="shared" si="1"/>
        <v>0</v>
      </c>
      <c r="C2146" s="67"/>
      <c r="D2146" s="78"/>
      <c r="E2146" s="101"/>
      <c r="F2146" s="108"/>
      <c r="G2146" s="120"/>
      <c r="H2146" s="101"/>
      <c r="I2146" s="93"/>
      <c r="J2146" s="91"/>
      <c r="L2146" s="94" t="str">
        <f t="shared" si="2"/>
        <v>No infirmation</v>
      </c>
      <c r="M2146" s="94" t="str">
        <f t="shared" si="3"/>
        <v/>
      </c>
    </row>
    <row r="2147" ht="15.75" customHeight="1">
      <c r="B2147" s="77">
        <f t="shared" si="1"/>
        <v>0</v>
      </c>
      <c r="C2147" s="67"/>
      <c r="D2147" s="78"/>
      <c r="E2147" s="101"/>
      <c r="F2147" s="108"/>
      <c r="G2147" s="120"/>
      <c r="H2147" s="101"/>
      <c r="I2147" s="93"/>
      <c r="J2147" s="91"/>
      <c r="L2147" s="94" t="str">
        <f t="shared" si="2"/>
        <v>No infirmation</v>
      </c>
      <c r="M2147" s="94" t="str">
        <f t="shared" si="3"/>
        <v/>
      </c>
    </row>
    <row r="2148" ht="15.75" customHeight="1">
      <c r="B2148" s="77">
        <f t="shared" si="1"/>
        <v>0</v>
      </c>
      <c r="C2148" s="67"/>
      <c r="D2148" s="78"/>
      <c r="E2148" s="101"/>
      <c r="F2148" s="108"/>
      <c r="G2148" s="120"/>
      <c r="H2148" s="101"/>
      <c r="I2148" s="93"/>
      <c r="J2148" s="91"/>
      <c r="L2148" s="94" t="str">
        <f t="shared" si="2"/>
        <v>No infirmation</v>
      </c>
      <c r="M2148" s="94" t="str">
        <f t="shared" si="3"/>
        <v/>
      </c>
    </row>
    <row r="2149" ht="15.75" customHeight="1">
      <c r="B2149" s="77">
        <f t="shared" si="1"/>
        <v>0</v>
      </c>
      <c r="C2149" s="67"/>
      <c r="D2149" s="78"/>
      <c r="E2149" s="101"/>
      <c r="F2149" s="108"/>
      <c r="G2149" s="120"/>
      <c r="H2149" s="101"/>
      <c r="I2149" s="93"/>
      <c r="J2149" s="91"/>
      <c r="L2149" s="94" t="str">
        <f t="shared" si="2"/>
        <v>No infirmation</v>
      </c>
      <c r="M2149" s="94" t="str">
        <f t="shared" si="3"/>
        <v/>
      </c>
    </row>
    <row r="2150" ht="15.75" customHeight="1">
      <c r="B2150" s="77">
        <f t="shared" si="1"/>
        <v>0</v>
      </c>
      <c r="C2150" s="67"/>
      <c r="D2150" s="78"/>
      <c r="E2150" s="101"/>
      <c r="F2150" s="108"/>
      <c r="G2150" s="120"/>
      <c r="H2150" s="101"/>
      <c r="I2150" s="93"/>
      <c r="J2150" s="91"/>
      <c r="L2150" s="94" t="str">
        <f t="shared" si="2"/>
        <v>No infirmation</v>
      </c>
      <c r="M2150" s="94" t="str">
        <f t="shared" si="3"/>
        <v/>
      </c>
    </row>
    <row r="2151" ht="15.75" customHeight="1">
      <c r="B2151" s="77">
        <f t="shared" si="1"/>
        <v>0</v>
      </c>
      <c r="C2151" s="67"/>
      <c r="D2151" s="78"/>
      <c r="E2151" s="101"/>
      <c r="F2151" s="108"/>
      <c r="G2151" s="120"/>
      <c r="H2151" s="101"/>
      <c r="I2151" s="93"/>
      <c r="J2151" s="91"/>
      <c r="L2151" s="94" t="str">
        <f t="shared" si="2"/>
        <v>No infirmation</v>
      </c>
      <c r="M2151" s="94" t="str">
        <f t="shared" si="3"/>
        <v/>
      </c>
    </row>
    <row r="2152" ht="15.75" customHeight="1">
      <c r="B2152" s="77">
        <f t="shared" si="1"/>
        <v>0</v>
      </c>
      <c r="C2152" s="67"/>
      <c r="D2152" s="78"/>
      <c r="E2152" s="101"/>
      <c r="F2152" s="108"/>
      <c r="G2152" s="120"/>
      <c r="H2152" s="101"/>
      <c r="I2152" s="93"/>
      <c r="J2152" s="91"/>
      <c r="L2152" s="94" t="str">
        <f t="shared" si="2"/>
        <v>No infirmation</v>
      </c>
      <c r="M2152" s="94" t="str">
        <f t="shared" si="3"/>
        <v/>
      </c>
    </row>
    <row r="2153" ht="15.75" customHeight="1">
      <c r="B2153" s="77">
        <f t="shared" si="1"/>
        <v>0</v>
      </c>
      <c r="C2153" s="67"/>
      <c r="D2153" s="78"/>
      <c r="E2153" s="101"/>
      <c r="F2153" s="108"/>
      <c r="G2153" s="120"/>
      <c r="H2153" s="101"/>
      <c r="I2153" s="93"/>
      <c r="J2153" s="91"/>
      <c r="L2153" s="94" t="str">
        <f t="shared" si="2"/>
        <v>No infirmation</v>
      </c>
      <c r="M2153" s="94" t="str">
        <f t="shared" si="3"/>
        <v/>
      </c>
    </row>
    <row r="2154" ht="15.75" customHeight="1">
      <c r="B2154" s="77">
        <f t="shared" si="1"/>
        <v>0</v>
      </c>
      <c r="C2154" s="67"/>
      <c r="D2154" s="78"/>
      <c r="E2154" s="101"/>
      <c r="F2154" s="108"/>
      <c r="G2154" s="120"/>
      <c r="H2154" s="101"/>
      <c r="I2154" s="93"/>
      <c r="J2154" s="91"/>
      <c r="L2154" s="94" t="str">
        <f t="shared" si="2"/>
        <v>No infirmation</v>
      </c>
      <c r="M2154" s="94" t="str">
        <f t="shared" si="3"/>
        <v/>
      </c>
    </row>
    <row r="2155" ht="15.75" customHeight="1">
      <c r="B2155" s="77">
        <f t="shared" si="1"/>
        <v>0</v>
      </c>
      <c r="C2155" s="67"/>
      <c r="D2155" s="78"/>
      <c r="E2155" s="101"/>
      <c r="F2155" s="108"/>
      <c r="G2155" s="120"/>
      <c r="H2155" s="101"/>
      <c r="I2155" s="93"/>
      <c r="J2155" s="91"/>
      <c r="L2155" s="94" t="str">
        <f t="shared" si="2"/>
        <v>No infirmation</v>
      </c>
      <c r="M2155" s="94" t="str">
        <f t="shared" si="3"/>
        <v/>
      </c>
    </row>
    <row r="2156" ht="15.75" customHeight="1">
      <c r="B2156" s="77">
        <f t="shared" si="1"/>
        <v>0</v>
      </c>
      <c r="C2156" s="67"/>
      <c r="D2156" s="78"/>
      <c r="E2156" s="101"/>
      <c r="F2156" s="108"/>
      <c r="G2156" s="120"/>
      <c r="H2156" s="101"/>
      <c r="I2156" s="93"/>
      <c r="J2156" s="91"/>
      <c r="L2156" s="94" t="str">
        <f t="shared" si="2"/>
        <v>No infirmation</v>
      </c>
      <c r="M2156" s="94" t="str">
        <f t="shared" si="3"/>
        <v/>
      </c>
    </row>
    <row r="2157" ht="15.75" customHeight="1">
      <c r="B2157" s="77">
        <f t="shared" si="1"/>
        <v>0</v>
      </c>
      <c r="C2157" s="67"/>
      <c r="D2157" s="78"/>
      <c r="E2157" s="101"/>
      <c r="F2157" s="108"/>
      <c r="G2157" s="120"/>
      <c r="H2157" s="101"/>
      <c r="I2157" s="93"/>
      <c r="J2157" s="91"/>
      <c r="L2157" s="94" t="str">
        <f t="shared" si="2"/>
        <v>No infirmation</v>
      </c>
      <c r="M2157" s="94" t="str">
        <f t="shared" si="3"/>
        <v/>
      </c>
    </row>
    <row r="2158" ht="15.75" customHeight="1">
      <c r="B2158" s="77">
        <f t="shared" si="1"/>
        <v>0</v>
      </c>
      <c r="C2158" s="67"/>
      <c r="D2158" s="78"/>
      <c r="E2158" s="101"/>
      <c r="F2158" s="108"/>
      <c r="G2158" s="120"/>
      <c r="H2158" s="101"/>
      <c r="I2158" s="93"/>
      <c r="J2158" s="91"/>
      <c r="L2158" s="94" t="str">
        <f t="shared" si="2"/>
        <v>No infirmation</v>
      </c>
      <c r="M2158" s="94" t="str">
        <f t="shared" si="3"/>
        <v/>
      </c>
    </row>
    <row r="2159" ht="15.75" customHeight="1">
      <c r="B2159" s="77">
        <f t="shared" si="1"/>
        <v>0</v>
      </c>
      <c r="C2159" s="67"/>
      <c r="D2159" s="78"/>
      <c r="E2159" s="101"/>
      <c r="F2159" s="108"/>
      <c r="G2159" s="120"/>
      <c r="H2159" s="101"/>
      <c r="I2159" s="93"/>
      <c r="J2159" s="91"/>
      <c r="L2159" s="94" t="str">
        <f t="shared" si="2"/>
        <v>No infirmation</v>
      </c>
      <c r="M2159" s="94" t="str">
        <f t="shared" si="3"/>
        <v/>
      </c>
    </row>
    <row r="2160" ht="15.75" customHeight="1">
      <c r="B2160" s="77">
        <f t="shared" si="1"/>
        <v>0</v>
      </c>
      <c r="C2160" s="67"/>
      <c r="D2160" s="78"/>
      <c r="E2160" s="101"/>
      <c r="F2160" s="108"/>
      <c r="G2160" s="120"/>
      <c r="H2160" s="101"/>
      <c r="I2160" s="93"/>
      <c r="J2160" s="91"/>
      <c r="L2160" s="94" t="str">
        <f t="shared" si="2"/>
        <v>No infirmation</v>
      </c>
      <c r="M2160" s="94" t="str">
        <f t="shared" si="3"/>
        <v/>
      </c>
    </row>
    <row r="2161" ht="15.75" customHeight="1">
      <c r="B2161" s="77">
        <f t="shared" si="1"/>
        <v>0</v>
      </c>
      <c r="C2161" s="67"/>
      <c r="D2161" s="78"/>
      <c r="E2161" s="101"/>
      <c r="F2161" s="108"/>
      <c r="G2161" s="120"/>
      <c r="H2161" s="101"/>
      <c r="I2161" s="93"/>
      <c r="J2161" s="91"/>
      <c r="L2161" s="94" t="str">
        <f t="shared" si="2"/>
        <v>No infirmation</v>
      </c>
      <c r="M2161" s="94" t="str">
        <f t="shared" si="3"/>
        <v/>
      </c>
    </row>
    <row r="2162" ht="15.75" customHeight="1">
      <c r="B2162" s="77">
        <f t="shared" si="1"/>
        <v>0</v>
      </c>
      <c r="C2162" s="67"/>
      <c r="D2162" s="78"/>
      <c r="E2162" s="101"/>
      <c r="F2162" s="108"/>
      <c r="G2162" s="120"/>
      <c r="H2162" s="101"/>
      <c r="I2162" s="93"/>
      <c r="J2162" s="91"/>
      <c r="L2162" s="94" t="str">
        <f t="shared" si="2"/>
        <v>No infirmation</v>
      </c>
      <c r="M2162" s="94" t="str">
        <f t="shared" si="3"/>
        <v/>
      </c>
    </row>
    <row r="2163" ht="15.75" customHeight="1">
      <c r="B2163" s="77">
        <f t="shared" si="1"/>
        <v>0</v>
      </c>
      <c r="C2163" s="67"/>
      <c r="D2163" s="78"/>
      <c r="E2163" s="101"/>
      <c r="F2163" s="108"/>
      <c r="G2163" s="120"/>
      <c r="H2163" s="101"/>
      <c r="I2163" s="93"/>
      <c r="J2163" s="91"/>
      <c r="L2163" s="94" t="str">
        <f t="shared" si="2"/>
        <v>No infirmation</v>
      </c>
      <c r="M2163" s="94" t="str">
        <f t="shared" si="3"/>
        <v/>
      </c>
    </row>
    <row r="2164" ht="15.75" customHeight="1">
      <c r="B2164" s="77">
        <f t="shared" si="1"/>
        <v>0</v>
      </c>
      <c r="C2164" s="67"/>
      <c r="D2164" s="78"/>
      <c r="E2164" s="101"/>
      <c r="F2164" s="108"/>
      <c r="G2164" s="120"/>
      <c r="H2164" s="101"/>
      <c r="I2164" s="93"/>
      <c r="J2164" s="91"/>
      <c r="L2164" s="94" t="str">
        <f t="shared" si="2"/>
        <v>No infirmation</v>
      </c>
      <c r="M2164" s="94" t="str">
        <f t="shared" si="3"/>
        <v/>
      </c>
    </row>
    <row r="2165" ht="15.75" customHeight="1">
      <c r="B2165" s="77">
        <f t="shared" si="1"/>
        <v>0</v>
      </c>
      <c r="C2165" s="67"/>
      <c r="D2165" s="78"/>
      <c r="E2165" s="101"/>
      <c r="F2165" s="108"/>
      <c r="G2165" s="120"/>
      <c r="H2165" s="101"/>
      <c r="I2165" s="93"/>
      <c r="J2165" s="91"/>
      <c r="L2165" s="94" t="str">
        <f t="shared" si="2"/>
        <v>No infirmation</v>
      </c>
      <c r="M2165" s="94" t="str">
        <f t="shared" si="3"/>
        <v/>
      </c>
    </row>
    <row r="2166" ht="15.75" customHeight="1">
      <c r="B2166" s="77">
        <f t="shared" si="1"/>
        <v>0</v>
      </c>
      <c r="C2166" s="67"/>
      <c r="D2166" s="78"/>
      <c r="E2166" s="101"/>
      <c r="F2166" s="108"/>
      <c r="G2166" s="120"/>
      <c r="H2166" s="101"/>
      <c r="I2166" s="93"/>
      <c r="J2166" s="91"/>
      <c r="L2166" s="94" t="str">
        <f t="shared" si="2"/>
        <v>No infirmation</v>
      </c>
      <c r="M2166" s="94" t="str">
        <f t="shared" si="3"/>
        <v/>
      </c>
    </row>
    <row r="2167" ht="15.75" customHeight="1">
      <c r="B2167" s="77">
        <f t="shared" si="1"/>
        <v>0</v>
      </c>
      <c r="C2167" s="67"/>
      <c r="D2167" s="78"/>
      <c r="E2167" s="101"/>
      <c r="F2167" s="108"/>
      <c r="G2167" s="120"/>
      <c r="H2167" s="101"/>
      <c r="I2167" s="93"/>
      <c r="J2167" s="91"/>
      <c r="L2167" s="94" t="str">
        <f t="shared" si="2"/>
        <v>No infirmation</v>
      </c>
      <c r="M2167" s="94" t="str">
        <f t="shared" si="3"/>
        <v/>
      </c>
    </row>
    <row r="2168" ht="15.75" customHeight="1">
      <c r="B2168" s="77">
        <f t="shared" si="1"/>
        <v>0</v>
      </c>
      <c r="C2168" s="67"/>
      <c r="D2168" s="78"/>
      <c r="E2168" s="101"/>
      <c r="F2168" s="108"/>
      <c r="G2168" s="120"/>
      <c r="H2168" s="101"/>
      <c r="I2168" s="93"/>
      <c r="J2168" s="91"/>
      <c r="L2168" s="94" t="str">
        <f t="shared" si="2"/>
        <v>No infirmation</v>
      </c>
      <c r="M2168" s="94" t="str">
        <f t="shared" si="3"/>
        <v/>
      </c>
    </row>
    <row r="2169" ht="15.75" customHeight="1">
      <c r="B2169" s="77">
        <f t="shared" si="1"/>
        <v>0</v>
      </c>
      <c r="C2169" s="67"/>
      <c r="D2169" s="78"/>
      <c r="E2169" s="101"/>
      <c r="F2169" s="108"/>
      <c r="G2169" s="120"/>
      <c r="H2169" s="101"/>
      <c r="I2169" s="93"/>
      <c r="J2169" s="91"/>
      <c r="L2169" s="94" t="str">
        <f t="shared" si="2"/>
        <v>No infirmation</v>
      </c>
      <c r="M2169" s="94" t="str">
        <f t="shared" si="3"/>
        <v/>
      </c>
    </row>
    <row r="2170" ht="15.75" customHeight="1">
      <c r="B2170" s="77">
        <f t="shared" si="1"/>
        <v>0</v>
      </c>
      <c r="C2170" s="67"/>
      <c r="D2170" s="78"/>
      <c r="E2170" s="101"/>
      <c r="F2170" s="108"/>
      <c r="G2170" s="120"/>
      <c r="H2170" s="101"/>
      <c r="I2170" s="93"/>
      <c r="J2170" s="91"/>
      <c r="L2170" s="94" t="str">
        <f t="shared" si="2"/>
        <v>No infirmation</v>
      </c>
      <c r="M2170" s="94" t="str">
        <f t="shared" si="3"/>
        <v/>
      </c>
    </row>
    <row r="2171" ht="15.75" customHeight="1">
      <c r="B2171" s="77">
        <f t="shared" si="1"/>
        <v>0</v>
      </c>
      <c r="C2171" s="67"/>
      <c r="D2171" s="78"/>
      <c r="E2171" s="101"/>
      <c r="F2171" s="108"/>
      <c r="G2171" s="120"/>
      <c r="H2171" s="101"/>
      <c r="I2171" s="93"/>
      <c r="J2171" s="91"/>
      <c r="L2171" s="94" t="str">
        <f t="shared" si="2"/>
        <v>No infirmation</v>
      </c>
      <c r="M2171" s="94" t="str">
        <f t="shared" si="3"/>
        <v/>
      </c>
    </row>
    <row r="2172" ht="15.75" customHeight="1">
      <c r="B2172" s="77">
        <f t="shared" si="1"/>
        <v>0</v>
      </c>
      <c r="C2172" s="67"/>
      <c r="D2172" s="78"/>
      <c r="E2172" s="101"/>
      <c r="F2172" s="108"/>
      <c r="G2172" s="120"/>
      <c r="H2172" s="101"/>
      <c r="I2172" s="93"/>
      <c r="J2172" s="91"/>
      <c r="L2172" s="94" t="str">
        <f t="shared" si="2"/>
        <v>No infirmation</v>
      </c>
      <c r="M2172" s="94" t="str">
        <f t="shared" si="3"/>
        <v/>
      </c>
    </row>
    <row r="2173" ht="15.75" customHeight="1">
      <c r="B2173" s="77">
        <f t="shared" si="1"/>
        <v>0</v>
      </c>
      <c r="C2173" s="67"/>
      <c r="D2173" s="78"/>
      <c r="E2173" s="101"/>
      <c r="F2173" s="108"/>
      <c r="G2173" s="120"/>
      <c r="H2173" s="101"/>
      <c r="I2173" s="93"/>
      <c r="J2173" s="91"/>
      <c r="L2173" s="94" t="str">
        <f t="shared" si="2"/>
        <v>No infirmation</v>
      </c>
      <c r="M2173" s="94" t="str">
        <f t="shared" si="3"/>
        <v/>
      </c>
    </row>
    <row r="2174" ht="15.75" customHeight="1">
      <c r="B2174" s="77">
        <f t="shared" si="1"/>
        <v>0</v>
      </c>
      <c r="C2174" s="67"/>
      <c r="D2174" s="78"/>
      <c r="E2174" s="101"/>
      <c r="F2174" s="108"/>
      <c r="G2174" s="120"/>
      <c r="H2174" s="101"/>
      <c r="I2174" s="93"/>
      <c r="J2174" s="91"/>
      <c r="L2174" s="94" t="str">
        <f t="shared" si="2"/>
        <v>No infirmation</v>
      </c>
      <c r="M2174" s="94" t="str">
        <f t="shared" si="3"/>
        <v/>
      </c>
    </row>
    <row r="2175" ht="15.75" customHeight="1">
      <c r="B2175" s="77">
        <f t="shared" si="1"/>
        <v>0</v>
      </c>
      <c r="C2175" s="67"/>
      <c r="D2175" s="78"/>
      <c r="E2175" s="101"/>
      <c r="F2175" s="108"/>
      <c r="G2175" s="120"/>
      <c r="H2175" s="101"/>
      <c r="I2175" s="93"/>
      <c r="J2175" s="91"/>
      <c r="L2175" s="94" t="str">
        <f t="shared" si="2"/>
        <v>No infirmation</v>
      </c>
      <c r="M2175" s="94" t="str">
        <f t="shared" si="3"/>
        <v/>
      </c>
    </row>
    <row r="2176" ht="15.75" customHeight="1">
      <c r="B2176" s="77">
        <f t="shared" si="1"/>
        <v>0</v>
      </c>
      <c r="C2176" s="67"/>
      <c r="D2176" s="78"/>
      <c r="E2176" s="101"/>
      <c r="F2176" s="108"/>
      <c r="G2176" s="120"/>
      <c r="H2176" s="101"/>
      <c r="I2176" s="93"/>
      <c r="J2176" s="91"/>
      <c r="L2176" s="94" t="str">
        <f t="shared" si="2"/>
        <v>No infirmation</v>
      </c>
      <c r="M2176" s="94" t="str">
        <f t="shared" si="3"/>
        <v/>
      </c>
    </row>
    <row r="2177" ht="15.75" customHeight="1">
      <c r="B2177" s="77">
        <f t="shared" si="1"/>
        <v>0</v>
      </c>
      <c r="C2177" s="67"/>
      <c r="D2177" s="78"/>
      <c r="E2177" s="101"/>
      <c r="F2177" s="108"/>
      <c r="G2177" s="120"/>
      <c r="H2177" s="101"/>
      <c r="I2177" s="93"/>
      <c r="J2177" s="91"/>
      <c r="L2177" s="94" t="str">
        <f t="shared" si="2"/>
        <v>No infirmation</v>
      </c>
      <c r="M2177" s="94" t="str">
        <f t="shared" si="3"/>
        <v/>
      </c>
    </row>
    <row r="2178" ht="15.75" customHeight="1">
      <c r="B2178" s="77">
        <f t="shared" si="1"/>
        <v>0</v>
      </c>
      <c r="C2178" s="67"/>
      <c r="D2178" s="78"/>
      <c r="E2178" s="101"/>
      <c r="F2178" s="108"/>
      <c r="G2178" s="120"/>
      <c r="H2178" s="101"/>
      <c r="I2178" s="93"/>
      <c r="J2178" s="91"/>
      <c r="L2178" s="94" t="str">
        <f t="shared" si="2"/>
        <v>No infirmation</v>
      </c>
      <c r="M2178" s="94" t="str">
        <f t="shared" si="3"/>
        <v/>
      </c>
    </row>
    <row r="2179" ht="15.75" customHeight="1">
      <c r="B2179" s="77">
        <f t="shared" si="1"/>
        <v>0</v>
      </c>
      <c r="C2179" s="67"/>
      <c r="D2179" s="78"/>
      <c r="E2179" s="101"/>
      <c r="F2179" s="108"/>
      <c r="G2179" s="120"/>
      <c r="H2179" s="101"/>
      <c r="I2179" s="93"/>
      <c r="J2179" s="91"/>
      <c r="L2179" s="94" t="str">
        <f t="shared" si="2"/>
        <v>No infirmation</v>
      </c>
      <c r="M2179" s="94" t="str">
        <f t="shared" si="3"/>
        <v/>
      </c>
    </row>
    <row r="2180" ht="15.75" customHeight="1">
      <c r="B2180" s="77">
        <f t="shared" si="1"/>
        <v>0</v>
      </c>
      <c r="C2180" s="67"/>
      <c r="D2180" s="78"/>
      <c r="E2180" s="101"/>
      <c r="F2180" s="108"/>
      <c r="G2180" s="120"/>
      <c r="H2180" s="101"/>
      <c r="I2180" s="93"/>
      <c r="J2180" s="91"/>
      <c r="L2180" s="94" t="str">
        <f t="shared" si="2"/>
        <v>No infirmation</v>
      </c>
      <c r="M2180" s="94" t="str">
        <f t="shared" si="3"/>
        <v/>
      </c>
    </row>
    <row r="2181" ht="15.75" customHeight="1">
      <c r="B2181" s="77">
        <f t="shared" si="1"/>
        <v>0</v>
      </c>
      <c r="C2181" s="67"/>
      <c r="D2181" s="78"/>
      <c r="E2181" s="101"/>
      <c r="F2181" s="108"/>
      <c r="G2181" s="120"/>
      <c r="H2181" s="101"/>
      <c r="I2181" s="93"/>
      <c r="J2181" s="91"/>
      <c r="L2181" s="94" t="str">
        <f t="shared" si="2"/>
        <v>No infirmation</v>
      </c>
      <c r="M2181" s="94" t="str">
        <f t="shared" si="3"/>
        <v/>
      </c>
    </row>
    <row r="2182" ht="15.75" customHeight="1">
      <c r="B2182" s="77">
        <f t="shared" si="1"/>
        <v>0</v>
      </c>
      <c r="C2182" s="67"/>
      <c r="D2182" s="78"/>
      <c r="E2182" s="101"/>
      <c r="F2182" s="108"/>
      <c r="G2182" s="120"/>
      <c r="H2182" s="101"/>
      <c r="I2182" s="93"/>
      <c r="J2182" s="91"/>
      <c r="L2182" s="94" t="str">
        <f t="shared" si="2"/>
        <v>No infirmation</v>
      </c>
      <c r="M2182" s="94" t="str">
        <f t="shared" si="3"/>
        <v/>
      </c>
    </row>
    <row r="2183" ht="15.75" customHeight="1">
      <c r="B2183" s="77">
        <f t="shared" si="1"/>
        <v>0</v>
      </c>
      <c r="C2183" s="67"/>
      <c r="D2183" s="78"/>
      <c r="E2183" s="101"/>
      <c r="F2183" s="108"/>
      <c r="G2183" s="120"/>
      <c r="H2183" s="101"/>
      <c r="I2183" s="93"/>
      <c r="J2183" s="91"/>
      <c r="L2183" s="94" t="str">
        <f t="shared" si="2"/>
        <v>No infirmation</v>
      </c>
      <c r="M2183" s="94" t="str">
        <f t="shared" si="3"/>
        <v/>
      </c>
    </row>
    <row r="2184" ht="15.75" customHeight="1">
      <c r="B2184" s="77">
        <f t="shared" si="1"/>
        <v>0</v>
      </c>
      <c r="C2184" s="67"/>
      <c r="D2184" s="78"/>
      <c r="E2184" s="101"/>
      <c r="F2184" s="108"/>
      <c r="G2184" s="120"/>
      <c r="H2184" s="101"/>
      <c r="I2184" s="93"/>
      <c r="J2184" s="91"/>
      <c r="L2184" s="94" t="str">
        <f t="shared" si="2"/>
        <v>No infirmation</v>
      </c>
      <c r="M2184" s="94" t="str">
        <f t="shared" si="3"/>
        <v/>
      </c>
    </row>
    <row r="2185" ht="15.75" customHeight="1">
      <c r="B2185" s="77">
        <f t="shared" si="1"/>
        <v>0</v>
      </c>
      <c r="C2185" s="67"/>
      <c r="D2185" s="78"/>
      <c r="E2185" s="101"/>
      <c r="F2185" s="108"/>
      <c r="G2185" s="120"/>
      <c r="H2185" s="101"/>
      <c r="I2185" s="93"/>
      <c r="J2185" s="91"/>
      <c r="L2185" s="94" t="str">
        <f t="shared" si="2"/>
        <v>No infirmation</v>
      </c>
      <c r="M2185" s="94" t="str">
        <f t="shared" si="3"/>
        <v/>
      </c>
    </row>
    <row r="2186" ht="15.75" customHeight="1">
      <c r="B2186" s="77">
        <f t="shared" si="1"/>
        <v>0</v>
      </c>
      <c r="C2186" s="67"/>
      <c r="D2186" s="78"/>
      <c r="E2186" s="101"/>
      <c r="F2186" s="108"/>
      <c r="G2186" s="120"/>
      <c r="H2186" s="101"/>
      <c r="I2186" s="93"/>
      <c r="J2186" s="91"/>
      <c r="L2186" s="94" t="str">
        <f t="shared" si="2"/>
        <v>No infirmation</v>
      </c>
      <c r="M2186" s="94" t="str">
        <f t="shared" si="3"/>
        <v/>
      </c>
    </row>
    <row r="2187" ht="15.75" customHeight="1">
      <c r="B2187" s="77">
        <f t="shared" si="1"/>
        <v>0</v>
      </c>
      <c r="C2187" s="67"/>
      <c r="D2187" s="78"/>
      <c r="E2187" s="101"/>
      <c r="F2187" s="108"/>
      <c r="G2187" s="120"/>
      <c r="H2187" s="101"/>
      <c r="I2187" s="93"/>
      <c r="J2187" s="91"/>
      <c r="L2187" s="94" t="str">
        <f t="shared" si="2"/>
        <v>No infirmation</v>
      </c>
      <c r="M2187" s="94" t="str">
        <f t="shared" si="3"/>
        <v/>
      </c>
    </row>
    <row r="2188" ht="15.75" customHeight="1">
      <c r="B2188" s="77">
        <f t="shared" si="1"/>
        <v>0</v>
      </c>
      <c r="C2188" s="67"/>
      <c r="D2188" s="78"/>
      <c r="E2188" s="101"/>
      <c r="F2188" s="108"/>
      <c r="G2188" s="120"/>
      <c r="H2188" s="101"/>
      <c r="I2188" s="93"/>
      <c r="J2188" s="91"/>
      <c r="L2188" s="94" t="str">
        <f t="shared" si="2"/>
        <v>No infirmation</v>
      </c>
      <c r="M2188" s="94" t="str">
        <f t="shared" si="3"/>
        <v/>
      </c>
    </row>
    <row r="2189" ht="15.75" customHeight="1">
      <c r="B2189" s="77">
        <f t="shared" si="1"/>
        <v>0</v>
      </c>
      <c r="C2189" s="67"/>
      <c r="D2189" s="78"/>
      <c r="E2189" s="101"/>
      <c r="F2189" s="108"/>
      <c r="G2189" s="120"/>
      <c r="H2189" s="101"/>
      <c r="I2189" s="93"/>
      <c r="J2189" s="91"/>
      <c r="L2189" s="94" t="str">
        <f t="shared" si="2"/>
        <v>No infirmation</v>
      </c>
      <c r="M2189" s="94" t="str">
        <f t="shared" si="3"/>
        <v/>
      </c>
    </row>
    <row r="2190" ht="15.75" customHeight="1">
      <c r="B2190" s="77">
        <f t="shared" si="1"/>
        <v>0</v>
      </c>
      <c r="C2190" s="67"/>
      <c r="D2190" s="78"/>
      <c r="E2190" s="101"/>
      <c r="F2190" s="108"/>
      <c r="G2190" s="120"/>
      <c r="H2190" s="101"/>
      <c r="I2190" s="93"/>
      <c r="J2190" s="91"/>
      <c r="L2190" s="94" t="str">
        <f t="shared" si="2"/>
        <v>No infirmation</v>
      </c>
      <c r="M2190" s="94" t="str">
        <f t="shared" si="3"/>
        <v/>
      </c>
    </row>
    <row r="2191" ht="15.75" customHeight="1">
      <c r="B2191" s="77">
        <f t="shared" si="1"/>
        <v>0</v>
      </c>
      <c r="C2191" s="67"/>
      <c r="D2191" s="78"/>
      <c r="E2191" s="101"/>
      <c r="F2191" s="108"/>
      <c r="G2191" s="120"/>
      <c r="H2191" s="101"/>
      <c r="I2191" s="93"/>
      <c r="J2191" s="91"/>
      <c r="L2191" s="94" t="str">
        <f t="shared" si="2"/>
        <v>No infirmation</v>
      </c>
      <c r="M2191" s="94" t="str">
        <f t="shared" si="3"/>
        <v/>
      </c>
    </row>
    <row r="2192" ht="15.75" customHeight="1">
      <c r="B2192" s="77">
        <f t="shared" si="1"/>
        <v>0</v>
      </c>
      <c r="C2192" s="67"/>
      <c r="D2192" s="78"/>
      <c r="E2192" s="101"/>
      <c r="F2192" s="108"/>
      <c r="G2192" s="120"/>
      <c r="H2192" s="101"/>
      <c r="I2192" s="93"/>
      <c r="J2192" s="91"/>
      <c r="L2192" s="94" t="str">
        <f t="shared" si="2"/>
        <v>No infirmation</v>
      </c>
      <c r="M2192" s="94" t="str">
        <f t="shared" si="3"/>
        <v/>
      </c>
    </row>
    <row r="2193" ht="15.75" customHeight="1">
      <c r="B2193" s="77">
        <f t="shared" si="1"/>
        <v>0</v>
      </c>
      <c r="C2193" s="67"/>
      <c r="D2193" s="78"/>
      <c r="E2193" s="101"/>
      <c r="F2193" s="108"/>
      <c r="G2193" s="120"/>
      <c r="H2193" s="101"/>
      <c r="I2193" s="93"/>
      <c r="J2193" s="91"/>
      <c r="L2193" s="94" t="str">
        <f t="shared" si="2"/>
        <v>No infirmation</v>
      </c>
      <c r="M2193" s="94" t="str">
        <f t="shared" si="3"/>
        <v/>
      </c>
    </row>
    <row r="2194" ht="15.75" customHeight="1">
      <c r="B2194" s="77">
        <f t="shared" si="1"/>
        <v>0</v>
      </c>
      <c r="C2194" s="67"/>
      <c r="D2194" s="78"/>
      <c r="E2194" s="101"/>
      <c r="F2194" s="108"/>
      <c r="G2194" s="120"/>
      <c r="H2194" s="101"/>
      <c r="I2194" s="93"/>
      <c r="J2194" s="91"/>
      <c r="L2194" s="94" t="str">
        <f t="shared" si="2"/>
        <v>No infirmation</v>
      </c>
      <c r="M2194" s="94" t="str">
        <f t="shared" si="3"/>
        <v/>
      </c>
    </row>
    <row r="2195" ht="15.75" customHeight="1">
      <c r="B2195" s="77">
        <f t="shared" si="1"/>
        <v>0</v>
      </c>
      <c r="C2195" s="67"/>
      <c r="D2195" s="78"/>
      <c r="E2195" s="101"/>
      <c r="F2195" s="108"/>
      <c r="G2195" s="120"/>
      <c r="H2195" s="101"/>
      <c r="I2195" s="93"/>
      <c r="J2195" s="91"/>
      <c r="L2195" s="94" t="str">
        <f t="shared" si="2"/>
        <v>No infirmation</v>
      </c>
      <c r="M2195" s="94" t="str">
        <f t="shared" si="3"/>
        <v/>
      </c>
    </row>
    <row r="2196" ht="15.75" customHeight="1">
      <c r="B2196" s="77">
        <f t="shared" si="1"/>
        <v>0</v>
      </c>
      <c r="C2196" s="67"/>
      <c r="D2196" s="78"/>
      <c r="E2196" s="101"/>
      <c r="F2196" s="108"/>
      <c r="G2196" s="120"/>
      <c r="H2196" s="101"/>
      <c r="I2196" s="93"/>
      <c r="J2196" s="91"/>
      <c r="L2196" s="94" t="str">
        <f t="shared" si="2"/>
        <v>No infirmation</v>
      </c>
      <c r="M2196" s="94" t="str">
        <f t="shared" si="3"/>
        <v/>
      </c>
    </row>
    <row r="2197" ht="15.75" customHeight="1">
      <c r="B2197" s="77">
        <f t="shared" si="1"/>
        <v>0</v>
      </c>
      <c r="C2197" s="67"/>
      <c r="D2197" s="78"/>
      <c r="E2197" s="101"/>
      <c r="F2197" s="108"/>
      <c r="G2197" s="120"/>
      <c r="H2197" s="101"/>
      <c r="I2197" s="93"/>
      <c r="J2197" s="91"/>
      <c r="L2197" s="94" t="str">
        <f t="shared" si="2"/>
        <v>No infirmation</v>
      </c>
      <c r="M2197" s="94" t="str">
        <f t="shared" si="3"/>
        <v/>
      </c>
    </row>
    <row r="2198" ht="15.75" customHeight="1">
      <c r="B2198" s="77">
        <f t="shared" si="1"/>
        <v>0</v>
      </c>
      <c r="C2198" s="67"/>
      <c r="D2198" s="78"/>
      <c r="E2198" s="101"/>
      <c r="F2198" s="108"/>
      <c r="G2198" s="120"/>
      <c r="H2198" s="101"/>
      <c r="I2198" s="93"/>
      <c r="J2198" s="91"/>
      <c r="L2198" s="94" t="str">
        <f t="shared" si="2"/>
        <v>No infirmation</v>
      </c>
      <c r="M2198" s="94" t="str">
        <f t="shared" si="3"/>
        <v/>
      </c>
    </row>
    <row r="2199" ht="15.75" customHeight="1">
      <c r="B2199" s="77">
        <f t="shared" si="1"/>
        <v>0</v>
      </c>
      <c r="C2199" s="67"/>
      <c r="D2199" s="78"/>
      <c r="E2199" s="101"/>
      <c r="F2199" s="108"/>
      <c r="G2199" s="120"/>
      <c r="H2199" s="101"/>
      <c r="I2199" s="93"/>
      <c r="J2199" s="91"/>
      <c r="L2199" s="94" t="str">
        <f t="shared" si="2"/>
        <v>No infirmation</v>
      </c>
      <c r="M2199" s="94" t="str">
        <f t="shared" si="3"/>
        <v/>
      </c>
    </row>
    <row r="2200" ht="15.75" customHeight="1">
      <c r="B2200" s="77">
        <f t="shared" si="1"/>
        <v>0</v>
      </c>
      <c r="C2200" s="67"/>
      <c r="D2200" s="78"/>
      <c r="E2200" s="101"/>
      <c r="F2200" s="108"/>
      <c r="G2200" s="120"/>
      <c r="H2200" s="101"/>
      <c r="I2200" s="93"/>
      <c r="J2200" s="91"/>
      <c r="L2200" s="94" t="str">
        <f t="shared" si="2"/>
        <v>No infirmation</v>
      </c>
      <c r="M2200" s="94" t="str">
        <f t="shared" si="3"/>
        <v/>
      </c>
    </row>
    <row r="2201" ht="15.75" customHeight="1">
      <c r="B2201" s="77">
        <f t="shared" si="1"/>
        <v>0</v>
      </c>
      <c r="C2201" s="67"/>
      <c r="D2201" s="78"/>
      <c r="E2201" s="101"/>
      <c r="F2201" s="108"/>
      <c r="G2201" s="120"/>
      <c r="H2201" s="101"/>
      <c r="I2201" s="93"/>
      <c r="J2201" s="91"/>
      <c r="L2201" s="94" t="str">
        <f t="shared" si="2"/>
        <v>No infirmation</v>
      </c>
      <c r="M2201" s="94" t="str">
        <f t="shared" si="3"/>
        <v/>
      </c>
    </row>
    <row r="2202" ht="15.75" customHeight="1">
      <c r="B2202" s="77">
        <f t="shared" si="1"/>
        <v>0</v>
      </c>
      <c r="C2202" s="67"/>
      <c r="D2202" s="78"/>
      <c r="E2202" s="101"/>
      <c r="F2202" s="108"/>
      <c r="G2202" s="120"/>
      <c r="H2202" s="101"/>
      <c r="I2202" s="93"/>
      <c r="J2202" s="91"/>
      <c r="L2202" s="94" t="str">
        <f t="shared" si="2"/>
        <v>No infirmation</v>
      </c>
      <c r="M2202" s="94" t="str">
        <f t="shared" si="3"/>
        <v/>
      </c>
    </row>
    <row r="2203" ht="15.75" customHeight="1">
      <c r="B2203" s="77">
        <f t="shared" si="1"/>
        <v>0</v>
      </c>
      <c r="C2203" s="67"/>
      <c r="D2203" s="78"/>
      <c r="E2203" s="101"/>
      <c r="F2203" s="108"/>
      <c r="G2203" s="120"/>
      <c r="H2203" s="101"/>
      <c r="I2203" s="93"/>
      <c r="J2203" s="91"/>
      <c r="L2203" s="94" t="str">
        <f t="shared" si="2"/>
        <v>No infirmation</v>
      </c>
      <c r="M2203" s="94" t="str">
        <f t="shared" si="3"/>
        <v/>
      </c>
    </row>
    <row r="2204" ht="15.75" customHeight="1">
      <c r="B2204" s="77">
        <f t="shared" si="1"/>
        <v>0</v>
      </c>
      <c r="C2204" s="67"/>
      <c r="D2204" s="78"/>
      <c r="E2204" s="101"/>
      <c r="F2204" s="108"/>
      <c r="G2204" s="120"/>
      <c r="H2204" s="101"/>
      <c r="I2204" s="93"/>
      <c r="J2204" s="91"/>
      <c r="L2204" s="94" t="str">
        <f t="shared" si="2"/>
        <v>No infirmation</v>
      </c>
      <c r="M2204" s="94" t="str">
        <f t="shared" si="3"/>
        <v/>
      </c>
    </row>
    <row r="2205" ht="15.75" customHeight="1">
      <c r="B2205" s="77">
        <f t="shared" si="1"/>
        <v>0</v>
      </c>
      <c r="C2205" s="67"/>
      <c r="D2205" s="78"/>
      <c r="E2205" s="101"/>
      <c r="F2205" s="108"/>
      <c r="G2205" s="120"/>
      <c r="H2205" s="101"/>
      <c r="I2205" s="93"/>
      <c r="J2205" s="91"/>
      <c r="L2205" s="94" t="str">
        <f t="shared" si="2"/>
        <v>No infirmation</v>
      </c>
      <c r="M2205" s="94" t="str">
        <f t="shared" si="3"/>
        <v/>
      </c>
    </row>
    <row r="2206" ht="15.75" customHeight="1">
      <c r="B2206" s="77">
        <f t="shared" si="1"/>
        <v>0</v>
      </c>
      <c r="C2206" s="67"/>
      <c r="D2206" s="78"/>
      <c r="E2206" s="101"/>
      <c r="F2206" s="108"/>
      <c r="G2206" s="120"/>
      <c r="H2206" s="101"/>
      <c r="I2206" s="93"/>
      <c r="J2206" s="91"/>
      <c r="L2206" s="94" t="str">
        <f t="shared" si="2"/>
        <v>No infirmation</v>
      </c>
      <c r="M2206" s="94" t="str">
        <f t="shared" si="3"/>
        <v/>
      </c>
    </row>
    <row r="2207" ht="15.75" customHeight="1">
      <c r="B2207" s="77">
        <f t="shared" si="1"/>
        <v>0</v>
      </c>
      <c r="C2207" s="67"/>
      <c r="D2207" s="78"/>
      <c r="E2207" s="101"/>
      <c r="F2207" s="108"/>
      <c r="G2207" s="120"/>
      <c r="H2207" s="101"/>
      <c r="I2207" s="93"/>
      <c r="J2207" s="91"/>
      <c r="L2207" s="94" t="str">
        <f t="shared" si="2"/>
        <v>No infirmation</v>
      </c>
      <c r="M2207" s="94" t="str">
        <f t="shared" si="3"/>
        <v/>
      </c>
    </row>
    <row r="2208" ht="15.75" customHeight="1">
      <c r="B2208" s="77">
        <f t="shared" si="1"/>
        <v>0</v>
      </c>
      <c r="C2208" s="67"/>
      <c r="D2208" s="78"/>
      <c r="E2208" s="101"/>
      <c r="F2208" s="108"/>
      <c r="G2208" s="120"/>
      <c r="H2208" s="101"/>
      <c r="I2208" s="93"/>
      <c r="J2208" s="91"/>
      <c r="L2208" s="94" t="str">
        <f t="shared" si="2"/>
        <v>No infirmation</v>
      </c>
      <c r="M2208" s="94" t="str">
        <f t="shared" si="3"/>
        <v/>
      </c>
    </row>
    <row r="2209" ht="15.75" customHeight="1">
      <c r="B2209" s="77">
        <f t="shared" si="1"/>
        <v>0</v>
      </c>
      <c r="C2209" s="67"/>
      <c r="D2209" s="78"/>
      <c r="E2209" s="101"/>
      <c r="F2209" s="108"/>
      <c r="G2209" s="120"/>
      <c r="H2209" s="101"/>
      <c r="I2209" s="93"/>
      <c r="J2209" s="91"/>
      <c r="L2209" s="94" t="str">
        <f t="shared" si="2"/>
        <v>No infirmation</v>
      </c>
      <c r="M2209" s="94" t="str">
        <f t="shared" si="3"/>
        <v/>
      </c>
    </row>
    <row r="2210" ht="15.75" customHeight="1">
      <c r="B2210" s="77">
        <f t="shared" si="1"/>
        <v>0</v>
      </c>
      <c r="C2210" s="67"/>
      <c r="D2210" s="78"/>
      <c r="E2210" s="101"/>
      <c r="F2210" s="108"/>
      <c r="G2210" s="120"/>
      <c r="H2210" s="101"/>
      <c r="I2210" s="93"/>
      <c r="J2210" s="91"/>
      <c r="L2210" s="94" t="str">
        <f t="shared" si="2"/>
        <v>No infirmation</v>
      </c>
      <c r="M2210" s="94" t="str">
        <f t="shared" si="3"/>
        <v/>
      </c>
    </row>
    <row r="2211" ht="15.75" customHeight="1">
      <c r="B2211" s="77">
        <f t="shared" si="1"/>
        <v>0</v>
      </c>
      <c r="C2211" s="67"/>
      <c r="D2211" s="78"/>
      <c r="E2211" s="101"/>
      <c r="F2211" s="108"/>
      <c r="G2211" s="120"/>
      <c r="H2211" s="101"/>
      <c r="I2211" s="93"/>
      <c r="J2211" s="91"/>
      <c r="L2211" s="94" t="str">
        <f t="shared" si="2"/>
        <v>No infirmation</v>
      </c>
      <c r="M2211" s="94" t="str">
        <f t="shared" si="3"/>
        <v/>
      </c>
    </row>
    <row r="2212" ht="15.75" customHeight="1">
      <c r="B2212" s="77">
        <f t="shared" si="1"/>
        <v>0</v>
      </c>
      <c r="C2212" s="67"/>
      <c r="D2212" s="78"/>
      <c r="E2212" s="101"/>
      <c r="F2212" s="108"/>
      <c r="G2212" s="120"/>
      <c r="H2212" s="101"/>
      <c r="I2212" s="93"/>
      <c r="J2212" s="91"/>
      <c r="L2212" s="94" t="str">
        <f t="shared" si="2"/>
        <v>No infirmation</v>
      </c>
      <c r="M2212" s="94" t="str">
        <f t="shared" si="3"/>
        <v/>
      </c>
    </row>
    <row r="2213" ht="15.75" customHeight="1">
      <c r="B2213" s="77">
        <f t="shared" si="1"/>
        <v>0</v>
      </c>
      <c r="C2213" s="67"/>
      <c r="D2213" s="78"/>
      <c r="E2213" s="101"/>
      <c r="F2213" s="108"/>
      <c r="G2213" s="120"/>
      <c r="H2213" s="101"/>
      <c r="I2213" s="93"/>
      <c r="J2213" s="91"/>
      <c r="L2213" s="94" t="str">
        <f t="shared" si="2"/>
        <v>No infirmation</v>
      </c>
      <c r="M2213" s="94" t="str">
        <f t="shared" si="3"/>
        <v/>
      </c>
    </row>
    <row r="2214" ht="15.75" customHeight="1">
      <c r="B2214" s="77">
        <f t="shared" si="1"/>
        <v>0</v>
      </c>
      <c r="C2214" s="67"/>
      <c r="D2214" s="78"/>
      <c r="E2214" s="101"/>
      <c r="F2214" s="108"/>
      <c r="G2214" s="120"/>
      <c r="H2214" s="101"/>
      <c r="I2214" s="93"/>
      <c r="J2214" s="91"/>
      <c r="L2214" s="94" t="str">
        <f t="shared" si="2"/>
        <v>No infirmation</v>
      </c>
      <c r="M2214" s="94" t="str">
        <f t="shared" si="3"/>
        <v/>
      </c>
    </row>
    <row r="2215" ht="15.75" customHeight="1">
      <c r="B2215" s="77">
        <f t="shared" si="1"/>
        <v>0</v>
      </c>
      <c r="C2215" s="67"/>
      <c r="D2215" s="78"/>
      <c r="E2215" s="101"/>
      <c r="F2215" s="108"/>
      <c r="G2215" s="120"/>
      <c r="H2215" s="101"/>
      <c r="I2215" s="93"/>
      <c r="J2215" s="91"/>
      <c r="L2215" s="94" t="str">
        <f t="shared" si="2"/>
        <v>No infirmation</v>
      </c>
      <c r="M2215" s="94" t="str">
        <f t="shared" si="3"/>
        <v/>
      </c>
    </row>
    <row r="2216" ht="15.75" customHeight="1">
      <c r="B2216" s="77">
        <f t="shared" si="1"/>
        <v>0</v>
      </c>
      <c r="C2216" s="67"/>
      <c r="D2216" s="78"/>
      <c r="E2216" s="101"/>
      <c r="F2216" s="108"/>
      <c r="G2216" s="120"/>
      <c r="H2216" s="101"/>
      <c r="I2216" s="93"/>
      <c r="J2216" s="91"/>
      <c r="L2216" s="94" t="str">
        <f t="shared" si="2"/>
        <v>No infirmation</v>
      </c>
      <c r="M2216" s="94" t="str">
        <f t="shared" si="3"/>
        <v/>
      </c>
    </row>
    <row r="2217" ht="15.75" customHeight="1">
      <c r="B2217" s="77">
        <f t="shared" si="1"/>
        <v>0</v>
      </c>
      <c r="C2217" s="67"/>
      <c r="D2217" s="78"/>
      <c r="E2217" s="101"/>
      <c r="F2217" s="108"/>
      <c r="G2217" s="120"/>
      <c r="H2217" s="101"/>
      <c r="I2217" s="93"/>
      <c r="J2217" s="91"/>
      <c r="L2217" s="94" t="str">
        <f t="shared" si="2"/>
        <v>No infirmation</v>
      </c>
      <c r="M2217" s="94" t="str">
        <f t="shared" si="3"/>
        <v/>
      </c>
    </row>
    <row r="2218" ht="15.75" customHeight="1">
      <c r="B2218" s="77">
        <f t="shared" si="1"/>
        <v>0</v>
      </c>
      <c r="C2218" s="67"/>
      <c r="D2218" s="78"/>
      <c r="E2218" s="101"/>
      <c r="F2218" s="108"/>
      <c r="G2218" s="120"/>
      <c r="H2218" s="101"/>
      <c r="I2218" s="93"/>
      <c r="J2218" s="91"/>
      <c r="L2218" s="94" t="str">
        <f t="shared" si="2"/>
        <v>No infirmation</v>
      </c>
      <c r="M2218" s="94" t="str">
        <f t="shared" si="3"/>
        <v/>
      </c>
    </row>
    <row r="2219" ht="15.75" customHeight="1">
      <c r="B2219" s="77">
        <f t="shared" si="1"/>
        <v>0</v>
      </c>
      <c r="C2219" s="67"/>
      <c r="D2219" s="78"/>
      <c r="E2219" s="101"/>
      <c r="F2219" s="108"/>
      <c r="G2219" s="120"/>
      <c r="H2219" s="101"/>
      <c r="I2219" s="93"/>
      <c r="J2219" s="91"/>
      <c r="L2219" s="94" t="str">
        <f t="shared" si="2"/>
        <v>No infirmation</v>
      </c>
      <c r="M2219" s="94" t="str">
        <f t="shared" si="3"/>
        <v/>
      </c>
    </row>
    <row r="2220" ht="15.75" customHeight="1">
      <c r="B2220" s="77">
        <f t="shared" si="1"/>
        <v>0</v>
      </c>
      <c r="C2220" s="67"/>
      <c r="D2220" s="78"/>
      <c r="E2220" s="101"/>
      <c r="F2220" s="108"/>
      <c r="G2220" s="120"/>
      <c r="H2220" s="101"/>
      <c r="I2220" s="93"/>
      <c r="J2220" s="91"/>
      <c r="L2220" s="94" t="str">
        <f t="shared" si="2"/>
        <v>No infirmation</v>
      </c>
      <c r="M2220" s="94" t="str">
        <f t="shared" si="3"/>
        <v/>
      </c>
    </row>
    <row r="2221" ht="15.75" customHeight="1">
      <c r="B2221" s="77">
        <f t="shared" si="1"/>
        <v>0</v>
      </c>
      <c r="C2221" s="67"/>
      <c r="D2221" s="78"/>
      <c r="E2221" s="101"/>
      <c r="F2221" s="108"/>
      <c r="G2221" s="120"/>
      <c r="H2221" s="101"/>
      <c r="I2221" s="93"/>
      <c r="J2221" s="91"/>
      <c r="L2221" s="94" t="str">
        <f t="shared" si="2"/>
        <v>No infirmation</v>
      </c>
      <c r="M2221" s="94" t="str">
        <f t="shared" si="3"/>
        <v/>
      </c>
    </row>
    <row r="2222" ht="15.75" customHeight="1">
      <c r="B2222" s="77">
        <f t="shared" si="1"/>
        <v>0</v>
      </c>
      <c r="C2222" s="67"/>
      <c r="D2222" s="78"/>
      <c r="E2222" s="101"/>
      <c r="F2222" s="108"/>
      <c r="G2222" s="120"/>
      <c r="H2222" s="101"/>
      <c r="I2222" s="93"/>
      <c r="J2222" s="91"/>
      <c r="L2222" s="94" t="str">
        <f t="shared" si="2"/>
        <v>No infirmation</v>
      </c>
      <c r="M2222" s="94" t="str">
        <f t="shared" si="3"/>
        <v/>
      </c>
    </row>
    <row r="2223" ht="15.75" customHeight="1">
      <c r="B2223" s="77">
        <f t="shared" si="1"/>
        <v>0</v>
      </c>
      <c r="C2223" s="67"/>
      <c r="D2223" s="78"/>
      <c r="E2223" s="101"/>
      <c r="F2223" s="108"/>
      <c r="G2223" s="120"/>
      <c r="H2223" s="101"/>
      <c r="I2223" s="93"/>
      <c r="J2223" s="91"/>
      <c r="L2223" s="94" t="str">
        <f t="shared" si="2"/>
        <v>No infirmation</v>
      </c>
      <c r="M2223" s="94" t="str">
        <f t="shared" si="3"/>
        <v/>
      </c>
    </row>
    <row r="2224" ht="15.75" customHeight="1">
      <c r="B2224" s="77">
        <f t="shared" si="1"/>
        <v>0</v>
      </c>
      <c r="C2224" s="67"/>
      <c r="D2224" s="78"/>
      <c r="E2224" s="101"/>
      <c r="F2224" s="108"/>
      <c r="G2224" s="120"/>
      <c r="H2224" s="101"/>
      <c r="I2224" s="93"/>
      <c r="J2224" s="91"/>
      <c r="L2224" s="94" t="str">
        <f t="shared" si="2"/>
        <v>No infirmation</v>
      </c>
      <c r="M2224" s="94" t="str">
        <f t="shared" si="3"/>
        <v/>
      </c>
    </row>
    <row r="2225" ht="15.75" customHeight="1">
      <c r="B2225" s="77">
        <f t="shared" si="1"/>
        <v>0</v>
      </c>
      <c r="C2225" s="67"/>
      <c r="D2225" s="78"/>
      <c r="E2225" s="101"/>
      <c r="F2225" s="108"/>
      <c r="G2225" s="120"/>
      <c r="H2225" s="101"/>
      <c r="I2225" s="93"/>
      <c r="J2225" s="91"/>
      <c r="L2225" s="94" t="str">
        <f t="shared" si="2"/>
        <v>No infirmation</v>
      </c>
      <c r="M2225" s="94" t="str">
        <f t="shared" si="3"/>
        <v/>
      </c>
    </row>
    <row r="2226" ht="15.75" customHeight="1">
      <c r="B2226" s="77">
        <f t="shared" si="1"/>
        <v>0</v>
      </c>
      <c r="C2226" s="67"/>
      <c r="D2226" s="78"/>
      <c r="E2226" s="101"/>
      <c r="F2226" s="108"/>
      <c r="G2226" s="120"/>
      <c r="H2226" s="101"/>
      <c r="I2226" s="93"/>
      <c r="J2226" s="91"/>
      <c r="L2226" s="94" t="str">
        <f t="shared" si="2"/>
        <v>No infirmation</v>
      </c>
      <c r="M2226" s="94" t="str">
        <f t="shared" si="3"/>
        <v/>
      </c>
    </row>
    <row r="2227" ht="15.75" customHeight="1">
      <c r="B2227" s="77">
        <f t="shared" si="1"/>
        <v>0</v>
      </c>
      <c r="C2227" s="67"/>
      <c r="D2227" s="78"/>
      <c r="E2227" s="101"/>
      <c r="F2227" s="108"/>
      <c r="G2227" s="120"/>
      <c r="H2227" s="101"/>
      <c r="I2227" s="93"/>
      <c r="J2227" s="91"/>
      <c r="L2227" s="94" t="str">
        <f t="shared" si="2"/>
        <v>No infirmation</v>
      </c>
      <c r="M2227" s="94" t="str">
        <f t="shared" si="3"/>
        <v/>
      </c>
    </row>
    <row r="2228" ht="15.75" customHeight="1">
      <c r="B2228" s="77">
        <f t="shared" si="1"/>
        <v>0</v>
      </c>
      <c r="C2228" s="67"/>
      <c r="D2228" s="78"/>
      <c r="E2228" s="101"/>
      <c r="F2228" s="108"/>
      <c r="G2228" s="120"/>
      <c r="H2228" s="101"/>
      <c r="I2228" s="93"/>
      <c r="J2228" s="91"/>
      <c r="L2228" s="94" t="str">
        <f t="shared" si="2"/>
        <v>No infirmation</v>
      </c>
      <c r="M2228" s="94" t="str">
        <f t="shared" si="3"/>
        <v/>
      </c>
    </row>
    <row r="2229" ht="15.75" customHeight="1">
      <c r="B2229" s="77">
        <f t="shared" si="1"/>
        <v>0</v>
      </c>
      <c r="C2229" s="67"/>
      <c r="D2229" s="78"/>
      <c r="E2229" s="101"/>
      <c r="F2229" s="108"/>
      <c r="G2229" s="120"/>
      <c r="H2229" s="101"/>
      <c r="I2229" s="93"/>
      <c r="J2229" s="91"/>
      <c r="L2229" s="94" t="str">
        <f t="shared" si="2"/>
        <v>No infirmation</v>
      </c>
      <c r="M2229" s="94" t="str">
        <f t="shared" si="3"/>
        <v/>
      </c>
    </row>
    <row r="2230" ht="15.75" customHeight="1">
      <c r="B2230" s="77">
        <f t="shared" si="1"/>
        <v>0</v>
      </c>
      <c r="C2230" s="67"/>
      <c r="D2230" s="78"/>
      <c r="E2230" s="101"/>
      <c r="F2230" s="108"/>
      <c r="G2230" s="120"/>
      <c r="H2230" s="101"/>
      <c r="I2230" s="93"/>
      <c r="J2230" s="91"/>
      <c r="L2230" s="94" t="str">
        <f t="shared" si="2"/>
        <v>No infirmation</v>
      </c>
      <c r="M2230" s="94" t="str">
        <f t="shared" si="3"/>
        <v/>
      </c>
    </row>
    <row r="2231" ht="15.75" customHeight="1">
      <c r="B2231" s="77">
        <f t="shared" si="1"/>
        <v>0</v>
      </c>
      <c r="C2231" s="67"/>
      <c r="D2231" s="78"/>
      <c r="E2231" s="101"/>
      <c r="F2231" s="108"/>
      <c r="G2231" s="120"/>
      <c r="H2231" s="101"/>
      <c r="I2231" s="93"/>
      <c r="J2231" s="91"/>
      <c r="L2231" s="94" t="str">
        <f t="shared" si="2"/>
        <v>No infirmation</v>
      </c>
      <c r="M2231" s="94" t="str">
        <f t="shared" si="3"/>
        <v/>
      </c>
    </row>
    <row r="2232" ht="15.75" customHeight="1">
      <c r="B2232" s="77">
        <f t="shared" si="1"/>
        <v>0</v>
      </c>
      <c r="C2232" s="67"/>
      <c r="D2232" s="78"/>
      <c r="E2232" s="101"/>
      <c r="F2232" s="108"/>
      <c r="G2232" s="120"/>
      <c r="H2232" s="101"/>
      <c r="I2232" s="93"/>
      <c r="J2232" s="91"/>
      <c r="L2232" s="94" t="str">
        <f t="shared" si="2"/>
        <v>No infirmation</v>
      </c>
      <c r="M2232" s="94" t="str">
        <f t="shared" si="3"/>
        <v/>
      </c>
    </row>
    <row r="2233" ht="15.75" customHeight="1">
      <c r="B2233" s="77">
        <f t="shared" si="1"/>
        <v>0</v>
      </c>
      <c r="C2233" s="67"/>
      <c r="D2233" s="78"/>
      <c r="E2233" s="101"/>
      <c r="F2233" s="108"/>
      <c r="G2233" s="120"/>
      <c r="H2233" s="101"/>
      <c r="I2233" s="93"/>
      <c r="J2233" s="91"/>
      <c r="L2233" s="94" t="str">
        <f t="shared" si="2"/>
        <v>No infirmation</v>
      </c>
      <c r="M2233" s="94" t="str">
        <f t="shared" si="3"/>
        <v/>
      </c>
    </row>
    <row r="2234" ht="15.75" customHeight="1">
      <c r="B2234" s="77">
        <f t="shared" si="1"/>
        <v>0</v>
      </c>
      <c r="C2234" s="67"/>
      <c r="D2234" s="78"/>
      <c r="E2234" s="101"/>
      <c r="F2234" s="108"/>
      <c r="G2234" s="120"/>
      <c r="H2234" s="101"/>
      <c r="I2234" s="93"/>
      <c r="J2234" s="91"/>
      <c r="L2234" s="94" t="str">
        <f t="shared" si="2"/>
        <v>No infirmation</v>
      </c>
      <c r="M2234" s="94" t="str">
        <f t="shared" si="3"/>
        <v/>
      </c>
    </row>
    <row r="2235" ht="15.75" customHeight="1">
      <c r="B2235" s="77">
        <f t="shared" si="1"/>
        <v>0</v>
      </c>
      <c r="C2235" s="67"/>
      <c r="D2235" s="78"/>
      <c r="E2235" s="101"/>
      <c r="F2235" s="108"/>
      <c r="G2235" s="120"/>
      <c r="H2235" s="101"/>
      <c r="I2235" s="93"/>
      <c r="J2235" s="91"/>
      <c r="L2235" s="94" t="str">
        <f t="shared" si="2"/>
        <v>No infirmation</v>
      </c>
      <c r="M2235" s="94" t="str">
        <f t="shared" si="3"/>
        <v/>
      </c>
    </row>
    <row r="2236" ht="15.75" customHeight="1">
      <c r="B2236" s="77">
        <f t="shared" si="1"/>
        <v>0</v>
      </c>
      <c r="C2236" s="67"/>
      <c r="D2236" s="78"/>
      <c r="E2236" s="101"/>
      <c r="F2236" s="108"/>
      <c r="G2236" s="120"/>
      <c r="H2236" s="101"/>
      <c r="I2236" s="93"/>
      <c r="J2236" s="91"/>
      <c r="L2236" s="94" t="str">
        <f t="shared" si="2"/>
        <v>No infirmation</v>
      </c>
      <c r="M2236" s="94" t="str">
        <f t="shared" si="3"/>
        <v/>
      </c>
    </row>
    <row r="2237" ht="15.75" customHeight="1">
      <c r="B2237" s="77">
        <f t="shared" si="1"/>
        <v>0</v>
      </c>
      <c r="C2237" s="67"/>
      <c r="D2237" s="78"/>
      <c r="E2237" s="101"/>
      <c r="F2237" s="108"/>
      <c r="G2237" s="120"/>
      <c r="H2237" s="101"/>
      <c r="I2237" s="93"/>
      <c r="J2237" s="91"/>
      <c r="L2237" s="94" t="str">
        <f t="shared" si="2"/>
        <v>No infirmation</v>
      </c>
      <c r="M2237" s="94" t="str">
        <f t="shared" si="3"/>
        <v/>
      </c>
    </row>
    <row r="2238" ht="15.75" customHeight="1">
      <c r="B2238" s="77">
        <f t="shared" si="1"/>
        <v>0</v>
      </c>
      <c r="C2238" s="67"/>
      <c r="D2238" s="78"/>
      <c r="E2238" s="101"/>
      <c r="F2238" s="108"/>
      <c r="G2238" s="120"/>
      <c r="H2238" s="101"/>
      <c r="I2238" s="93"/>
      <c r="J2238" s="91"/>
      <c r="L2238" s="94" t="str">
        <f t="shared" si="2"/>
        <v>No infirmation</v>
      </c>
      <c r="M2238" s="94" t="str">
        <f t="shared" si="3"/>
        <v/>
      </c>
    </row>
    <row r="2239" ht="15.75" customHeight="1">
      <c r="B2239" s="77">
        <f t="shared" si="1"/>
        <v>0</v>
      </c>
      <c r="C2239" s="67"/>
      <c r="D2239" s="78"/>
      <c r="E2239" s="101"/>
      <c r="F2239" s="108"/>
      <c r="G2239" s="120"/>
      <c r="H2239" s="101"/>
      <c r="I2239" s="93"/>
      <c r="J2239" s="91"/>
      <c r="L2239" s="94" t="str">
        <f t="shared" si="2"/>
        <v>No infirmation</v>
      </c>
      <c r="M2239" s="94" t="str">
        <f t="shared" si="3"/>
        <v/>
      </c>
    </row>
    <row r="2240" ht="15.75" customHeight="1">
      <c r="B2240" s="77">
        <f t="shared" si="1"/>
        <v>0</v>
      </c>
      <c r="C2240" s="67"/>
      <c r="D2240" s="78"/>
      <c r="E2240" s="101"/>
      <c r="F2240" s="108"/>
      <c r="G2240" s="120"/>
      <c r="H2240" s="101"/>
      <c r="I2240" s="93"/>
      <c r="J2240" s="91"/>
      <c r="L2240" s="94" t="str">
        <f t="shared" si="2"/>
        <v>No infirmation</v>
      </c>
      <c r="M2240" s="94" t="str">
        <f t="shared" si="3"/>
        <v/>
      </c>
    </row>
    <row r="2241" ht="15.75" customHeight="1">
      <c r="B2241" s="77">
        <f t="shared" si="1"/>
        <v>0</v>
      </c>
      <c r="C2241" s="67"/>
      <c r="D2241" s="78"/>
      <c r="E2241" s="101"/>
      <c r="F2241" s="108"/>
      <c r="G2241" s="120"/>
      <c r="H2241" s="101"/>
      <c r="I2241" s="93"/>
      <c r="J2241" s="91"/>
      <c r="L2241" s="94" t="str">
        <f t="shared" si="2"/>
        <v>No infirmation</v>
      </c>
      <c r="M2241" s="94" t="str">
        <f t="shared" si="3"/>
        <v/>
      </c>
    </row>
    <row r="2242" ht="15.75" customHeight="1">
      <c r="B2242" s="77">
        <f t="shared" si="1"/>
        <v>0</v>
      </c>
      <c r="C2242" s="67"/>
      <c r="D2242" s="78"/>
      <c r="E2242" s="101"/>
      <c r="F2242" s="108"/>
      <c r="G2242" s="120"/>
      <c r="H2242" s="101"/>
      <c r="I2242" s="93"/>
      <c r="J2242" s="91"/>
      <c r="L2242" s="94" t="str">
        <f t="shared" si="2"/>
        <v>No infirmation</v>
      </c>
      <c r="M2242" s="94" t="str">
        <f t="shared" si="3"/>
        <v/>
      </c>
    </row>
    <row r="2243" ht="15.75" customHeight="1">
      <c r="B2243" s="77">
        <f t="shared" si="1"/>
        <v>0</v>
      </c>
      <c r="C2243" s="67"/>
      <c r="D2243" s="78"/>
      <c r="E2243" s="101"/>
      <c r="F2243" s="108"/>
      <c r="G2243" s="120"/>
      <c r="H2243" s="101"/>
      <c r="I2243" s="93"/>
      <c r="J2243" s="91"/>
      <c r="L2243" s="94" t="str">
        <f t="shared" si="2"/>
        <v>No infirmation</v>
      </c>
      <c r="M2243" s="94" t="str">
        <f t="shared" si="3"/>
        <v/>
      </c>
    </row>
    <row r="2244" ht="15.75" customHeight="1">
      <c r="B2244" s="77">
        <f t="shared" si="1"/>
        <v>0</v>
      </c>
      <c r="C2244" s="67"/>
      <c r="D2244" s="78"/>
      <c r="E2244" s="101"/>
      <c r="F2244" s="108"/>
      <c r="G2244" s="120"/>
      <c r="H2244" s="101"/>
      <c r="I2244" s="93"/>
      <c r="J2244" s="91"/>
      <c r="L2244" s="94" t="str">
        <f t="shared" si="2"/>
        <v>No infirmation</v>
      </c>
      <c r="M2244" s="94" t="str">
        <f t="shared" si="3"/>
        <v/>
      </c>
    </row>
    <row r="2245" ht="15.75" customHeight="1">
      <c r="B2245" s="77">
        <f t="shared" si="1"/>
        <v>0</v>
      </c>
      <c r="C2245" s="67"/>
      <c r="D2245" s="78"/>
      <c r="E2245" s="101"/>
      <c r="F2245" s="108"/>
      <c r="G2245" s="120"/>
      <c r="H2245" s="101"/>
      <c r="I2245" s="93"/>
      <c r="J2245" s="91"/>
      <c r="L2245" s="94" t="str">
        <f t="shared" si="2"/>
        <v>No infirmation</v>
      </c>
      <c r="M2245" s="94" t="str">
        <f t="shared" si="3"/>
        <v/>
      </c>
    </row>
    <row r="2246" ht="15.75" customHeight="1">
      <c r="B2246" s="77">
        <f t="shared" si="1"/>
        <v>0</v>
      </c>
      <c r="C2246" s="67"/>
      <c r="D2246" s="78"/>
      <c r="E2246" s="101"/>
      <c r="F2246" s="108"/>
      <c r="G2246" s="120"/>
      <c r="H2246" s="101"/>
      <c r="I2246" s="93"/>
      <c r="J2246" s="91"/>
      <c r="L2246" s="94" t="str">
        <f t="shared" si="2"/>
        <v>No infirmation</v>
      </c>
      <c r="M2246" s="94" t="str">
        <f t="shared" si="3"/>
        <v/>
      </c>
    </row>
    <row r="2247" ht="15.75" customHeight="1">
      <c r="B2247" s="77">
        <f t="shared" si="1"/>
        <v>0</v>
      </c>
      <c r="C2247" s="67"/>
      <c r="D2247" s="78"/>
      <c r="E2247" s="101"/>
      <c r="F2247" s="108"/>
      <c r="G2247" s="120"/>
      <c r="H2247" s="101"/>
      <c r="I2247" s="93"/>
      <c r="J2247" s="91"/>
      <c r="L2247" s="94" t="str">
        <f t="shared" si="2"/>
        <v>No infirmation</v>
      </c>
      <c r="M2247" s="94" t="str">
        <f t="shared" si="3"/>
        <v/>
      </c>
    </row>
    <row r="2248" ht="15.75" customHeight="1">
      <c r="B2248" s="77">
        <f t="shared" si="1"/>
        <v>0</v>
      </c>
      <c r="C2248" s="67"/>
      <c r="D2248" s="78"/>
      <c r="E2248" s="101"/>
      <c r="F2248" s="108"/>
      <c r="G2248" s="120"/>
      <c r="H2248" s="101"/>
      <c r="I2248" s="93"/>
      <c r="J2248" s="91"/>
      <c r="L2248" s="94" t="str">
        <f t="shared" si="2"/>
        <v>No infirmation</v>
      </c>
      <c r="M2248" s="94" t="str">
        <f t="shared" si="3"/>
        <v/>
      </c>
    </row>
    <row r="2249" ht="15.75" customHeight="1">
      <c r="B2249" s="77">
        <f t="shared" si="1"/>
        <v>0</v>
      </c>
      <c r="C2249" s="67"/>
      <c r="D2249" s="78"/>
      <c r="E2249" s="101"/>
      <c r="F2249" s="108"/>
      <c r="G2249" s="120"/>
      <c r="H2249" s="101"/>
      <c r="I2249" s="93"/>
      <c r="J2249" s="91"/>
      <c r="L2249" s="94" t="str">
        <f t="shared" si="2"/>
        <v>No infirmation</v>
      </c>
      <c r="M2249" s="94" t="str">
        <f t="shared" si="3"/>
        <v/>
      </c>
    </row>
    <row r="2250" ht="15.75" customHeight="1">
      <c r="B2250" s="77">
        <f t="shared" si="1"/>
        <v>0</v>
      </c>
      <c r="C2250" s="67"/>
      <c r="D2250" s="78"/>
      <c r="E2250" s="101"/>
      <c r="F2250" s="108"/>
      <c r="G2250" s="120"/>
      <c r="H2250" s="101"/>
      <c r="I2250" s="93"/>
      <c r="J2250" s="91"/>
      <c r="L2250" s="94" t="str">
        <f t="shared" si="2"/>
        <v>No infirmation</v>
      </c>
      <c r="M2250" s="94" t="str">
        <f t="shared" si="3"/>
        <v/>
      </c>
    </row>
    <row r="2251" ht="15.75" customHeight="1">
      <c r="B2251" s="77">
        <f t="shared" si="1"/>
        <v>0</v>
      </c>
      <c r="C2251" s="67"/>
      <c r="D2251" s="78"/>
      <c r="E2251" s="101"/>
      <c r="F2251" s="108"/>
      <c r="G2251" s="120"/>
      <c r="H2251" s="101"/>
      <c r="I2251" s="93"/>
      <c r="J2251" s="91"/>
      <c r="L2251" s="94" t="str">
        <f t="shared" si="2"/>
        <v>No infirmation</v>
      </c>
      <c r="M2251" s="94" t="str">
        <f t="shared" si="3"/>
        <v/>
      </c>
    </row>
    <row r="2252" ht="15.75" customHeight="1">
      <c r="B2252" s="77">
        <f t="shared" si="1"/>
        <v>0</v>
      </c>
      <c r="C2252" s="67"/>
      <c r="D2252" s="78"/>
      <c r="E2252" s="101"/>
      <c r="F2252" s="108"/>
      <c r="G2252" s="120"/>
      <c r="H2252" s="101"/>
      <c r="I2252" s="93"/>
      <c r="J2252" s="91"/>
      <c r="L2252" s="94" t="str">
        <f t="shared" si="2"/>
        <v>No infirmation</v>
      </c>
      <c r="M2252" s="94" t="str">
        <f t="shared" si="3"/>
        <v/>
      </c>
    </row>
    <row r="2253" ht="15.75" customHeight="1">
      <c r="B2253" s="77">
        <f t="shared" si="1"/>
        <v>0</v>
      </c>
      <c r="C2253" s="67"/>
      <c r="D2253" s="78"/>
      <c r="E2253" s="101"/>
      <c r="F2253" s="108"/>
      <c r="G2253" s="120"/>
      <c r="H2253" s="101"/>
      <c r="I2253" s="93"/>
      <c r="J2253" s="91"/>
      <c r="L2253" s="94" t="str">
        <f t="shared" si="2"/>
        <v>No infirmation</v>
      </c>
      <c r="M2253" s="94" t="str">
        <f t="shared" si="3"/>
        <v/>
      </c>
    </row>
    <row r="2254" ht="15.75" customHeight="1">
      <c r="B2254" s="77">
        <f t="shared" si="1"/>
        <v>0</v>
      </c>
      <c r="C2254" s="67"/>
      <c r="D2254" s="78"/>
      <c r="E2254" s="101"/>
      <c r="F2254" s="108"/>
      <c r="G2254" s="120"/>
      <c r="H2254" s="101"/>
      <c r="I2254" s="93"/>
      <c r="J2254" s="91"/>
      <c r="L2254" s="94" t="str">
        <f t="shared" si="2"/>
        <v>No infirmation</v>
      </c>
      <c r="M2254" s="94" t="str">
        <f t="shared" si="3"/>
        <v/>
      </c>
    </row>
    <row r="2255" ht="15.75" customHeight="1">
      <c r="B2255" s="77">
        <f t="shared" si="1"/>
        <v>0</v>
      </c>
      <c r="C2255" s="67"/>
      <c r="D2255" s="78"/>
      <c r="E2255" s="101"/>
      <c r="F2255" s="108"/>
      <c r="G2255" s="120"/>
      <c r="H2255" s="101"/>
      <c r="I2255" s="93"/>
      <c r="J2255" s="91"/>
      <c r="L2255" s="94" t="str">
        <f t="shared" si="2"/>
        <v>No infirmation</v>
      </c>
      <c r="M2255" s="94" t="str">
        <f t="shared" si="3"/>
        <v/>
      </c>
    </row>
    <row r="2256" ht="15.75" customHeight="1">
      <c r="B2256" s="77">
        <f t="shared" si="1"/>
        <v>0</v>
      </c>
      <c r="C2256" s="67"/>
      <c r="D2256" s="78"/>
      <c r="E2256" s="101"/>
      <c r="F2256" s="108"/>
      <c r="G2256" s="120"/>
      <c r="H2256" s="101"/>
      <c r="I2256" s="93"/>
      <c r="J2256" s="91"/>
      <c r="L2256" s="94" t="str">
        <f t="shared" si="2"/>
        <v>No infirmation</v>
      </c>
      <c r="M2256" s="94" t="str">
        <f t="shared" si="3"/>
        <v/>
      </c>
    </row>
    <row r="2257" ht="15.75" customHeight="1">
      <c r="B2257" s="77">
        <f t="shared" si="1"/>
        <v>0</v>
      </c>
      <c r="C2257" s="67"/>
      <c r="D2257" s="78"/>
      <c r="E2257" s="101"/>
      <c r="F2257" s="108"/>
      <c r="G2257" s="120"/>
      <c r="H2257" s="101"/>
      <c r="I2257" s="93"/>
      <c r="J2257" s="91"/>
      <c r="L2257" s="94" t="str">
        <f t="shared" si="2"/>
        <v>No infirmation</v>
      </c>
      <c r="M2257" s="94" t="str">
        <f t="shared" si="3"/>
        <v/>
      </c>
    </row>
    <row r="2258" ht="15.75" customHeight="1">
      <c r="B2258" s="77">
        <f t="shared" si="1"/>
        <v>0</v>
      </c>
      <c r="C2258" s="67"/>
      <c r="D2258" s="78"/>
      <c r="E2258" s="101"/>
      <c r="F2258" s="108"/>
      <c r="G2258" s="120"/>
      <c r="H2258" s="101"/>
      <c r="I2258" s="93"/>
      <c r="J2258" s="91"/>
      <c r="L2258" s="94" t="str">
        <f t="shared" si="2"/>
        <v>No infirmation</v>
      </c>
      <c r="M2258" s="94" t="str">
        <f t="shared" si="3"/>
        <v/>
      </c>
    </row>
    <row r="2259" ht="15.75" customHeight="1">
      <c r="B2259" s="77">
        <f t="shared" si="1"/>
        <v>0</v>
      </c>
      <c r="C2259" s="67"/>
      <c r="D2259" s="78"/>
      <c r="E2259" s="101"/>
      <c r="F2259" s="108"/>
      <c r="G2259" s="120"/>
      <c r="H2259" s="101"/>
      <c r="I2259" s="93"/>
      <c r="J2259" s="91"/>
      <c r="L2259" s="94" t="str">
        <f t="shared" si="2"/>
        <v>No infirmation</v>
      </c>
      <c r="M2259" s="94" t="str">
        <f t="shared" si="3"/>
        <v/>
      </c>
    </row>
    <row r="2260" ht="15.75" customHeight="1">
      <c r="B2260" s="77">
        <f t="shared" si="1"/>
        <v>0</v>
      </c>
      <c r="C2260" s="67"/>
      <c r="D2260" s="78"/>
      <c r="E2260" s="101"/>
      <c r="F2260" s="108"/>
      <c r="G2260" s="120"/>
      <c r="H2260" s="101"/>
      <c r="I2260" s="93"/>
      <c r="J2260" s="91"/>
      <c r="L2260" s="94" t="str">
        <f t="shared" si="2"/>
        <v>No infirmation</v>
      </c>
      <c r="M2260" s="94" t="str">
        <f t="shared" si="3"/>
        <v/>
      </c>
    </row>
    <row r="2261" ht="15.75" customHeight="1">
      <c r="B2261" s="77">
        <f t="shared" si="1"/>
        <v>0</v>
      </c>
      <c r="C2261" s="67"/>
      <c r="D2261" s="78"/>
      <c r="E2261" s="101"/>
      <c r="F2261" s="108"/>
      <c r="G2261" s="120"/>
      <c r="H2261" s="101"/>
      <c r="I2261" s="93"/>
      <c r="J2261" s="91"/>
      <c r="L2261" s="94" t="str">
        <f t="shared" si="2"/>
        <v>No infirmation</v>
      </c>
      <c r="M2261" s="94" t="str">
        <f t="shared" si="3"/>
        <v/>
      </c>
    </row>
    <row r="2262" ht="15.75" customHeight="1">
      <c r="B2262" s="77">
        <f t="shared" si="1"/>
        <v>0</v>
      </c>
      <c r="C2262" s="67"/>
      <c r="D2262" s="78"/>
      <c r="E2262" s="101"/>
      <c r="F2262" s="108"/>
      <c r="G2262" s="120"/>
      <c r="H2262" s="101"/>
      <c r="I2262" s="93"/>
      <c r="J2262" s="91"/>
      <c r="L2262" s="94" t="str">
        <f t="shared" si="2"/>
        <v>No infirmation</v>
      </c>
      <c r="M2262" s="94" t="str">
        <f t="shared" si="3"/>
        <v/>
      </c>
    </row>
    <row r="2263" ht="15.75" customHeight="1">
      <c r="B2263" s="77">
        <f t="shared" si="1"/>
        <v>0</v>
      </c>
      <c r="C2263" s="67"/>
      <c r="D2263" s="78"/>
      <c r="E2263" s="101"/>
      <c r="F2263" s="108"/>
      <c r="G2263" s="120"/>
      <c r="H2263" s="101"/>
      <c r="I2263" s="93"/>
      <c r="J2263" s="91"/>
      <c r="L2263" s="94" t="str">
        <f t="shared" si="2"/>
        <v>No infirmation</v>
      </c>
      <c r="M2263" s="94" t="str">
        <f t="shared" si="3"/>
        <v/>
      </c>
    </row>
    <row r="2264" ht="15.75" customHeight="1">
      <c r="B2264" s="77">
        <f t="shared" si="1"/>
        <v>0</v>
      </c>
      <c r="C2264" s="67"/>
      <c r="D2264" s="78"/>
      <c r="E2264" s="101"/>
      <c r="F2264" s="108"/>
      <c r="G2264" s="120"/>
      <c r="H2264" s="101"/>
      <c r="I2264" s="93"/>
      <c r="J2264" s="91"/>
      <c r="L2264" s="94" t="str">
        <f t="shared" si="2"/>
        <v>No infirmation</v>
      </c>
      <c r="M2264" s="94" t="str">
        <f t="shared" si="3"/>
        <v/>
      </c>
    </row>
    <row r="2265" ht="15.75" customHeight="1">
      <c r="B2265" s="77">
        <f t="shared" si="1"/>
        <v>0</v>
      </c>
      <c r="C2265" s="67"/>
      <c r="D2265" s="78"/>
      <c r="E2265" s="101"/>
      <c r="F2265" s="108"/>
      <c r="G2265" s="120"/>
      <c r="H2265" s="101"/>
      <c r="I2265" s="93"/>
      <c r="J2265" s="91"/>
      <c r="L2265" s="94" t="str">
        <f t="shared" si="2"/>
        <v>No infirmation</v>
      </c>
      <c r="M2265" s="94" t="str">
        <f t="shared" si="3"/>
        <v/>
      </c>
    </row>
    <row r="2266" ht="15.75" customHeight="1">
      <c r="B2266" s="77">
        <f t="shared" si="1"/>
        <v>0</v>
      </c>
      <c r="C2266" s="67"/>
      <c r="D2266" s="78"/>
      <c r="E2266" s="101"/>
      <c r="F2266" s="108"/>
      <c r="G2266" s="120"/>
      <c r="H2266" s="101"/>
      <c r="I2266" s="93"/>
      <c r="J2266" s="91"/>
      <c r="L2266" s="94" t="str">
        <f t="shared" si="2"/>
        <v>No infirmation</v>
      </c>
      <c r="M2266" s="94" t="str">
        <f t="shared" si="3"/>
        <v/>
      </c>
    </row>
    <row r="2267" ht="15.75" customHeight="1">
      <c r="B2267" s="77">
        <f t="shared" si="1"/>
        <v>0</v>
      </c>
      <c r="C2267" s="67"/>
      <c r="D2267" s="78"/>
      <c r="E2267" s="101"/>
      <c r="F2267" s="108"/>
      <c r="G2267" s="120"/>
      <c r="H2267" s="101"/>
      <c r="I2267" s="93"/>
      <c r="J2267" s="91"/>
      <c r="L2267" s="94" t="str">
        <f t="shared" si="2"/>
        <v>No infirmation</v>
      </c>
      <c r="M2267" s="94" t="str">
        <f t="shared" si="3"/>
        <v/>
      </c>
    </row>
    <row r="2268" ht="15.75" customHeight="1">
      <c r="B2268" s="77">
        <f t="shared" si="1"/>
        <v>0</v>
      </c>
      <c r="C2268" s="67"/>
      <c r="D2268" s="78"/>
      <c r="E2268" s="101"/>
      <c r="F2268" s="108"/>
      <c r="G2268" s="120"/>
      <c r="H2268" s="101"/>
      <c r="I2268" s="93"/>
      <c r="J2268" s="91"/>
      <c r="L2268" s="94" t="str">
        <f t="shared" si="2"/>
        <v>No infirmation</v>
      </c>
      <c r="M2268" s="94" t="str">
        <f t="shared" si="3"/>
        <v/>
      </c>
    </row>
    <row r="2269" ht="15.75" customHeight="1">
      <c r="B2269" s="77">
        <f t="shared" si="1"/>
        <v>0</v>
      </c>
      <c r="C2269" s="67"/>
      <c r="D2269" s="78"/>
      <c r="E2269" s="101"/>
      <c r="F2269" s="108"/>
      <c r="G2269" s="120"/>
      <c r="H2269" s="101"/>
      <c r="I2269" s="93"/>
      <c r="J2269" s="91"/>
      <c r="L2269" s="94" t="str">
        <f t="shared" si="2"/>
        <v>No infirmation</v>
      </c>
      <c r="M2269" s="94" t="str">
        <f t="shared" si="3"/>
        <v/>
      </c>
    </row>
    <row r="2270" ht="15.75" customHeight="1">
      <c r="B2270" s="77">
        <f t="shared" si="1"/>
        <v>0</v>
      </c>
      <c r="C2270" s="67"/>
      <c r="D2270" s="78"/>
      <c r="E2270" s="101"/>
      <c r="F2270" s="108"/>
      <c r="G2270" s="120"/>
      <c r="H2270" s="101"/>
      <c r="I2270" s="93"/>
      <c r="J2270" s="91"/>
      <c r="L2270" s="94" t="str">
        <f t="shared" si="2"/>
        <v>No infirmation</v>
      </c>
      <c r="M2270" s="94" t="str">
        <f t="shared" si="3"/>
        <v/>
      </c>
    </row>
    <row r="2271" ht="15.75" customHeight="1">
      <c r="B2271" s="77">
        <f t="shared" si="1"/>
        <v>0</v>
      </c>
      <c r="C2271" s="67"/>
      <c r="D2271" s="78"/>
      <c r="E2271" s="101"/>
      <c r="F2271" s="108"/>
      <c r="G2271" s="120"/>
      <c r="H2271" s="101"/>
      <c r="I2271" s="93"/>
      <c r="J2271" s="91"/>
      <c r="L2271" s="94" t="str">
        <f t="shared" si="2"/>
        <v>No infirmation</v>
      </c>
      <c r="M2271" s="94" t="str">
        <f t="shared" si="3"/>
        <v/>
      </c>
    </row>
    <row r="2272" ht="15.75" customHeight="1">
      <c r="B2272" s="77">
        <f t="shared" si="1"/>
        <v>0</v>
      </c>
      <c r="C2272" s="67"/>
      <c r="D2272" s="78"/>
      <c r="E2272" s="101"/>
      <c r="F2272" s="108"/>
      <c r="G2272" s="120"/>
      <c r="H2272" s="101"/>
      <c r="I2272" s="93"/>
      <c r="J2272" s="91"/>
      <c r="L2272" s="94" t="str">
        <f t="shared" si="2"/>
        <v>No infirmation</v>
      </c>
      <c r="M2272" s="94" t="str">
        <f t="shared" si="3"/>
        <v/>
      </c>
    </row>
    <row r="2273" ht="15.75" customHeight="1">
      <c r="B2273" s="77">
        <f t="shared" si="1"/>
        <v>0</v>
      </c>
      <c r="C2273" s="67"/>
      <c r="D2273" s="78"/>
      <c r="E2273" s="101"/>
      <c r="F2273" s="108"/>
      <c r="G2273" s="120"/>
      <c r="H2273" s="101"/>
      <c r="I2273" s="93"/>
      <c r="J2273" s="91"/>
      <c r="L2273" s="94" t="str">
        <f t="shared" si="2"/>
        <v>No infirmation</v>
      </c>
      <c r="M2273" s="94" t="str">
        <f t="shared" si="3"/>
        <v/>
      </c>
    </row>
    <row r="2274" ht="15.75" customHeight="1">
      <c r="B2274" s="77">
        <f t="shared" si="1"/>
        <v>0</v>
      </c>
      <c r="C2274" s="67"/>
      <c r="D2274" s="78"/>
      <c r="E2274" s="101"/>
      <c r="F2274" s="108"/>
      <c r="G2274" s="120"/>
      <c r="H2274" s="101"/>
      <c r="I2274" s="93"/>
      <c r="J2274" s="91"/>
      <c r="L2274" s="94" t="str">
        <f t="shared" si="2"/>
        <v>No infirmation</v>
      </c>
      <c r="M2274" s="94" t="str">
        <f t="shared" si="3"/>
        <v/>
      </c>
    </row>
    <row r="2275" ht="15.75" customHeight="1">
      <c r="B2275" s="77">
        <f t="shared" si="1"/>
        <v>0</v>
      </c>
      <c r="C2275" s="67"/>
      <c r="D2275" s="78"/>
      <c r="E2275" s="101"/>
      <c r="F2275" s="108"/>
      <c r="G2275" s="120"/>
      <c r="H2275" s="101"/>
      <c r="I2275" s="93"/>
      <c r="J2275" s="91"/>
      <c r="L2275" s="94" t="str">
        <f t="shared" si="2"/>
        <v>No infirmation</v>
      </c>
      <c r="M2275" s="94" t="str">
        <f t="shared" si="3"/>
        <v/>
      </c>
    </row>
    <row r="2276" ht="15.75" customHeight="1">
      <c r="B2276" s="77">
        <f t="shared" si="1"/>
        <v>0</v>
      </c>
      <c r="C2276" s="67"/>
      <c r="D2276" s="78"/>
      <c r="E2276" s="101"/>
      <c r="F2276" s="108"/>
      <c r="G2276" s="120"/>
      <c r="H2276" s="101"/>
      <c r="I2276" s="93"/>
      <c r="J2276" s="91"/>
      <c r="L2276" s="94" t="str">
        <f t="shared" si="2"/>
        <v>No infirmation</v>
      </c>
      <c r="M2276" s="94" t="str">
        <f t="shared" si="3"/>
        <v/>
      </c>
    </row>
    <row r="2277" ht="15.75" customHeight="1">
      <c r="B2277" s="77">
        <f t="shared" si="1"/>
        <v>0</v>
      </c>
      <c r="C2277" s="67"/>
      <c r="D2277" s="78"/>
      <c r="E2277" s="101"/>
      <c r="F2277" s="108"/>
      <c r="G2277" s="120"/>
      <c r="H2277" s="101"/>
      <c r="I2277" s="93"/>
      <c r="J2277" s="91"/>
      <c r="L2277" s="94" t="str">
        <f t="shared" si="2"/>
        <v>No infirmation</v>
      </c>
      <c r="M2277" s="94" t="str">
        <f t="shared" si="3"/>
        <v/>
      </c>
    </row>
    <row r="2278" ht="15.75" customHeight="1">
      <c r="B2278" s="77">
        <f t="shared" si="1"/>
        <v>0</v>
      </c>
      <c r="C2278" s="67"/>
      <c r="D2278" s="78"/>
      <c r="E2278" s="101"/>
      <c r="F2278" s="108"/>
      <c r="G2278" s="120"/>
      <c r="H2278" s="101"/>
      <c r="I2278" s="93"/>
      <c r="J2278" s="91"/>
      <c r="L2278" s="94" t="str">
        <f t="shared" si="2"/>
        <v>No infirmation</v>
      </c>
      <c r="M2278" s="94" t="str">
        <f t="shared" si="3"/>
        <v/>
      </c>
    </row>
    <row r="2279" ht="15.75" customHeight="1">
      <c r="B2279" s="77">
        <f t="shared" si="1"/>
        <v>0</v>
      </c>
      <c r="C2279" s="67"/>
      <c r="D2279" s="78"/>
      <c r="E2279" s="101"/>
      <c r="F2279" s="108"/>
      <c r="G2279" s="120"/>
      <c r="H2279" s="101"/>
      <c r="I2279" s="93"/>
      <c r="J2279" s="91"/>
      <c r="L2279" s="94" t="str">
        <f t="shared" si="2"/>
        <v>No infirmation</v>
      </c>
      <c r="M2279" s="94" t="str">
        <f t="shared" si="3"/>
        <v/>
      </c>
    </row>
    <row r="2280" ht="15.75" customHeight="1">
      <c r="B2280" s="77">
        <f t="shared" si="1"/>
        <v>0</v>
      </c>
      <c r="C2280" s="67"/>
      <c r="D2280" s="78"/>
      <c r="E2280" s="101"/>
      <c r="F2280" s="108"/>
      <c r="G2280" s="120"/>
      <c r="H2280" s="101"/>
      <c r="I2280" s="93"/>
      <c r="J2280" s="91"/>
      <c r="L2280" s="94" t="str">
        <f t="shared" si="2"/>
        <v>No infirmation</v>
      </c>
      <c r="M2280" s="94" t="str">
        <f t="shared" si="3"/>
        <v/>
      </c>
    </row>
    <row r="2281" ht="15.75" customHeight="1">
      <c r="B2281" s="77">
        <f t="shared" si="1"/>
        <v>0</v>
      </c>
      <c r="C2281" s="67"/>
      <c r="D2281" s="78"/>
      <c r="E2281" s="101"/>
      <c r="F2281" s="108"/>
      <c r="G2281" s="120"/>
      <c r="H2281" s="101"/>
      <c r="I2281" s="93"/>
      <c r="J2281" s="91"/>
      <c r="L2281" s="94" t="str">
        <f t="shared" si="2"/>
        <v>No infirmation</v>
      </c>
      <c r="M2281" s="94" t="str">
        <f t="shared" si="3"/>
        <v/>
      </c>
    </row>
    <row r="2282" ht="15.75" customHeight="1">
      <c r="B2282" s="77">
        <f t="shared" si="1"/>
        <v>0</v>
      </c>
      <c r="C2282" s="67"/>
      <c r="D2282" s="78"/>
      <c r="E2282" s="101"/>
      <c r="F2282" s="108"/>
      <c r="G2282" s="120"/>
      <c r="H2282" s="101"/>
      <c r="I2282" s="93"/>
      <c r="J2282" s="91"/>
      <c r="L2282" s="94" t="str">
        <f t="shared" si="2"/>
        <v>No infirmation</v>
      </c>
      <c r="M2282" s="94" t="str">
        <f t="shared" si="3"/>
        <v/>
      </c>
    </row>
    <row r="2283" ht="15.75" customHeight="1">
      <c r="B2283" s="77">
        <f t="shared" si="1"/>
        <v>0</v>
      </c>
      <c r="C2283" s="67"/>
      <c r="D2283" s="78"/>
      <c r="E2283" s="101"/>
      <c r="F2283" s="108"/>
      <c r="G2283" s="120"/>
      <c r="H2283" s="101"/>
      <c r="I2283" s="93"/>
      <c r="J2283" s="91"/>
      <c r="L2283" s="94" t="str">
        <f t="shared" si="2"/>
        <v>No infirmation</v>
      </c>
      <c r="M2283" s="94" t="str">
        <f t="shared" si="3"/>
        <v/>
      </c>
    </row>
    <row r="2284" ht="15.75" customHeight="1">
      <c r="B2284" s="77">
        <f t="shared" si="1"/>
        <v>0</v>
      </c>
      <c r="C2284" s="67"/>
      <c r="D2284" s="78"/>
      <c r="E2284" s="101"/>
      <c r="F2284" s="108"/>
      <c r="G2284" s="120"/>
      <c r="H2284" s="101"/>
      <c r="I2284" s="93"/>
      <c r="J2284" s="91"/>
      <c r="L2284" s="94" t="str">
        <f t="shared" si="2"/>
        <v>No infirmation</v>
      </c>
      <c r="M2284" s="94" t="str">
        <f t="shared" si="3"/>
        <v/>
      </c>
    </row>
    <row r="2285" ht="15.75" customHeight="1">
      <c r="B2285" s="77">
        <f t="shared" si="1"/>
        <v>0</v>
      </c>
      <c r="C2285" s="67"/>
      <c r="D2285" s="78"/>
      <c r="E2285" s="101"/>
      <c r="F2285" s="108"/>
      <c r="G2285" s="120"/>
      <c r="H2285" s="101"/>
      <c r="I2285" s="93"/>
      <c r="J2285" s="91"/>
      <c r="L2285" s="94" t="str">
        <f t="shared" si="2"/>
        <v>No infirmation</v>
      </c>
      <c r="M2285" s="94" t="str">
        <f t="shared" si="3"/>
        <v/>
      </c>
    </row>
    <row r="2286" ht="15.75" customHeight="1">
      <c r="B2286" s="77">
        <f t="shared" si="1"/>
        <v>0</v>
      </c>
      <c r="C2286" s="67"/>
      <c r="D2286" s="78"/>
      <c r="E2286" s="101"/>
      <c r="F2286" s="108"/>
      <c r="G2286" s="120"/>
      <c r="H2286" s="101"/>
      <c r="I2286" s="93"/>
      <c r="J2286" s="91"/>
      <c r="L2286" s="94" t="str">
        <f t="shared" si="2"/>
        <v>No infirmation</v>
      </c>
      <c r="M2286" s="94" t="str">
        <f t="shared" si="3"/>
        <v/>
      </c>
    </row>
    <row r="2287" ht="15.75" customHeight="1">
      <c r="B2287" s="77">
        <f t="shared" si="1"/>
        <v>0</v>
      </c>
      <c r="C2287" s="67"/>
      <c r="D2287" s="78"/>
      <c r="E2287" s="101"/>
      <c r="F2287" s="108"/>
      <c r="G2287" s="120"/>
      <c r="H2287" s="101"/>
      <c r="I2287" s="93"/>
      <c r="J2287" s="91"/>
      <c r="L2287" s="94" t="str">
        <f t="shared" si="2"/>
        <v>No infirmation</v>
      </c>
      <c r="M2287" s="94" t="str">
        <f t="shared" si="3"/>
        <v/>
      </c>
    </row>
    <row r="2288" ht="15.75" customHeight="1">
      <c r="B2288" s="77">
        <f t="shared" si="1"/>
        <v>0</v>
      </c>
      <c r="C2288" s="67"/>
      <c r="D2288" s="78"/>
      <c r="E2288" s="101"/>
      <c r="F2288" s="108"/>
      <c r="G2288" s="120"/>
      <c r="H2288" s="101"/>
      <c r="I2288" s="93"/>
      <c r="J2288" s="91"/>
      <c r="L2288" s="94" t="str">
        <f t="shared" si="2"/>
        <v>No infirmation</v>
      </c>
      <c r="M2288" s="94" t="str">
        <f t="shared" si="3"/>
        <v/>
      </c>
    </row>
    <row r="2289" ht="15.75" customHeight="1">
      <c r="B2289" s="77">
        <f t="shared" si="1"/>
        <v>0</v>
      </c>
      <c r="C2289" s="67"/>
      <c r="D2289" s="78"/>
      <c r="E2289" s="101"/>
      <c r="F2289" s="108"/>
      <c r="G2289" s="120"/>
      <c r="H2289" s="101"/>
      <c r="I2289" s="93"/>
      <c r="J2289" s="91"/>
      <c r="L2289" s="94" t="str">
        <f t="shared" si="2"/>
        <v>No infirmation</v>
      </c>
      <c r="M2289" s="94" t="str">
        <f t="shared" si="3"/>
        <v/>
      </c>
    </row>
    <row r="2290" ht="15.75" customHeight="1">
      <c r="B2290" s="77">
        <f t="shared" si="1"/>
        <v>0</v>
      </c>
      <c r="C2290" s="67"/>
      <c r="D2290" s="78"/>
      <c r="E2290" s="101"/>
      <c r="F2290" s="108"/>
      <c r="G2290" s="120"/>
      <c r="H2290" s="101"/>
      <c r="I2290" s="93"/>
      <c r="J2290" s="91"/>
      <c r="L2290" s="94" t="str">
        <f t="shared" si="2"/>
        <v>No infirmation</v>
      </c>
      <c r="M2290" s="94" t="str">
        <f t="shared" si="3"/>
        <v/>
      </c>
    </row>
    <row r="2291" ht="15.75" customHeight="1">
      <c r="B2291" s="77">
        <f t="shared" si="1"/>
        <v>0</v>
      </c>
      <c r="C2291" s="67"/>
      <c r="D2291" s="78"/>
      <c r="E2291" s="101"/>
      <c r="F2291" s="108"/>
      <c r="G2291" s="120"/>
      <c r="H2291" s="101"/>
      <c r="I2291" s="93"/>
      <c r="J2291" s="91"/>
      <c r="L2291" s="94" t="str">
        <f t="shared" si="2"/>
        <v>No infirmation</v>
      </c>
      <c r="M2291" s="94" t="str">
        <f t="shared" si="3"/>
        <v/>
      </c>
    </row>
    <row r="2292" ht="15.75" customHeight="1">
      <c r="B2292" s="77">
        <f t="shared" si="1"/>
        <v>0</v>
      </c>
      <c r="C2292" s="67"/>
      <c r="D2292" s="78"/>
      <c r="E2292" s="101"/>
      <c r="F2292" s="108"/>
      <c r="G2292" s="120"/>
      <c r="H2292" s="101"/>
      <c r="I2292" s="93"/>
      <c r="J2292" s="91"/>
      <c r="L2292" s="94" t="str">
        <f t="shared" si="2"/>
        <v>No infirmation</v>
      </c>
      <c r="M2292" s="94" t="str">
        <f t="shared" si="3"/>
        <v/>
      </c>
    </row>
    <row r="2293" ht="15.75" customHeight="1">
      <c r="B2293" s="77">
        <f t="shared" si="1"/>
        <v>0</v>
      </c>
      <c r="C2293" s="67"/>
      <c r="D2293" s="78"/>
      <c r="E2293" s="101"/>
      <c r="F2293" s="108"/>
      <c r="G2293" s="120"/>
      <c r="H2293" s="101"/>
      <c r="I2293" s="93"/>
      <c r="J2293" s="91"/>
      <c r="L2293" s="94" t="str">
        <f t="shared" si="2"/>
        <v>No infirmation</v>
      </c>
      <c r="M2293" s="94" t="str">
        <f t="shared" si="3"/>
        <v/>
      </c>
    </row>
    <row r="2294" ht="15.75" customHeight="1">
      <c r="B2294" s="77">
        <f t="shared" si="1"/>
        <v>0</v>
      </c>
      <c r="C2294" s="67"/>
      <c r="D2294" s="78"/>
      <c r="E2294" s="101"/>
      <c r="F2294" s="108"/>
      <c r="G2294" s="120"/>
      <c r="H2294" s="101"/>
      <c r="I2294" s="93"/>
      <c r="J2294" s="91"/>
      <c r="L2294" s="94" t="str">
        <f t="shared" si="2"/>
        <v>No infirmation</v>
      </c>
      <c r="M2294" s="94" t="str">
        <f t="shared" si="3"/>
        <v/>
      </c>
    </row>
    <row r="2295" ht="15.75" customHeight="1">
      <c r="B2295" s="77">
        <f t="shared" si="1"/>
        <v>0</v>
      </c>
      <c r="C2295" s="67"/>
      <c r="D2295" s="78"/>
      <c r="E2295" s="101"/>
      <c r="F2295" s="108"/>
      <c r="G2295" s="120"/>
      <c r="H2295" s="101"/>
      <c r="I2295" s="93"/>
      <c r="J2295" s="91"/>
      <c r="L2295" s="94" t="str">
        <f t="shared" si="2"/>
        <v>No infirmation</v>
      </c>
      <c r="M2295" s="94" t="str">
        <f t="shared" si="3"/>
        <v/>
      </c>
    </row>
    <row r="2296" ht="15.75" customHeight="1">
      <c r="B2296" s="77">
        <f t="shared" si="1"/>
        <v>0</v>
      </c>
      <c r="C2296" s="67"/>
      <c r="D2296" s="78"/>
      <c r="E2296" s="101"/>
      <c r="F2296" s="108"/>
      <c r="G2296" s="120"/>
      <c r="H2296" s="101"/>
      <c r="I2296" s="93"/>
      <c r="J2296" s="91"/>
      <c r="L2296" s="94" t="str">
        <f t="shared" si="2"/>
        <v>No infirmation</v>
      </c>
      <c r="M2296" s="94" t="str">
        <f t="shared" si="3"/>
        <v/>
      </c>
    </row>
    <row r="2297" ht="15.75" customHeight="1">
      <c r="B2297" s="77">
        <f t="shared" si="1"/>
        <v>0</v>
      </c>
      <c r="C2297" s="67"/>
      <c r="D2297" s="78"/>
      <c r="E2297" s="101"/>
      <c r="F2297" s="108"/>
      <c r="G2297" s="120"/>
      <c r="H2297" s="101"/>
      <c r="I2297" s="93"/>
      <c r="J2297" s="91"/>
      <c r="L2297" s="94" t="str">
        <f t="shared" si="2"/>
        <v>No infirmation</v>
      </c>
      <c r="M2297" s="94" t="str">
        <f t="shared" si="3"/>
        <v/>
      </c>
    </row>
    <row r="2298" ht="15.75" customHeight="1">
      <c r="B2298" s="77">
        <f t="shared" si="1"/>
        <v>0</v>
      </c>
      <c r="C2298" s="67"/>
      <c r="D2298" s="78"/>
      <c r="E2298" s="101"/>
      <c r="F2298" s="108"/>
      <c r="G2298" s="120"/>
      <c r="H2298" s="101"/>
      <c r="I2298" s="93"/>
      <c r="J2298" s="91"/>
      <c r="L2298" s="94" t="str">
        <f t="shared" si="2"/>
        <v>No infirmation</v>
      </c>
      <c r="M2298" s="94" t="str">
        <f t="shared" si="3"/>
        <v/>
      </c>
    </row>
    <row r="2299" ht="15.75" customHeight="1">
      <c r="B2299" s="77">
        <f t="shared" si="1"/>
        <v>0</v>
      </c>
      <c r="C2299" s="67"/>
      <c r="D2299" s="78"/>
      <c r="E2299" s="101"/>
      <c r="F2299" s="108"/>
      <c r="G2299" s="120"/>
      <c r="H2299" s="101"/>
      <c r="I2299" s="93"/>
      <c r="J2299" s="91"/>
      <c r="L2299" s="94" t="str">
        <f t="shared" si="2"/>
        <v>No infirmation</v>
      </c>
      <c r="M2299" s="94" t="str">
        <f t="shared" si="3"/>
        <v/>
      </c>
    </row>
    <row r="2300" ht="15.75" customHeight="1">
      <c r="B2300" s="77">
        <f t="shared" si="1"/>
        <v>0</v>
      </c>
      <c r="C2300" s="67"/>
      <c r="D2300" s="78"/>
      <c r="E2300" s="101"/>
      <c r="F2300" s="108"/>
      <c r="G2300" s="120"/>
      <c r="H2300" s="101"/>
      <c r="I2300" s="93"/>
      <c r="J2300" s="91"/>
      <c r="L2300" s="94" t="str">
        <f t="shared" si="2"/>
        <v>No infirmation</v>
      </c>
      <c r="M2300" s="94" t="str">
        <f t="shared" si="3"/>
        <v/>
      </c>
    </row>
    <row r="2301" ht="15.75" customHeight="1">
      <c r="B2301" s="77">
        <f t="shared" si="1"/>
        <v>0</v>
      </c>
      <c r="C2301" s="67"/>
      <c r="D2301" s="78"/>
      <c r="E2301" s="101"/>
      <c r="F2301" s="108"/>
      <c r="G2301" s="120"/>
      <c r="H2301" s="101"/>
      <c r="I2301" s="93"/>
      <c r="J2301" s="91"/>
      <c r="L2301" s="94" t="str">
        <f t="shared" si="2"/>
        <v>No infirmation</v>
      </c>
      <c r="M2301" s="94" t="str">
        <f t="shared" si="3"/>
        <v/>
      </c>
    </row>
    <row r="2302" ht="15.75" customHeight="1">
      <c r="B2302" s="77">
        <f t="shared" si="1"/>
        <v>0</v>
      </c>
      <c r="C2302" s="67"/>
      <c r="D2302" s="78"/>
      <c r="E2302" s="101"/>
      <c r="F2302" s="108"/>
      <c r="G2302" s="120"/>
      <c r="H2302" s="101"/>
      <c r="I2302" s="93"/>
      <c r="J2302" s="91"/>
      <c r="L2302" s="94" t="str">
        <f t="shared" si="2"/>
        <v>No infirmation</v>
      </c>
      <c r="M2302" s="94" t="str">
        <f t="shared" si="3"/>
        <v/>
      </c>
    </row>
    <row r="2303" ht="15.75" customHeight="1">
      <c r="B2303" s="77">
        <f t="shared" si="1"/>
        <v>0</v>
      </c>
      <c r="C2303" s="67"/>
      <c r="D2303" s="78"/>
      <c r="E2303" s="101"/>
      <c r="F2303" s="108"/>
      <c r="G2303" s="120"/>
      <c r="H2303" s="101"/>
      <c r="I2303" s="93"/>
      <c r="J2303" s="91"/>
      <c r="L2303" s="94" t="str">
        <f t="shared" si="2"/>
        <v>No infirmation</v>
      </c>
      <c r="M2303" s="94" t="str">
        <f t="shared" si="3"/>
        <v/>
      </c>
    </row>
    <row r="2304" ht="15.75" customHeight="1">
      <c r="B2304" s="77">
        <f t="shared" si="1"/>
        <v>0</v>
      </c>
      <c r="C2304" s="67"/>
      <c r="D2304" s="78"/>
      <c r="E2304" s="101"/>
      <c r="F2304" s="108"/>
      <c r="G2304" s="120"/>
      <c r="H2304" s="101"/>
      <c r="I2304" s="93"/>
      <c r="J2304" s="91"/>
      <c r="L2304" s="94" t="str">
        <f t="shared" si="2"/>
        <v>No infirmation</v>
      </c>
      <c r="M2304" s="94" t="str">
        <f t="shared" si="3"/>
        <v/>
      </c>
    </row>
    <row r="2305" ht="15.75" customHeight="1">
      <c r="B2305" s="77">
        <f t="shared" si="1"/>
        <v>0</v>
      </c>
      <c r="C2305" s="67"/>
      <c r="D2305" s="78"/>
      <c r="E2305" s="101"/>
      <c r="F2305" s="108"/>
      <c r="G2305" s="120"/>
      <c r="H2305" s="101"/>
      <c r="I2305" s="93"/>
      <c r="J2305" s="91"/>
      <c r="L2305" s="94" t="str">
        <f t="shared" si="2"/>
        <v>No infirmation</v>
      </c>
      <c r="M2305" s="94" t="str">
        <f t="shared" si="3"/>
        <v/>
      </c>
    </row>
    <row r="2306" ht="15.75" customHeight="1">
      <c r="B2306" s="77">
        <f t="shared" si="1"/>
        <v>0</v>
      </c>
      <c r="C2306" s="67"/>
      <c r="D2306" s="78"/>
      <c r="E2306" s="101"/>
      <c r="F2306" s="108"/>
      <c r="G2306" s="120"/>
      <c r="H2306" s="101"/>
      <c r="I2306" s="93"/>
      <c r="J2306" s="91"/>
      <c r="L2306" s="94" t="str">
        <f t="shared" si="2"/>
        <v>No infirmation</v>
      </c>
      <c r="M2306" s="94" t="str">
        <f t="shared" si="3"/>
        <v/>
      </c>
    </row>
    <row r="2307" ht="15.75" customHeight="1">
      <c r="B2307" s="77">
        <f t="shared" si="1"/>
        <v>0</v>
      </c>
      <c r="C2307" s="67"/>
      <c r="D2307" s="78"/>
      <c r="E2307" s="101"/>
      <c r="F2307" s="108"/>
      <c r="G2307" s="120"/>
      <c r="H2307" s="101"/>
      <c r="I2307" s="93"/>
      <c r="J2307" s="91"/>
      <c r="L2307" s="94" t="str">
        <f t="shared" si="2"/>
        <v>No infirmation</v>
      </c>
      <c r="M2307" s="94" t="str">
        <f t="shared" si="3"/>
        <v/>
      </c>
    </row>
    <row r="2308" ht="15.75" customHeight="1">
      <c r="B2308" s="77">
        <f t="shared" si="1"/>
        <v>0</v>
      </c>
      <c r="C2308" s="67"/>
      <c r="D2308" s="78"/>
      <c r="E2308" s="101"/>
      <c r="F2308" s="108"/>
      <c r="G2308" s="120"/>
      <c r="H2308" s="101"/>
      <c r="I2308" s="93"/>
      <c r="J2308" s="91"/>
      <c r="L2308" s="94" t="str">
        <f t="shared" si="2"/>
        <v>No infirmation</v>
      </c>
      <c r="M2308" s="94" t="str">
        <f t="shared" si="3"/>
        <v/>
      </c>
    </row>
    <row r="2309" ht="15.75" customHeight="1">
      <c r="B2309" s="77">
        <f t="shared" si="1"/>
        <v>0</v>
      </c>
      <c r="C2309" s="67"/>
      <c r="D2309" s="78"/>
      <c r="E2309" s="101"/>
      <c r="F2309" s="108"/>
      <c r="G2309" s="120"/>
      <c r="H2309" s="101"/>
      <c r="I2309" s="93"/>
      <c r="J2309" s="91"/>
      <c r="L2309" s="94" t="str">
        <f t="shared" si="2"/>
        <v>No infirmation</v>
      </c>
      <c r="M2309" s="94" t="str">
        <f t="shared" si="3"/>
        <v/>
      </c>
    </row>
    <row r="2310" ht="15.75" customHeight="1">
      <c r="B2310" s="77">
        <f t="shared" si="1"/>
        <v>0</v>
      </c>
      <c r="C2310" s="67"/>
      <c r="D2310" s="78"/>
      <c r="E2310" s="101"/>
      <c r="F2310" s="108"/>
      <c r="G2310" s="120"/>
      <c r="H2310" s="101"/>
      <c r="I2310" s="93"/>
      <c r="J2310" s="91"/>
      <c r="L2310" s="94" t="str">
        <f t="shared" si="2"/>
        <v>No infirmation</v>
      </c>
      <c r="M2310" s="94" t="str">
        <f t="shared" si="3"/>
        <v/>
      </c>
    </row>
    <row r="2311" ht="15.75" customHeight="1">
      <c r="B2311" s="77">
        <f t="shared" si="1"/>
        <v>0</v>
      </c>
      <c r="C2311" s="67"/>
      <c r="D2311" s="78"/>
      <c r="E2311" s="101"/>
      <c r="F2311" s="108"/>
      <c r="G2311" s="120"/>
      <c r="H2311" s="101"/>
      <c r="I2311" s="93"/>
      <c r="J2311" s="91"/>
      <c r="L2311" s="94" t="str">
        <f t="shared" si="2"/>
        <v>No infirmation</v>
      </c>
      <c r="M2311" s="94" t="str">
        <f t="shared" si="3"/>
        <v/>
      </c>
    </row>
    <row r="2312" ht="15.75" customHeight="1">
      <c r="B2312" s="77">
        <f t="shared" si="1"/>
        <v>0</v>
      </c>
      <c r="C2312" s="67"/>
      <c r="D2312" s="78"/>
      <c r="E2312" s="101"/>
      <c r="F2312" s="108"/>
      <c r="G2312" s="120"/>
      <c r="H2312" s="101"/>
      <c r="I2312" s="93"/>
      <c r="J2312" s="91"/>
      <c r="L2312" s="94" t="str">
        <f t="shared" si="2"/>
        <v>No infirmation</v>
      </c>
      <c r="M2312" s="94" t="str">
        <f t="shared" si="3"/>
        <v/>
      </c>
    </row>
    <row r="2313" ht="15.75" customHeight="1">
      <c r="B2313" s="77">
        <f t="shared" si="1"/>
        <v>0</v>
      </c>
      <c r="C2313" s="67"/>
      <c r="D2313" s="78"/>
      <c r="E2313" s="101"/>
      <c r="F2313" s="108"/>
      <c r="G2313" s="120"/>
      <c r="H2313" s="101"/>
      <c r="I2313" s="93"/>
      <c r="J2313" s="91"/>
      <c r="L2313" s="94" t="str">
        <f t="shared" si="2"/>
        <v>No infirmation</v>
      </c>
      <c r="M2313" s="94" t="str">
        <f t="shared" si="3"/>
        <v/>
      </c>
    </row>
    <row r="2314" ht="15.75" customHeight="1">
      <c r="B2314" s="77">
        <f t="shared" si="1"/>
        <v>0</v>
      </c>
      <c r="C2314" s="67"/>
      <c r="D2314" s="78"/>
      <c r="E2314" s="101"/>
      <c r="F2314" s="108"/>
      <c r="G2314" s="120"/>
      <c r="H2314" s="101"/>
      <c r="I2314" s="93"/>
      <c r="J2314" s="91"/>
      <c r="L2314" s="94" t="str">
        <f t="shared" si="2"/>
        <v>No infirmation</v>
      </c>
      <c r="M2314" s="94" t="str">
        <f t="shared" si="3"/>
        <v/>
      </c>
    </row>
    <row r="2315" ht="15.75" customHeight="1">
      <c r="B2315" s="77">
        <f t="shared" si="1"/>
        <v>0</v>
      </c>
      <c r="C2315" s="67"/>
      <c r="D2315" s="78"/>
      <c r="E2315" s="101"/>
      <c r="F2315" s="108"/>
      <c r="G2315" s="120"/>
      <c r="H2315" s="101"/>
      <c r="I2315" s="93"/>
      <c r="J2315" s="91"/>
      <c r="L2315" s="94" t="str">
        <f t="shared" si="2"/>
        <v>No infirmation</v>
      </c>
      <c r="M2315" s="94" t="str">
        <f t="shared" si="3"/>
        <v/>
      </c>
    </row>
    <row r="2316" ht="15.75" customHeight="1">
      <c r="B2316" s="77">
        <f t="shared" si="1"/>
        <v>0</v>
      </c>
      <c r="C2316" s="67"/>
      <c r="D2316" s="78"/>
      <c r="E2316" s="101"/>
      <c r="F2316" s="108"/>
      <c r="G2316" s="120"/>
      <c r="H2316" s="101"/>
      <c r="I2316" s="93"/>
      <c r="J2316" s="91"/>
      <c r="L2316" s="94" t="str">
        <f t="shared" si="2"/>
        <v>No infirmation</v>
      </c>
      <c r="M2316" s="94" t="str">
        <f t="shared" si="3"/>
        <v/>
      </c>
    </row>
    <row r="2317" ht="15.75" customHeight="1">
      <c r="B2317" s="77">
        <f t="shared" si="1"/>
        <v>0</v>
      </c>
      <c r="C2317" s="67"/>
      <c r="D2317" s="78"/>
      <c r="E2317" s="101"/>
      <c r="F2317" s="108"/>
      <c r="G2317" s="120"/>
      <c r="H2317" s="101"/>
      <c r="I2317" s="93"/>
      <c r="J2317" s="91"/>
      <c r="L2317" s="94" t="str">
        <f t="shared" si="2"/>
        <v>No infirmation</v>
      </c>
      <c r="M2317" s="94" t="str">
        <f t="shared" si="3"/>
        <v/>
      </c>
    </row>
    <row r="2318" ht="15.75" customHeight="1">
      <c r="B2318" s="77">
        <f t="shared" si="1"/>
        <v>0</v>
      </c>
      <c r="C2318" s="67"/>
      <c r="D2318" s="78"/>
      <c r="E2318" s="101"/>
      <c r="F2318" s="108"/>
      <c r="G2318" s="120"/>
      <c r="H2318" s="101"/>
      <c r="I2318" s="93"/>
      <c r="J2318" s="91"/>
      <c r="L2318" s="94" t="str">
        <f t="shared" si="2"/>
        <v>No infirmation</v>
      </c>
      <c r="M2318" s="94" t="str">
        <f t="shared" si="3"/>
        <v/>
      </c>
    </row>
    <row r="2319" ht="15.75" customHeight="1">
      <c r="B2319" s="77">
        <f t="shared" si="1"/>
        <v>0</v>
      </c>
      <c r="C2319" s="67"/>
      <c r="D2319" s="78"/>
      <c r="E2319" s="101"/>
      <c r="F2319" s="108"/>
      <c r="G2319" s="120"/>
      <c r="H2319" s="101"/>
      <c r="I2319" s="93"/>
      <c r="J2319" s="91"/>
      <c r="L2319" s="94" t="str">
        <f t="shared" si="2"/>
        <v>No infirmation</v>
      </c>
      <c r="M2319" s="94" t="str">
        <f t="shared" si="3"/>
        <v/>
      </c>
    </row>
    <row r="2320" ht="15.75" customHeight="1">
      <c r="B2320" s="77">
        <f t="shared" si="1"/>
        <v>0</v>
      </c>
      <c r="C2320" s="67"/>
      <c r="D2320" s="78"/>
      <c r="E2320" s="101"/>
      <c r="F2320" s="108"/>
      <c r="G2320" s="120"/>
      <c r="H2320" s="101"/>
      <c r="I2320" s="93"/>
      <c r="J2320" s="91"/>
      <c r="L2320" s="94" t="str">
        <f t="shared" si="2"/>
        <v>No infirmation</v>
      </c>
      <c r="M2320" s="94" t="str">
        <f t="shared" si="3"/>
        <v/>
      </c>
    </row>
    <row r="2321" ht="15.75" customHeight="1">
      <c r="B2321" s="77">
        <f t="shared" si="1"/>
        <v>0</v>
      </c>
      <c r="C2321" s="67"/>
      <c r="D2321" s="78"/>
      <c r="E2321" s="101"/>
      <c r="F2321" s="108"/>
      <c r="G2321" s="120"/>
      <c r="H2321" s="101"/>
      <c r="I2321" s="93"/>
      <c r="J2321" s="91"/>
      <c r="L2321" s="94" t="str">
        <f t="shared" si="2"/>
        <v>No infirmation</v>
      </c>
      <c r="M2321" s="94" t="str">
        <f t="shared" si="3"/>
        <v/>
      </c>
    </row>
    <row r="2322" ht="15.75" customHeight="1">
      <c r="B2322" s="77">
        <f t="shared" si="1"/>
        <v>0</v>
      </c>
      <c r="C2322" s="67"/>
      <c r="D2322" s="78"/>
      <c r="E2322" s="101"/>
      <c r="F2322" s="108"/>
      <c r="G2322" s="120"/>
      <c r="H2322" s="101"/>
      <c r="I2322" s="93"/>
      <c r="J2322" s="91"/>
      <c r="L2322" s="94" t="str">
        <f t="shared" si="2"/>
        <v>No infirmation</v>
      </c>
      <c r="M2322" s="94" t="str">
        <f t="shared" si="3"/>
        <v/>
      </c>
    </row>
    <row r="2323" ht="15.75" customHeight="1">
      <c r="B2323" s="77">
        <f t="shared" si="1"/>
        <v>0</v>
      </c>
      <c r="C2323" s="67"/>
      <c r="D2323" s="78"/>
      <c r="E2323" s="101"/>
      <c r="F2323" s="108"/>
      <c r="G2323" s="120"/>
      <c r="H2323" s="101"/>
      <c r="I2323" s="93"/>
      <c r="J2323" s="91"/>
      <c r="L2323" s="94" t="str">
        <f t="shared" si="2"/>
        <v>No infirmation</v>
      </c>
      <c r="M2323" s="94" t="str">
        <f t="shared" si="3"/>
        <v/>
      </c>
    </row>
    <row r="2324" ht="15.75" customHeight="1">
      <c r="B2324" s="77">
        <f t="shared" si="1"/>
        <v>0</v>
      </c>
      <c r="C2324" s="67"/>
      <c r="D2324" s="78"/>
      <c r="E2324" s="101"/>
      <c r="F2324" s="108"/>
      <c r="G2324" s="120"/>
      <c r="H2324" s="101"/>
      <c r="I2324" s="93"/>
      <c r="J2324" s="91"/>
      <c r="L2324" s="94" t="str">
        <f t="shared" si="2"/>
        <v>No infirmation</v>
      </c>
      <c r="M2324" s="94" t="str">
        <f t="shared" si="3"/>
        <v/>
      </c>
    </row>
    <row r="2325" ht="15.75" customHeight="1">
      <c r="B2325" s="77">
        <f t="shared" si="1"/>
        <v>0</v>
      </c>
      <c r="C2325" s="67"/>
      <c r="D2325" s="78"/>
      <c r="E2325" s="101"/>
      <c r="F2325" s="108"/>
      <c r="G2325" s="120"/>
      <c r="H2325" s="101"/>
      <c r="I2325" s="93"/>
      <c r="J2325" s="91"/>
      <c r="L2325" s="94" t="str">
        <f t="shared" si="2"/>
        <v>No infirmation</v>
      </c>
      <c r="M2325" s="94" t="str">
        <f t="shared" si="3"/>
        <v/>
      </c>
    </row>
    <row r="2326" ht="15.75" customHeight="1">
      <c r="B2326" s="77">
        <f t="shared" si="1"/>
        <v>0</v>
      </c>
      <c r="C2326" s="67"/>
      <c r="D2326" s="78"/>
      <c r="E2326" s="101"/>
      <c r="F2326" s="108"/>
      <c r="G2326" s="120"/>
      <c r="H2326" s="101"/>
      <c r="I2326" s="93"/>
      <c r="J2326" s="91"/>
      <c r="L2326" s="94" t="str">
        <f t="shared" si="2"/>
        <v>No infirmation</v>
      </c>
      <c r="M2326" s="94" t="str">
        <f t="shared" si="3"/>
        <v/>
      </c>
    </row>
    <row r="2327" ht="15.75" customHeight="1">
      <c r="B2327" s="77">
        <f t="shared" si="1"/>
        <v>0</v>
      </c>
      <c r="C2327" s="67"/>
      <c r="D2327" s="78"/>
      <c r="E2327" s="101"/>
      <c r="F2327" s="108"/>
      <c r="G2327" s="120"/>
      <c r="H2327" s="101"/>
      <c r="I2327" s="93"/>
      <c r="J2327" s="91"/>
      <c r="L2327" s="94" t="str">
        <f t="shared" si="2"/>
        <v>No infirmation</v>
      </c>
      <c r="M2327" s="94" t="str">
        <f t="shared" si="3"/>
        <v/>
      </c>
    </row>
    <row r="2328" ht="15.75" customHeight="1">
      <c r="B2328" s="77">
        <f t="shared" si="1"/>
        <v>0</v>
      </c>
      <c r="C2328" s="67"/>
      <c r="D2328" s="78"/>
      <c r="E2328" s="101"/>
      <c r="F2328" s="108"/>
      <c r="G2328" s="120"/>
      <c r="H2328" s="101"/>
      <c r="I2328" s="93"/>
      <c r="J2328" s="91"/>
      <c r="L2328" s="94" t="str">
        <f t="shared" si="2"/>
        <v>No infirmation</v>
      </c>
      <c r="M2328" s="94" t="str">
        <f t="shared" si="3"/>
        <v/>
      </c>
    </row>
    <row r="2329" ht="15.75" customHeight="1">
      <c r="B2329" s="77">
        <f t="shared" si="1"/>
        <v>0</v>
      </c>
      <c r="C2329" s="67"/>
      <c r="D2329" s="78"/>
      <c r="E2329" s="101"/>
      <c r="F2329" s="108"/>
      <c r="G2329" s="120"/>
      <c r="H2329" s="101"/>
      <c r="I2329" s="93"/>
      <c r="J2329" s="91"/>
      <c r="L2329" s="94" t="str">
        <f t="shared" si="2"/>
        <v>No infirmation</v>
      </c>
      <c r="M2329" s="94" t="str">
        <f t="shared" si="3"/>
        <v/>
      </c>
    </row>
    <row r="2330" ht="15.75" customHeight="1">
      <c r="B2330" s="77">
        <f t="shared" si="1"/>
        <v>0</v>
      </c>
      <c r="C2330" s="67"/>
      <c r="D2330" s="78"/>
      <c r="E2330" s="101"/>
      <c r="F2330" s="108"/>
      <c r="G2330" s="120"/>
      <c r="H2330" s="101"/>
      <c r="I2330" s="93"/>
      <c r="J2330" s="91"/>
      <c r="L2330" s="94" t="str">
        <f t="shared" si="2"/>
        <v>No infirmation</v>
      </c>
      <c r="M2330" s="94" t="str">
        <f t="shared" si="3"/>
        <v/>
      </c>
    </row>
    <row r="2331" ht="15.75" customHeight="1">
      <c r="B2331" s="77">
        <f t="shared" si="1"/>
        <v>0</v>
      </c>
      <c r="C2331" s="67"/>
      <c r="D2331" s="78"/>
      <c r="E2331" s="101"/>
      <c r="F2331" s="108"/>
      <c r="G2331" s="120"/>
      <c r="H2331" s="101"/>
      <c r="I2331" s="93"/>
      <c r="J2331" s="91"/>
      <c r="L2331" s="94" t="str">
        <f t="shared" si="2"/>
        <v>No infirmation</v>
      </c>
      <c r="M2331" s="94" t="str">
        <f t="shared" si="3"/>
        <v/>
      </c>
    </row>
    <row r="2332" ht="15.75" customHeight="1">
      <c r="B2332" s="77">
        <f t="shared" si="1"/>
        <v>0</v>
      </c>
      <c r="C2332" s="67"/>
      <c r="D2332" s="78"/>
      <c r="E2332" s="101"/>
      <c r="F2332" s="108"/>
      <c r="G2332" s="120"/>
      <c r="H2332" s="101"/>
      <c r="I2332" s="93"/>
      <c r="J2332" s="91"/>
      <c r="L2332" s="94" t="str">
        <f t="shared" si="2"/>
        <v>No infirmation</v>
      </c>
      <c r="M2332" s="94" t="str">
        <f t="shared" si="3"/>
        <v/>
      </c>
    </row>
    <row r="2333" ht="15.75" customHeight="1">
      <c r="B2333" s="77">
        <f t="shared" si="1"/>
        <v>0</v>
      </c>
      <c r="C2333" s="67"/>
      <c r="D2333" s="78"/>
      <c r="E2333" s="101"/>
      <c r="F2333" s="108"/>
      <c r="G2333" s="120"/>
      <c r="H2333" s="101"/>
      <c r="I2333" s="93"/>
      <c r="J2333" s="91"/>
      <c r="L2333" s="94" t="str">
        <f t="shared" si="2"/>
        <v>No infirmation</v>
      </c>
      <c r="M2333" s="94" t="str">
        <f t="shared" si="3"/>
        <v/>
      </c>
    </row>
    <row r="2334" ht="15.75" customHeight="1">
      <c r="B2334" s="77">
        <f t="shared" si="1"/>
        <v>0</v>
      </c>
      <c r="C2334" s="67"/>
      <c r="D2334" s="78"/>
      <c r="E2334" s="101"/>
      <c r="F2334" s="108"/>
      <c r="G2334" s="120"/>
      <c r="H2334" s="101"/>
      <c r="I2334" s="93"/>
      <c r="J2334" s="91"/>
      <c r="L2334" s="94" t="str">
        <f t="shared" si="2"/>
        <v>No infirmation</v>
      </c>
      <c r="M2334" s="94" t="str">
        <f t="shared" si="3"/>
        <v/>
      </c>
    </row>
    <row r="2335" ht="15.75" customHeight="1">
      <c r="B2335" s="77">
        <f t="shared" si="1"/>
        <v>0</v>
      </c>
      <c r="C2335" s="67"/>
      <c r="D2335" s="78"/>
      <c r="E2335" s="101"/>
      <c r="F2335" s="108"/>
      <c r="G2335" s="120"/>
      <c r="H2335" s="101"/>
      <c r="I2335" s="93"/>
      <c r="J2335" s="91"/>
      <c r="L2335" s="94" t="str">
        <f t="shared" si="2"/>
        <v>No infirmation</v>
      </c>
      <c r="M2335" s="94" t="str">
        <f t="shared" si="3"/>
        <v/>
      </c>
    </row>
    <row r="2336" ht="15.75" customHeight="1">
      <c r="B2336" s="77">
        <f t="shared" si="1"/>
        <v>0</v>
      </c>
      <c r="C2336" s="67"/>
      <c r="D2336" s="78"/>
      <c r="E2336" s="101"/>
      <c r="F2336" s="108"/>
      <c r="G2336" s="120"/>
      <c r="H2336" s="101"/>
      <c r="I2336" s="93"/>
      <c r="J2336" s="91"/>
      <c r="L2336" s="94" t="str">
        <f t="shared" si="2"/>
        <v>No infirmation</v>
      </c>
      <c r="M2336" s="94" t="str">
        <f t="shared" si="3"/>
        <v/>
      </c>
    </row>
    <row r="2337" ht="15.75" customHeight="1">
      <c r="B2337" s="77">
        <f t="shared" si="1"/>
        <v>0</v>
      </c>
      <c r="C2337" s="67"/>
      <c r="D2337" s="78"/>
      <c r="E2337" s="101"/>
      <c r="F2337" s="108"/>
      <c r="G2337" s="120"/>
      <c r="H2337" s="101"/>
      <c r="I2337" s="93"/>
      <c r="J2337" s="91"/>
      <c r="L2337" s="94" t="str">
        <f t="shared" si="2"/>
        <v>No infirmation</v>
      </c>
      <c r="M2337" s="94" t="str">
        <f t="shared" si="3"/>
        <v/>
      </c>
    </row>
    <row r="2338" ht="15.75" customHeight="1">
      <c r="B2338" s="77">
        <f t="shared" si="1"/>
        <v>0</v>
      </c>
      <c r="C2338" s="67"/>
      <c r="D2338" s="78"/>
      <c r="E2338" s="101"/>
      <c r="F2338" s="108"/>
      <c r="G2338" s="120"/>
      <c r="H2338" s="101"/>
      <c r="I2338" s="93"/>
      <c r="J2338" s="91"/>
      <c r="L2338" s="94" t="str">
        <f t="shared" si="2"/>
        <v>No infirmation</v>
      </c>
      <c r="M2338" s="94" t="str">
        <f t="shared" si="3"/>
        <v/>
      </c>
    </row>
    <row r="2339" ht="15.75" customHeight="1">
      <c r="B2339" s="77">
        <f t="shared" si="1"/>
        <v>0</v>
      </c>
      <c r="C2339" s="67"/>
      <c r="D2339" s="78"/>
      <c r="E2339" s="101"/>
      <c r="F2339" s="108"/>
      <c r="G2339" s="120"/>
      <c r="H2339" s="101"/>
      <c r="I2339" s="93"/>
      <c r="J2339" s="91"/>
      <c r="L2339" s="94" t="str">
        <f t="shared" si="2"/>
        <v>No infirmation</v>
      </c>
      <c r="M2339" s="94" t="str">
        <f t="shared" si="3"/>
        <v/>
      </c>
    </row>
    <row r="2340" ht="15.75" customHeight="1">
      <c r="B2340" s="77">
        <f t="shared" si="1"/>
        <v>0</v>
      </c>
      <c r="C2340" s="67"/>
      <c r="D2340" s="78"/>
      <c r="E2340" s="101"/>
      <c r="F2340" s="108"/>
      <c r="G2340" s="120"/>
      <c r="H2340" s="101"/>
      <c r="I2340" s="93"/>
      <c r="J2340" s="91"/>
      <c r="L2340" s="94" t="str">
        <f t="shared" si="2"/>
        <v>No infirmation</v>
      </c>
      <c r="M2340" s="94" t="str">
        <f t="shared" si="3"/>
        <v/>
      </c>
    </row>
    <row r="2341" ht="15.75" customHeight="1">
      <c r="B2341" s="77">
        <f t="shared" si="1"/>
        <v>0</v>
      </c>
      <c r="C2341" s="67"/>
      <c r="D2341" s="78"/>
      <c r="E2341" s="101"/>
      <c r="F2341" s="108"/>
      <c r="G2341" s="120"/>
      <c r="H2341" s="101"/>
      <c r="I2341" s="93"/>
      <c r="J2341" s="91"/>
      <c r="L2341" s="94" t="str">
        <f t="shared" si="2"/>
        <v>No infirmation</v>
      </c>
      <c r="M2341" s="94" t="str">
        <f t="shared" si="3"/>
        <v/>
      </c>
    </row>
    <row r="2342" ht="15.75" customHeight="1">
      <c r="B2342" s="77">
        <f t="shared" si="1"/>
        <v>0</v>
      </c>
      <c r="C2342" s="67"/>
      <c r="D2342" s="78"/>
      <c r="E2342" s="101"/>
      <c r="F2342" s="108"/>
      <c r="G2342" s="120"/>
      <c r="H2342" s="101"/>
      <c r="I2342" s="93"/>
      <c r="J2342" s="91"/>
      <c r="L2342" s="94" t="str">
        <f t="shared" si="2"/>
        <v>No infirmation</v>
      </c>
      <c r="M2342" s="94" t="str">
        <f t="shared" si="3"/>
        <v/>
      </c>
    </row>
    <row r="2343" ht="15.75" customHeight="1">
      <c r="B2343" s="77">
        <f t="shared" si="1"/>
        <v>0</v>
      </c>
      <c r="C2343" s="67"/>
      <c r="D2343" s="78"/>
      <c r="E2343" s="101"/>
      <c r="F2343" s="108"/>
      <c r="G2343" s="120"/>
      <c r="H2343" s="101"/>
      <c r="I2343" s="93"/>
      <c r="J2343" s="91"/>
      <c r="L2343" s="94" t="str">
        <f t="shared" si="2"/>
        <v>No infirmation</v>
      </c>
      <c r="M2343" s="94" t="str">
        <f t="shared" si="3"/>
        <v/>
      </c>
    </row>
    <row r="2344" ht="15.75" customHeight="1">
      <c r="B2344" s="77">
        <f t="shared" si="1"/>
        <v>0</v>
      </c>
      <c r="C2344" s="67"/>
      <c r="D2344" s="78"/>
      <c r="E2344" s="101"/>
      <c r="F2344" s="108"/>
      <c r="G2344" s="120"/>
      <c r="H2344" s="101"/>
      <c r="I2344" s="93"/>
      <c r="J2344" s="91"/>
      <c r="L2344" s="94" t="str">
        <f t="shared" si="2"/>
        <v>No infirmation</v>
      </c>
      <c r="M2344" s="94" t="str">
        <f t="shared" si="3"/>
        <v/>
      </c>
    </row>
    <row r="2345" ht="15.75" customHeight="1">
      <c r="B2345" s="77">
        <f t="shared" si="1"/>
        <v>0</v>
      </c>
      <c r="C2345" s="67"/>
      <c r="D2345" s="78"/>
      <c r="E2345" s="101"/>
      <c r="F2345" s="108"/>
      <c r="G2345" s="120"/>
      <c r="H2345" s="101"/>
      <c r="I2345" s="93"/>
      <c r="J2345" s="91"/>
      <c r="L2345" s="94" t="str">
        <f t="shared" si="2"/>
        <v>No infirmation</v>
      </c>
      <c r="M2345" s="94" t="str">
        <f t="shared" si="3"/>
        <v/>
      </c>
    </row>
    <row r="2346" ht="15.75" customHeight="1">
      <c r="B2346" s="77">
        <f t="shared" si="1"/>
        <v>0</v>
      </c>
      <c r="C2346" s="67"/>
      <c r="D2346" s="78"/>
      <c r="E2346" s="101"/>
      <c r="F2346" s="108"/>
      <c r="G2346" s="120"/>
      <c r="H2346" s="101"/>
      <c r="I2346" s="93"/>
      <c r="J2346" s="91"/>
      <c r="L2346" s="94" t="str">
        <f t="shared" si="2"/>
        <v>No infirmation</v>
      </c>
      <c r="M2346" s="94" t="str">
        <f t="shared" si="3"/>
        <v/>
      </c>
    </row>
    <row r="2347" ht="15.75" customHeight="1">
      <c r="B2347" s="77">
        <f t="shared" si="1"/>
        <v>0</v>
      </c>
      <c r="C2347" s="67"/>
      <c r="D2347" s="78"/>
      <c r="E2347" s="101"/>
      <c r="F2347" s="108"/>
      <c r="G2347" s="120"/>
      <c r="H2347" s="101"/>
      <c r="I2347" s="93"/>
      <c r="J2347" s="91"/>
      <c r="L2347" s="94" t="str">
        <f t="shared" si="2"/>
        <v>No infirmation</v>
      </c>
      <c r="M2347" s="94" t="str">
        <f t="shared" si="3"/>
        <v/>
      </c>
    </row>
    <row r="2348" ht="15.75" customHeight="1">
      <c r="B2348" s="77">
        <f t="shared" si="1"/>
        <v>0</v>
      </c>
      <c r="C2348" s="67"/>
      <c r="D2348" s="78"/>
      <c r="E2348" s="101"/>
      <c r="F2348" s="108"/>
      <c r="G2348" s="120"/>
      <c r="H2348" s="101"/>
      <c r="I2348" s="93"/>
      <c r="J2348" s="91"/>
      <c r="L2348" s="94" t="str">
        <f t="shared" si="2"/>
        <v>No infirmation</v>
      </c>
      <c r="M2348" s="94" t="str">
        <f t="shared" si="3"/>
        <v/>
      </c>
    </row>
    <row r="2349" ht="15.75" customHeight="1">
      <c r="B2349" s="77">
        <f t="shared" si="1"/>
        <v>0</v>
      </c>
      <c r="C2349" s="67"/>
      <c r="D2349" s="78"/>
      <c r="E2349" s="101"/>
      <c r="F2349" s="108"/>
      <c r="G2349" s="120"/>
      <c r="H2349" s="101"/>
      <c r="I2349" s="93"/>
      <c r="J2349" s="91"/>
      <c r="L2349" s="94" t="str">
        <f t="shared" si="2"/>
        <v>No infirmation</v>
      </c>
      <c r="M2349" s="94" t="str">
        <f t="shared" si="3"/>
        <v/>
      </c>
    </row>
    <row r="2350" ht="15.75" customHeight="1">
      <c r="B2350" s="77">
        <f t="shared" si="1"/>
        <v>0</v>
      </c>
      <c r="C2350" s="67"/>
      <c r="D2350" s="78"/>
      <c r="E2350" s="101"/>
      <c r="F2350" s="108"/>
      <c r="G2350" s="120"/>
      <c r="H2350" s="101"/>
      <c r="I2350" s="93"/>
      <c r="J2350" s="91"/>
      <c r="L2350" s="94" t="str">
        <f t="shared" si="2"/>
        <v>No infirmation</v>
      </c>
      <c r="M2350" s="94" t="str">
        <f t="shared" si="3"/>
        <v/>
      </c>
    </row>
    <row r="2351" ht="15.75" customHeight="1">
      <c r="B2351" s="77">
        <f t="shared" si="1"/>
        <v>0</v>
      </c>
      <c r="C2351" s="67"/>
      <c r="D2351" s="78"/>
      <c r="E2351" s="101"/>
      <c r="F2351" s="108"/>
      <c r="G2351" s="120"/>
      <c r="H2351" s="101"/>
      <c r="I2351" s="93"/>
      <c r="J2351" s="91"/>
      <c r="L2351" s="94" t="str">
        <f t="shared" si="2"/>
        <v>No infirmation</v>
      </c>
      <c r="M2351" s="94" t="str">
        <f t="shared" si="3"/>
        <v/>
      </c>
    </row>
    <row r="2352" ht="15.75" customHeight="1">
      <c r="B2352" s="77">
        <f t="shared" si="1"/>
        <v>0</v>
      </c>
      <c r="C2352" s="67"/>
      <c r="D2352" s="78"/>
      <c r="E2352" s="101"/>
      <c r="F2352" s="108"/>
      <c r="G2352" s="120"/>
      <c r="H2352" s="101"/>
      <c r="I2352" s="93"/>
      <c r="J2352" s="91"/>
      <c r="L2352" s="94" t="str">
        <f t="shared" si="2"/>
        <v>No infirmation</v>
      </c>
      <c r="M2352" s="94" t="str">
        <f t="shared" si="3"/>
        <v/>
      </c>
    </row>
    <row r="2353" ht="15.75" customHeight="1">
      <c r="B2353" s="77">
        <f t="shared" si="1"/>
        <v>0</v>
      </c>
      <c r="C2353" s="67"/>
      <c r="D2353" s="78"/>
      <c r="E2353" s="101"/>
      <c r="F2353" s="108"/>
      <c r="G2353" s="120"/>
      <c r="H2353" s="101"/>
      <c r="I2353" s="93"/>
      <c r="J2353" s="91"/>
      <c r="L2353" s="94" t="str">
        <f t="shared" si="2"/>
        <v>No infirmation</v>
      </c>
      <c r="M2353" s="94" t="str">
        <f t="shared" si="3"/>
        <v/>
      </c>
    </row>
    <row r="2354" ht="15.75" customHeight="1">
      <c r="B2354" s="77">
        <f t="shared" si="1"/>
        <v>0</v>
      </c>
      <c r="C2354" s="67"/>
      <c r="D2354" s="78"/>
      <c r="E2354" s="101"/>
      <c r="F2354" s="108"/>
      <c r="G2354" s="120"/>
      <c r="H2354" s="101"/>
      <c r="I2354" s="93"/>
      <c r="J2354" s="91"/>
      <c r="L2354" s="94" t="str">
        <f t="shared" si="2"/>
        <v>No infirmation</v>
      </c>
      <c r="M2354" s="94" t="str">
        <f t="shared" si="3"/>
        <v/>
      </c>
    </row>
    <row r="2355" ht="15.75" customHeight="1">
      <c r="B2355" s="77">
        <f t="shared" si="1"/>
        <v>0</v>
      </c>
      <c r="C2355" s="67"/>
      <c r="D2355" s="78"/>
      <c r="E2355" s="101"/>
      <c r="F2355" s="108"/>
      <c r="G2355" s="120"/>
      <c r="H2355" s="101"/>
      <c r="I2355" s="93"/>
      <c r="J2355" s="91"/>
      <c r="L2355" s="94" t="str">
        <f t="shared" si="2"/>
        <v>No infirmation</v>
      </c>
      <c r="M2355" s="94" t="str">
        <f t="shared" si="3"/>
        <v/>
      </c>
    </row>
    <row r="2356" ht="15.75" customHeight="1">
      <c r="B2356" s="77">
        <f t="shared" si="1"/>
        <v>0</v>
      </c>
      <c r="C2356" s="67"/>
      <c r="D2356" s="78"/>
      <c r="E2356" s="101"/>
      <c r="F2356" s="108"/>
      <c r="G2356" s="120"/>
      <c r="H2356" s="101"/>
      <c r="I2356" s="93"/>
      <c r="J2356" s="91"/>
      <c r="L2356" s="94" t="str">
        <f t="shared" si="2"/>
        <v>No infirmation</v>
      </c>
      <c r="M2356" s="94" t="str">
        <f t="shared" si="3"/>
        <v/>
      </c>
    </row>
    <row r="2357" ht="15.75" customHeight="1">
      <c r="B2357" s="77">
        <f t="shared" si="1"/>
        <v>0</v>
      </c>
      <c r="C2357" s="67"/>
      <c r="D2357" s="78"/>
      <c r="E2357" s="101"/>
      <c r="F2357" s="108"/>
      <c r="G2357" s="120"/>
      <c r="H2357" s="101"/>
      <c r="I2357" s="93"/>
      <c r="J2357" s="91"/>
      <c r="L2357" s="94" t="str">
        <f t="shared" si="2"/>
        <v>No infirmation</v>
      </c>
      <c r="M2357" s="94" t="str">
        <f t="shared" si="3"/>
        <v/>
      </c>
    </row>
    <row r="2358" ht="15.75" customHeight="1">
      <c r="B2358" s="77">
        <f t="shared" si="1"/>
        <v>0</v>
      </c>
      <c r="C2358" s="67"/>
      <c r="D2358" s="78"/>
      <c r="E2358" s="101"/>
      <c r="F2358" s="108"/>
      <c r="G2358" s="120"/>
      <c r="H2358" s="101"/>
      <c r="I2358" s="93"/>
      <c r="J2358" s="91"/>
      <c r="L2358" s="94" t="str">
        <f t="shared" si="2"/>
        <v>No infirmation</v>
      </c>
      <c r="M2358" s="94" t="str">
        <f t="shared" si="3"/>
        <v/>
      </c>
    </row>
    <row r="2359" ht="15.75" customHeight="1">
      <c r="B2359" s="77">
        <f t="shared" si="1"/>
        <v>0</v>
      </c>
      <c r="C2359" s="67"/>
      <c r="D2359" s="78"/>
      <c r="E2359" s="101"/>
      <c r="F2359" s="108"/>
      <c r="G2359" s="120"/>
      <c r="H2359" s="101"/>
      <c r="I2359" s="93"/>
      <c r="J2359" s="91"/>
      <c r="L2359" s="94" t="str">
        <f t="shared" si="2"/>
        <v>No infirmation</v>
      </c>
      <c r="M2359" s="94" t="str">
        <f t="shared" si="3"/>
        <v/>
      </c>
    </row>
    <row r="2360" ht="15.75" customHeight="1">
      <c r="B2360" s="77">
        <f t="shared" si="1"/>
        <v>0</v>
      </c>
      <c r="C2360" s="67"/>
      <c r="D2360" s="78"/>
      <c r="E2360" s="101"/>
      <c r="F2360" s="108"/>
      <c r="G2360" s="120"/>
      <c r="H2360" s="101"/>
      <c r="I2360" s="93"/>
      <c r="J2360" s="91"/>
      <c r="L2360" s="94" t="str">
        <f t="shared" si="2"/>
        <v>No infirmation</v>
      </c>
      <c r="M2360" s="94" t="str">
        <f t="shared" si="3"/>
        <v/>
      </c>
    </row>
    <row r="2361" ht="15.75" customHeight="1">
      <c r="B2361" s="77">
        <f t="shared" si="1"/>
        <v>0</v>
      </c>
      <c r="C2361" s="67"/>
      <c r="D2361" s="78"/>
      <c r="E2361" s="101"/>
      <c r="F2361" s="108"/>
      <c r="G2361" s="120"/>
      <c r="H2361" s="101"/>
      <c r="I2361" s="93"/>
      <c r="J2361" s="91"/>
      <c r="L2361" s="94" t="str">
        <f t="shared" si="2"/>
        <v>No infirmation</v>
      </c>
      <c r="M2361" s="94" t="str">
        <f t="shared" si="3"/>
        <v/>
      </c>
    </row>
    <row r="2362" ht="15.75" customHeight="1">
      <c r="B2362" s="77">
        <f t="shared" si="1"/>
        <v>0</v>
      </c>
      <c r="C2362" s="67"/>
      <c r="D2362" s="78"/>
      <c r="E2362" s="101"/>
      <c r="F2362" s="108"/>
      <c r="G2362" s="120"/>
      <c r="H2362" s="101"/>
      <c r="I2362" s="93"/>
      <c r="J2362" s="91"/>
      <c r="L2362" s="94" t="str">
        <f t="shared" si="2"/>
        <v>No infirmation</v>
      </c>
      <c r="M2362" s="94" t="str">
        <f t="shared" si="3"/>
        <v/>
      </c>
    </row>
    <row r="2363" ht="15.75" customHeight="1">
      <c r="B2363" s="77">
        <f t="shared" si="1"/>
        <v>0</v>
      </c>
      <c r="C2363" s="67"/>
      <c r="D2363" s="78"/>
      <c r="E2363" s="101"/>
      <c r="F2363" s="108"/>
      <c r="G2363" s="120"/>
      <c r="H2363" s="101"/>
      <c r="I2363" s="93"/>
      <c r="J2363" s="91"/>
      <c r="L2363" s="94" t="str">
        <f t="shared" si="2"/>
        <v>No infirmation</v>
      </c>
      <c r="M2363" s="94" t="str">
        <f t="shared" si="3"/>
        <v/>
      </c>
    </row>
    <row r="2364" ht="15.75" customHeight="1">
      <c r="B2364" s="77">
        <f t="shared" si="1"/>
        <v>0</v>
      </c>
      <c r="C2364" s="67"/>
      <c r="D2364" s="78"/>
      <c r="E2364" s="101"/>
      <c r="F2364" s="108"/>
      <c r="G2364" s="120"/>
      <c r="H2364" s="101"/>
      <c r="I2364" s="93"/>
      <c r="J2364" s="91"/>
      <c r="L2364" s="94" t="str">
        <f t="shared" si="2"/>
        <v>No infirmation</v>
      </c>
      <c r="M2364" s="94" t="str">
        <f t="shared" si="3"/>
        <v/>
      </c>
    </row>
    <row r="2365" ht="15.75" customHeight="1">
      <c r="B2365" s="77">
        <f t="shared" si="1"/>
        <v>0</v>
      </c>
      <c r="C2365" s="67"/>
      <c r="D2365" s="78"/>
      <c r="E2365" s="101"/>
      <c r="F2365" s="108"/>
      <c r="G2365" s="120"/>
      <c r="H2365" s="101"/>
      <c r="I2365" s="93"/>
      <c r="J2365" s="91"/>
      <c r="L2365" s="94" t="str">
        <f t="shared" si="2"/>
        <v>No infirmation</v>
      </c>
      <c r="M2365" s="94" t="str">
        <f t="shared" si="3"/>
        <v/>
      </c>
    </row>
    <row r="2366" ht="15.75" customHeight="1">
      <c r="B2366" s="77">
        <f t="shared" si="1"/>
        <v>0</v>
      </c>
      <c r="C2366" s="67"/>
      <c r="D2366" s="78"/>
      <c r="E2366" s="101"/>
      <c r="F2366" s="108"/>
      <c r="G2366" s="120"/>
      <c r="H2366" s="101"/>
      <c r="I2366" s="93"/>
      <c r="J2366" s="91"/>
      <c r="L2366" s="94" t="str">
        <f t="shared" si="2"/>
        <v>No infirmation</v>
      </c>
      <c r="M2366" s="94" t="str">
        <f t="shared" si="3"/>
        <v/>
      </c>
    </row>
    <row r="2367" ht="15.75" customHeight="1">
      <c r="B2367" s="77">
        <f t="shared" si="1"/>
        <v>0</v>
      </c>
      <c r="C2367" s="67"/>
      <c r="D2367" s="78"/>
      <c r="E2367" s="101"/>
      <c r="F2367" s="108"/>
      <c r="G2367" s="120"/>
      <c r="H2367" s="101"/>
      <c r="I2367" s="93"/>
      <c r="J2367" s="91"/>
      <c r="L2367" s="94" t="str">
        <f t="shared" si="2"/>
        <v>No infirmation</v>
      </c>
      <c r="M2367" s="94" t="str">
        <f t="shared" si="3"/>
        <v/>
      </c>
    </row>
    <row r="2368" ht="15.75" customHeight="1">
      <c r="B2368" s="77">
        <f t="shared" si="1"/>
        <v>0</v>
      </c>
      <c r="C2368" s="67"/>
      <c r="D2368" s="78"/>
      <c r="E2368" s="101"/>
      <c r="F2368" s="108"/>
      <c r="G2368" s="120"/>
      <c r="H2368" s="101"/>
      <c r="I2368" s="93"/>
      <c r="J2368" s="91"/>
      <c r="L2368" s="94" t="str">
        <f t="shared" si="2"/>
        <v>No infirmation</v>
      </c>
      <c r="M2368" s="94" t="str">
        <f t="shared" si="3"/>
        <v/>
      </c>
    </row>
    <row r="2369" ht="15.75" customHeight="1">
      <c r="B2369" s="77">
        <f t="shared" si="1"/>
        <v>0</v>
      </c>
      <c r="C2369" s="67"/>
      <c r="D2369" s="78"/>
      <c r="E2369" s="101"/>
      <c r="F2369" s="108"/>
      <c r="G2369" s="120"/>
      <c r="H2369" s="101"/>
      <c r="I2369" s="93"/>
      <c r="J2369" s="91"/>
      <c r="L2369" s="94" t="str">
        <f t="shared" si="2"/>
        <v>No infirmation</v>
      </c>
      <c r="M2369" s="94" t="str">
        <f t="shared" si="3"/>
        <v/>
      </c>
    </row>
    <row r="2370" ht="15.75" customHeight="1">
      <c r="B2370" s="77">
        <f t="shared" si="1"/>
        <v>0</v>
      </c>
      <c r="C2370" s="67"/>
      <c r="D2370" s="78"/>
      <c r="E2370" s="101"/>
      <c r="F2370" s="108"/>
      <c r="G2370" s="120"/>
      <c r="H2370" s="101"/>
      <c r="I2370" s="93"/>
      <c r="J2370" s="91"/>
      <c r="L2370" s="94" t="str">
        <f t="shared" si="2"/>
        <v>No infirmation</v>
      </c>
      <c r="M2370" s="94" t="str">
        <f t="shared" si="3"/>
        <v/>
      </c>
    </row>
    <row r="2371" ht="15.75" customHeight="1">
      <c r="B2371" s="77">
        <f t="shared" si="1"/>
        <v>0</v>
      </c>
      <c r="C2371" s="67"/>
      <c r="D2371" s="78"/>
      <c r="E2371" s="101"/>
      <c r="F2371" s="108"/>
      <c r="G2371" s="120"/>
      <c r="H2371" s="101"/>
      <c r="I2371" s="93"/>
      <c r="J2371" s="91"/>
      <c r="L2371" s="94" t="str">
        <f t="shared" si="2"/>
        <v>No infirmation</v>
      </c>
      <c r="M2371" s="94" t="str">
        <f t="shared" si="3"/>
        <v/>
      </c>
    </row>
    <row r="2372" ht="15.75" customHeight="1">
      <c r="B2372" s="77">
        <f t="shared" si="1"/>
        <v>0</v>
      </c>
      <c r="C2372" s="67"/>
      <c r="D2372" s="78"/>
      <c r="E2372" s="101"/>
      <c r="F2372" s="108"/>
      <c r="G2372" s="120"/>
      <c r="H2372" s="101"/>
      <c r="I2372" s="93"/>
      <c r="J2372" s="91"/>
      <c r="L2372" s="94" t="str">
        <f t="shared" si="2"/>
        <v>No infirmation</v>
      </c>
      <c r="M2372" s="94" t="str">
        <f t="shared" si="3"/>
        <v/>
      </c>
    </row>
    <row r="2373" ht="15.75" customHeight="1">
      <c r="B2373" s="77">
        <f t="shared" si="1"/>
        <v>0</v>
      </c>
      <c r="C2373" s="67"/>
      <c r="D2373" s="78"/>
      <c r="E2373" s="101"/>
      <c r="F2373" s="108"/>
      <c r="G2373" s="120"/>
      <c r="H2373" s="101"/>
      <c r="I2373" s="93"/>
      <c r="J2373" s="91"/>
      <c r="L2373" s="94" t="str">
        <f t="shared" si="2"/>
        <v>No infirmation</v>
      </c>
      <c r="M2373" s="94" t="str">
        <f t="shared" si="3"/>
        <v/>
      </c>
    </row>
    <row r="2374" ht="15.75" customHeight="1">
      <c r="B2374" s="77">
        <f t="shared" si="1"/>
        <v>0</v>
      </c>
      <c r="C2374" s="67"/>
      <c r="D2374" s="78"/>
      <c r="E2374" s="101"/>
      <c r="F2374" s="108"/>
      <c r="G2374" s="120"/>
      <c r="H2374" s="101"/>
      <c r="I2374" s="93"/>
      <c r="J2374" s="91"/>
      <c r="L2374" s="94" t="str">
        <f t="shared" si="2"/>
        <v>No infirmation</v>
      </c>
      <c r="M2374" s="94" t="str">
        <f t="shared" si="3"/>
        <v/>
      </c>
    </row>
    <row r="2375" ht="15.75" customHeight="1">
      <c r="B2375" s="77">
        <f t="shared" si="1"/>
        <v>0</v>
      </c>
      <c r="C2375" s="67"/>
      <c r="D2375" s="78"/>
      <c r="E2375" s="101"/>
      <c r="F2375" s="108"/>
      <c r="G2375" s="120"/>
      <c r="H2375" s="101"/>
      <c r="I2375" s="93"/>
      <c r="J2375" s="91"/>
      <c r="L2375" s="94" t="str">
        <f t="shared" si="2"/>
        <v>No infirmation</v>
      </c>
      <c r="M2375" s="94" t="str">
        <f t="shared" si="3"/>
        <v/>
      </c>
    </row>
    <row r="2376" ht="15.75" customHeight="1">
      <c r="B2376" s="77">
        <f t="shared" si="1"/>
        <v>0</v>
      </c>
      <c r="C2376" s="67"/>
      <c r="D2376" s="78"/>
      <c r="E2376" s="101"/>
      <c r="F2376" s="108"/>
      <c r="G2376" s="120"/>
      <c r="H2376" s="101"/>
      <c r="I2376" s="93"/>
      <c r="J2376" s="91"/>
      <c r="L2376" s="94" t="str">
        <f t="shared" si="2"/>
        <v>No infirmation</v>
      </c>
      <c r="M2376" s="94" t="str">
        <f t="shared" si="3"/>
        <v/>
      </c>
    </row>
    <row r="2377" ht="15.75" customHeight="1">
      <c r="B2377" s="77">
        <f t="shared" si="1"/>
        <v>0</v>
      </c>
      <c r="C2377" s="67"/>
      <c r="D2377" s="78"/>
      <c r="E2377" s="101"/>
      <c r="F2377" s="108"/>
      <c r="G2377" s="120"/>
      <c r="H2377" s="101"/>
      <c r="I2377" s="93"/>
      <c r="J2377" s="91"/>
      <c r="L2377" s="94" t="str">
        <f t="shared" si="2"/>
        <v>No infirmation</v>
      </c>
      <c r="M2377" s="94" t="str">
        <f t="shared" si="3"/>
        <v/>
      </c>
    </row>
    <row r="2378" ht="15.75" customHeight="1">
      <c r="B2378" s="77">
        <f t="shared" si="1"/>
        <v>0</v>
      </c>
      <c r="C2378" s="67"/>
      <c r="D2378" s="78"/>
      <c r="E2378" s="101"/>
      <c r="F2378" s="108"/>
      <c r="G2378" s="120"/>
      <c r="H2378" s="101"/>
      <c r="I2378" s="93"/>
      <c r="J2378" s="91"/>
      <c r="L2378" s="94" t="str">
        <f t="shared" si="2"/>
        <v>No infirmation</v>
      </c>
      <c r="M2378" s="94" t="str">
        <f t="shared" si="3"/>
        <v/>
      </c>
    </row>
    <row r="2379" ht="15.75" customHeight="1">
      <c r="B2379" s="77">
        <f t="shared" si="1"/>
        <v>0</v>
      </c>
      <c r="C2379" s="67"/>
      <c r="D2379" s="78"/>
      <c r="E2379" s="101"/>
      <c r="F2379" s="108"/>
      <c r="G2379" s="120"/>
      <c r="H2379" s="101"/>
      <c r="I2379" s="93"/>
      <c r="J2379" s="91"/>
      <c r="L2379" s="94" t="str">
        <f t="shared" si="2"/>
        <v>No infirmation</v>
      </c>
      <c r="M2379" s="94" t="str">
        <f t="shared" si="3"/>
        <v/>
      </c>
    </row>
    <row r="2380" ht="15.75" customHeight="1">
      <c r="B2380" s="77">
        <f t="shared" si="1"/>
        <v>0</v>
      </c>
      <c r="C2380" s="67"/>
      <c r="D2380" s="78"/>
      <c r="E2380" s="101"/>
      <c r="F2380" s="108"/>
      <c r="G2380" s="120"/>
      <c r="H2380" s="101"/>
      <c r="I2380" s="93"/>
      <c r="J2380" s="91"/>
      <c r="L2380" s="94" t="str">
        <f t="shared" si="2"/>
        <v>No infirmation</v>
      </c>
      <c r="M2380" s="94" t="str">
        <f t="shared" si="3"/>
        <v/>
      </c>
    </row>
    <row r="2381" ht="15.75" customHeight="1">
      <c r="B2381" s="77">
        <f t="shared" si="1"/>
        <v>0</v>
      </c>
      <c r="C2381" s="67"/>
      <c r="D2381" s="78"/>
      <c r="E2381" s="101"/>
      <c r="F2381" s="108"/>
      <c r="G2381" s="120"/>
      <c r="H2381" s="101"/>
      <c r="I2381" s="93"/>
      <c r="J2381" s="91"/>
      <c r="L2381" s="94" t="str">
        <f t="shared" si="2"/>
        <v>No infirmation</v>
      </c>
      <c r="M2381" s="94" t="str">
        <f t="shared" si="3"/>
        <v/>
      </c>
    </row>
    <row r="2382" ht="15.75" customHeight="1">
      <c r="B2382" s="77">
        <f t="shared" si="1"/>
        <v>0</v>
      </c>
      <c r="C2382" s="67"/>
      <c r="D2382" s="78"/>
      <c r="E2382" s="101"/>
      <c r="F2382" s="108"/>
      <c r="G2382" s="120"/>
      <c r="H2382" s="101"/>
      <c r="I2382" s="93"/>
      <c r="J2382" s="91"/>
      <c r="L2382" s="94" t="str">
        <f t="shared" si="2"/>
        <v>No infirmation</v>
      </c>
      <c r="M2382" s="94" t="str">
        <f t="shared" si="3"/>
        <v/>
      </c>
    </row>
    <row r="2383" ht="15.75" customHeight="1">
      <c r="B2383" s="77">
        <f t="shared" si="1"/>
        <v>0</v>
      </c>
      <c r="C2383" s="67"/>
      <c r="D2383" s="78"/>
      <c r="E2383" s="101"/>
      <c r="F2383" s="108"/>
      <c r="G2383" s="120"/>
      <c r="H2383" s="101"/>
      <c r="I2383" s="93"/>
      <c r="J2383" s="91"/>
      <c r="L2383" s="94" t="str">
        <f t="shared" si="2"/>
        <v>No infirmation</v>
      </c>
      <c r="M2383" s="94" t="str">
        <f t="shared" si="3"/>
        <v/>
      </c>
    </row>
    <row r="2384" ht="15.75" customHeight="1">
      <c r="B2384" s="77">
        <f t="shared" si="1"/>
        <v>0</v>
      </c>
      <c r="C2384" s="67"/>
      <c r="D2384" s="78"/>
      <c r="E2384" s="101"/>
      <c r="F2384" s="108"/>
      <c r="G2384" s="120"/>
      <c r="H2384" s="101"/>
      <c r="I2384" s="93"/>
      <c r="J2384" s="91"/>
      <c r="L2384" s="94" t="str">
        <f t="shared" si="2"/>
        <v>No infirmation</v>
      </c>
      <c r="M2384" s="94" t="str">
        <f t="shared" si="3"/>
        <v/>
      </c>
    </row>
    <row r="2385" ht="15.75" customHeight="1">
      <c r="B2385" s="77">
        <f t="shared" si="1"/>
        <v>0</v>
      </c>
      <c r="C2385" s="67"/>
      <c r="D2385" s="78"/>
      <c r="E2385" s="101"/>
      <c r="F2385" s="108"/>
      <c r="G2385" s="120"/>
      <c r="H2385" s="101"/>
      <c r="I2385" s="93"/>
      <c r="J2385" s="91"/>
      <c r="L2385" s="94" t="str">
        <f t="shared" si="2"/>
        <v>No infirmation</v>
      </c>
      <c r="M2385" s="94" t="str">
        <f t="shared" si="3"/>
        <v/>
      </c>
    </row>
    <row r="2386" ht="15.75" customHeight="1">
      <c r="B2386" s="77">
        <f t="shared" si="1"/>
        <v>0</v>
      </c>
      <c r="C2386" s="67"/>
      <c r="D2386" s="78"/>
      <c r="E2386" s="101"/>
      <c r="F2386" s="108"/>
      <c r="G2386" s="120"/>
      <c r="H2386" s="101"/>
      <c r="I2386" s="93"/>
      <c r="J2386" s="91"/>
      <c r="L2386" s="94" t="str">
        <f t="shared" si="2"/>
        <v>No infirmation</v>
      </c>
      <c r="M2386" s="94" t="str">
        <f t="shared" si="3"/>
        <v/>
      </c>
    </row>
    <row r="2387" ht="15.75" customHeight="1">
      <c r="B2387" s="77">
        <f t="shared" si="1"/>
        <v>0</v>
      </c>
      <c r="C2387" s="67"/>
      <c r="D2387" s="78"/>
      <c r="E2387" s="101"/>
      <c r="F2387" s="108"/>
      <c r="G2387" s="120"/>
      <c r="H2387" s="101"/>
      <c r="I2387" s="93"/>
      <c r="J2387" s="91"/>
      <c r="L2387" s="94" t="str">
        <f t="shared" si="2"/>
        <v>No infirmation</v>
      </c>
      <c r="M2387" s="94" t="str">
        <f t="shared" si="3"/>
        <v/>
      </c>
    </row>
    <row r="2388" ht="15.75" customHeight="1">
      <c r="B2388" s="77">
        <f t="shared" si="1"/>
        <v>0</v>
      </c>
      <c r="C2388" s="67"/>
      <c r="D2388" s="78"/>
      <c r="E2388" s="101"/>
      <c r="F2388" s="108"/>
      <c r="G2388" s="120"/>
      <c r="H2388" s="101"/>
      <c r="I2388" s="93"/>
      <c r="J2388" s="91"/>
      <c r="L2388" s="94" t="str">
        <f t="shared" si="2"/>
        <v>No infirmation</v>
      </c>
      <c r="M2388" s="94" t="str">
        <f t="shared" si="3"/>
        <v/>
      </c>
    </row>
    <row r="2389" ht="15.75" customHeight="1">
      <c r="B2389" s="77">
        <f t="shared" si="1"/>
        <v>0</v>
      </c>
      <c r="C2389" s="67"/>
      <c r="D2389" s="78"/>
      <c r="E2389" s="101"/>
      <c r="F2389" s="108"/>
      <c r="G2389" s="120"/>
      <c r="H2389" s="101"/>
      <c r="I2389" s="93"/>
      <c r="J2389" s="91"/>
      <c r="L2389" s="94" t="str">
        <f t="shared" si="2"/>
        <v>No infirmation</v>
      </c>
      <c r="M2389" s="94" t="str">
        <f t="shared" si="3"/>
        <v/>
      </c>
    </row>
    <row r="2390" ht="15.75" customHeight="1">
      <c r="B2390" s="77">
        <f t="shared" si="1"/>
        <v>0</v>
      </c>
      <c r="C2390" s="67"/>
      <c r="D2390" s="78"/>
      <c r="E2390" s="101"/>
      <c r="F2390" s="108"/>
      <c r="G2390" s="120"/>
      <c r="H2390" s="101"/>
      <c r="I2390" s="93"/>
      <c r="J2390" s="91"/>
      <c r="L2390" s="94" t="str">
        <f t="shared" si="2"/>
        <v>No infirmation</v>
      </c>
      <c r="M2390" s="94" t="str">
        <f t="shared" si="3"/>
        <v/>
      </c>
    </row>
    <row r="2391" ht="15.75" customHeight="1">
      <c r="B2391" s="77">
        <f t="shared" si="1"/>
        <v>0</v>
      </c>
      <c r="C2391" s="67"/>
      <c r="D2391" s="78"/>
      <c r="E2391" s="101"/>
      <c r="F2391" s="108"/>
      <c r="G2391" s="120"/>
      <c r="H2391" s="101"/>
      <c r="I2391" s="93"/>
      <c r="J2391" s="91"/>
      <c r="L2391" s="94" t="str">
        <f t="shared" si="2"/>
        <v>No infirmation</v>
      </c>
      <c r="M2391" s="94" t="str">
        <f t="shared" si="3"/>
        <v/>
      </c>
    </row>
    <row r="2392" ht="15.75" customHeight="1">
      <c r="B2392" s="77">
        <f t="shared" si="1"/>
        <v>0</v>
      </c>
      <c r="C2392" s="67"/>
      <c r="D2392" s="78"/>
      <c r="E2392" s="101"/>
      <c r="F2392" s="108"/>
      <c r="G2392" s="120"/>
      <c r="H2392" s="101"/>
      <c r="I2392" s="93"/>
      <c r="J2392" s="91"/>
      <c r="L2392" s="94" t="str">
        <f t="shared" si="2"/>
        <v>No infirmation</v>
      </c>
      <c r="M2392" s="94" t="str">
        <f t="shared" si="3"/>
        <v/>
      </c>
    </row>
    <row r="2393" ht="15.75" customHeight="1">
      <c r="B2393" s="77">
        <f t="shared" si="1"/>
        <v>0</v>
      </c>
      <c r="C2393" s="67"/>
      <c r="D2393" s="78"/>
      <c r="E2393" s="101"/>
      <c r="F2393" s="108"/>
      <c r="G2393" s="120"/>
      <c r="H2393" s="101"/>
      <c r="I2393" s="93"/>
      <c r="J2393" s="91"/>
      <c r="L2393" s="94" t="str">
        <f t="shared" si="2"/>
        <v>No infirmation</v>
      </c>
      <c r="M2393" s="94" t="str">
        <f t="shared" si="3"/>
        <v/>
      </c>
    </row>
    <row r="2394" ht="15.75" customHeight="1">
      <c r="B2394" s="77">
        <f t="shared" si="1"/>
        <v>0</v>
      </c>
      <c r="C2394" s="67"/>
      <c r="D2394" s="78"/>
      <c r="E2394" s="101"/>
      <c r="F2394" s="108"/>
      <c r="G2394" s="120"/>
      <c r="H2394" s="101"/>
      <c r="I2394" s="93"/>
      <c r="J2394" s="91"/>
      <c r="L2394" s="94" t="str">
        <f t="shared" si="2"/>
        <v>No infirmation</v>
      </c>
      <c r="M2394" s="94" t="str">
        <f t="shared" si="3"/>
        <v/>
      </c>
    </row>
    <row r="2395" ht="15.75" customHeight="1">
      <c r="B2395" s="77">
        <f t="shared" si="1"/>
        <v>0</v>
      </c>
      <c r="C2395" s="67"/>
      <c r="D2395" s="78"/>
      <c r="E2395" s="101"/>
      <c r="F2395" s="108"/>
      <c r="G2395" s="120"/>
      <c r="H2395" s="101"/>
      <c r="I2395" s="93"/>
      <c r="J2395" s="91"/>
      <c r="L2395" s="94" t="str">
        <f t="shared" si="2"/>
        <v>No infirmation</v>
      </c>
      <c r="M2395" s="94" t="str">
        <f t="shared" si="3"/>
        <v/>
      </c>
    </row>
    <row r="2396" ht="15.75" customHeight="1">
      <c r="B2396" s="77">
        <f t="shared" si="1"/>
        <v>0</v>
      </c>
      <c r="C2396" s="67"/>
      <c r="D2396" s="78"/>
      <c r="E2396" s="101"/>
      <c r="F2396" s="108"/>
      <c r="G2396" s="120"/>
      <c r="H2396" s="101"/>
      <c r="I2396" s="93"/>
      <c r="J2396" s="91"/>
      <c r="L2396" s="94" t="str">
        <f t="shared" si="2"/>
        <v>No infirmation</v>
      </c>
      <c r="M2396" s="94" t="str">
        <f t="shared" si="3"/>
        <v/>
      </c>
    </row>
    <row r="2397" ht="15.75" customHeight="1">
      <c r="B2397" s="77">
        <f t="shared" si="1"/>
        <v>0</v>
      </c>
      <c r="C2397" s="67"/>
      <c r="D2397" s="78"/>
      <c r="E2397" s="101"/>
      <c r="F2397" s="108"/>
      <c r="G2397" s="120"/>
      <c r="H2397" s="101"/>
      <c r="I2397" s="93"/>
      <c r="J2397" s="91"/>
      <c r="L2397" s="94" t="str">
        <f t="shared" si="2"/>
        <v>No infirmation</v>
      </c>
      <c r="M2397" s="94" t="str">
        <f t="shared" si="3"/>
        <v/>
      </c>
    </row>
    <row r="2398" ht="15.75" customHeight="1">
      <c r="B2398" s="77">
        <f t="shared" si="1"/>
        <v>0</v>
      </c>
      <c r="C2398" s="67"/>
      <c r="D2398" s="78"/>
      <c r="E2398" s="101"/>
      <c r="F2398" s="108"/>
      <c r="G2398" s="120"/>
      <c r="H2398" s="101"/>
      <c r="I2398" s="93"/>
      <c r="J2398" s="91"/>
      <c r="L2398" s="94" t="str">
        <f t="shared" si="2"/>
        <v>No infirmation</v>
      </c>
      <c r="M2398" s="94" t="str">
        <f t="shared" si="3"/>
        <v/>
      </c>
    </row>
    <row r="2399" ht="15.75" customHeight="1">
      <c r="B2399" s="77">
        <f t="shared" si="1"/>
        <v>0</v>
      </c>
      <c r="C2399" s="67"/>
      <c r="D2399" s="78"/>
      <c r="E2399" s="101"/>
      <c r="F2399" s="108"/>
      <c r="G2399" s="120"/>
      <c r="H2399" s="101"/>
      <c r="I2399" s="93"/>
      <c r="J2399" s="91"/>
      <c r="L2399" s="94" t="str">
        <f t="shared" si="2"/>
        <v>No infirmation</v>
      </c>
      <c r="M2399" s="94" t="str">
        <f t="shared" si="3"/>
        <v/>
      </c>
    </row>
    <row r="2400" ht="15.75" customHeight="1">
      <c r="B2400" s="77">
        <f t="shared" si="1"/>
        <v>0</v>
      </c>
      <c r="C2400" s="67"/>
      <c r="D2400" s="78"/>
      <c r="E2400" s="101"/>
      <c r="F2400" s="108"/>
      <c r="G2400" s="120"/>
      <c r="H2400" s="101"/>
      <c r="I2400" s="93"/>
      <c r="J2400" s="91"/>
      <c r="L2400" s="94" t="str">
        <f t="shared" si="2"/>
        <v>No infirmation</v>
      </c>
      <c r="M2400" s="94" t="str">
        <f t="shared" si="3"/>
        <v/>
      </c>
    </row>
    <row r="2401" ht="15.75" customHeight="1">
      <c r="B2401" s="77">
        <f t="shared" si="1"/>
        <v>0</v>
      </c>
      <c r="C2401" s="67"/>
      <c r="D2401" s="78"/>
      <c r="E2401" s="101"/>
      <c r="F2401" s="108"/>
      <c r="G2401" s="120"/>
      <c r="H2401" s="101"/>
      <c r="I2401" s="93"/>
      <c r="J2401" s="91"/>
      <c r="L2401" s="94" t="str">
        <f t="shared" si="2"/>
        <v>No infirmation</v>
      </c>
      <c r="M2401" s="94" t="str">
        <f t="shared" si="3"/>
        <v/>
      </c>
    </row>
    <row r="2402" ht="15.75" customHeight="1">
      <c r="B2402" s="77">
        <f t="shared" si="1"/>
        <v>0</v>
      </c>
      <c r="C2402" s="67"/>
      <c r="D2402" s="78"/>
      <c r="E2402" s="101"/>
      <c r="F2402" s="108"/>
      <c r="G2402" s="120"/>
      <c r="H2402" s="101"/>
      <c r="I2402" s="93"/>
      <c r="J2402" s="91"/>
      <c r="L2402" s="94" t="str">
        <f t="shared" si="2"/>
        <v>No infirmation</v>
      </c>
      <c r="M2402" s="94" t="str">
        <f t="shared" si="3"/>
        <v/>
      </c>
    </row>
    <row r="2403" ht="15.75" customHeight="1">
      <c r="B2403" s="77">
        <f t="shared" si="1"/>
        <v>0</v>
      </c>
      <c r="C2403" s="67"/>
      <c r="D2403" s="78"/>
      <c r="E2403" s="101"/>
      <c r="F2403" s="108"/>
      <c r="G2403" s="120"/>
      <c r="H2403" s="101"/>
      <c r="I2403" s="93"/>
      <c r="J2403" s="91"/>
      <c r="L2403" s="94" t="str">
        <f t="shared" si="2"/>
        <v>No infirmation</v>
      </c>
      <c r="M2403" s="94" t="str">
        <f t="shared" si="3"/>
        <v/>
      </c>
    </row>
    <row r="2404" ht="15.75" customHeight="1">
      <c r="B2404" s="77">
        <f t="shared" si="1"/>
        <v>0</v>
      </c>
      <c r="C2404" s="67"/>
      <c r="D2404" s="78"/>
      <c r="E2404" s="101"/>
      <c r="F2404" s="108"/>
      <c r="G2404" s="120"/>
      <c r="H2404" s="101"/>
      <c r="I2404" s="93"/>
      <c r="J2404" s="91"/>
      <c r="L2404" s="94" t="str">
        <f t="shared" si="2"/>
        <v>No infirmation</v>
      </c>
      <c r="M2404" s="94" t="str">
        <f t="shared" si="3"/>
        <v/>
      </c>
    </row>
    <row r="2405" ht="15.75" customHeight="1">
      <c r="B2405" s="77">
        <f t="shared" si="1"/>
        <v>0</v>
      </c>
      <c r="C2405" s="67"/>
      <c r="D2405" s="78"/>
      <c r="E2405" s="101"/>
      <c r="F2405" s="108"/>
      <c r="G2405" s="120"/>
      <c r="H2405" s="101"/>
      <c r="I2405" s="93"/>
      <c r="J2405" s="91"/>
      <c r="L2405" s="94" t="str">
        <f t="shared" si="2"/>
        <v>No infirmation</v>
      </c>
      <c r="M2405" s="94" t="str">
        <f t="shared" si="3"/>
        <v/>
      </c>
    </row>
    <row r="2406" ht="15.75" customHeight="1">
      <c r="B2406" s="77">
        <f t="shared" si="1"/>
        <v>0</v>
      </c>
      <c r="C2406" s="67"/>
      <c r="D2406" s="78"/>
      <c r="E2406" s="101"/>
      <c r="F2406" s="108"/>
      <c r="G2406" s="120"/>
      <c r="H2406" s="101"/>
      <c r="I2406" s="93"/>
      <c r="J2406" s="91"/>
      <c r="L2406" s="94" t="str">
        <f t="shared" si="2"/>
        <v>No infirmation</v>
      </c>
      <c r="M2406" s="94" t="str">
        <f t="shared" si="3"/>
        <v/>
      </c>
    </row>
    <row r="2407" ht="15.75" customHeight="1">
      <c r="B2407" s="77">
        <f t="shared" si="1"/>
        <v>0</v>
      </c>
      <c r="C2407" s="67"/>
      <c r="D2407" s="78"/>
      <c r="E2407" s="101"/>
      <c r="F2407" s="108"/>
      <c r="G2407" s="120"/>
      <c r="H2407" s="101"/>
      <c r="I2407" s="93"/>
      <c r="J2407" s="91"/>
      <c r="L2407" s="94" t="str">
        <f t="shared" si="2"/>
        <v>No infirmation</v>
      </c>
      <c r="M2407" s="94" t="str">
        <f t="shared" si="3"/>
        <v/>
      </c>
    </row>
    <row r="2408" ht="15.75" customHeight="1">
      <c r="B2408" s="77">
        <f t="shared" si="1"/>
        <v>0</v>
      </c>
      <c r="C2408" s="67"/>
      <c r="D2408" s="78"/>
      <c r="E2408" s="101"/>
      <c r="F2408" s="108"/>
      <c r="G2408" s="120"/>
      <c r="H2408" s="101"/>
      <c r="I2408" s="93"/>
      <c r="J2408" s="91"/>
      <c r="L2408" s="94" t="str">
        <f t="shared" si="2"/>
        <v>No infirmation</v>
      </c>
      <c r="M2408" s="94" t="str">
        <f t="shared" si="3"/>
        <v/>
      </c>
    </row>
    <row r="2409" ht="15.75" customHeight="1">
      <c r="B2409" s="77">
        <f t="shared" si="1"/>
        <v>0</v>
      </c>
      <c r="C2409" s="67"/>
      <c r="D2409" s="78"/>
      <c r="E2409" s="101"/>
      <c r="F2409" s="108"/>
      <c r="G2409" s="120"/>
      <c r="H2409" s="101"/>
      <c r="I2409" s="93"/>
      <c r="J2409" s="91"/>
      <c r="L2409" s="94" t="str">
        <f t="shared" si="2"/>
        <v>No infirmation</v>
      </c>
      <c r="M2409" s="94" t="str">
        <f t="shared" si="3"/>
        <v/>
      </c>
    </row>
    <row r="2410" ht="15.75" customHeight="1">
      <c r="B2410" s="77">
        <f t="shared" si="1"/>
        <v>0</v>
      </c>
      <c r="C2410" s="67"/>
      <c r="D2410" s="78"/>
      <c r="E2410" s="101"/>
      <c r="F2410" s="108"/>
      <c r="G2410" s="120"/>
      <c r="H2410" s="101"/>
      <c r="I2410" s="93"/>
      <c r="J2410" s="91"/>
      <c r="L2410" s="94" t="str">
        <f t="shared" si="2"/>
        <v>No infirmation</v>
      </c>
      <c r="M2410" s="94" t="str">
        <f t="shared" si="3"/>
        <v/>
      </c>
    </row>
    <row r="2411" ht="15.75" customHeight="1">
      <c r="B2411" s="77">
        <f t="shared" si="1"/>
        <v>0</v>
      </c>
      <c r="C2411" s="67"/>
      <c r="D2411" s="78"/>
      <c r="E2411" s="101"/>
      <c r="F2411" s="108"/>
      <c r="G2411" s="120"/>
      <c r="H2411" s="101"/>
      <c r="I2411" s="93"/>
      <c r="J2411" s="91"/>
      <c r="L2411" s="94" t="str">
        <f t="shared" si="2"/>
        <v>No infirmation</v>
      </c>
      <c r="M2411" s="94" t="str">
        <f t="shared" si="3"/>
        <v/>
      </c>
    </row>
    <row r="2412" ht="15.75" customHeight="1">
      <c r="B2412" s="77">
        <f t="shared" si="1"/>
        <v>0</v>
      </c>
      <c r="C2412" s="67"/>
      <c r="D2412" s="78"/>
      <c r="E2412" s="101"/>
      <c r="F2412" s="108"/>
      <c r="G2412" s="120"/>
      <c r="H2412" s="101"/>
      <c r="I2412" s="93"/>
      <c r="J2412" s="91"/>
      <c r="L2412" s="94" t="str">
        <f t="shared" si="2"/>
        <v>No infirmation</v>
      </c>
      <c r="M2412" s="94" t="str">
        <f t="shared" si="3"/>
        <v/>
      </c>
    </row>
    <row r="2413" ht="15.75" customHeight="1">
      <c r="B2413" s="77">
        <f t="shared" si="1"/>
        <v>0</v>
      </c>
      <c r="C2413" s="67"/>
      <c r="D2413" s="78"/>
      <c r="E2413" s="101"/>
      <c r="F2413" s="108"/>
      <c r="G2413" s="120"/>
      <c r="H2413" s="101"/>
      <c r="I2413" s="93"/>
      <c r="J2413" s="91"/>
      <c r="L2413" s="94" t="str">
        <f t="shared" si="2"/>
        <v>No infirmation</v>
      </c>
      <c r="M2413" s="94" t="str">
        <f t="shared" si="3"/>
        <v/>
      </c>
    </row>
    <row r="2414" ht="15.75" customHeight="1">
      <c r="B2414" s="77">
        <f t="shared" si="1"/>
        <v>0</v>
      </c>
      <c r="C2414" s="67"/>
      <c r="D2414" s="78"/>
      <c r="E2414" s="101"/>
      <c r="F2414" s="108"/>
      <c r="G2414" s="120"/>
      <c r="H2414" s="101"/>
      <c r="I2414" s="93"/>
      <c r="J2414" s="91"/>
      <c r="L2414" s="94" t="str">
        <f t="shared" si="2"/>
        <v>No infirmation</v>
      </c>
      <c r="M2414" s="94" t="str">
        <f t="shared" si="3"/>
        <v/>
      </c>
    </row>
    <row r="2415" ht="15.75" customHeight="1">
      <c r="B2415" s="77">
        <f t="shared" si="1"/>
        <v>0</v>
      </c>
      <c r="C2415" s="67"/>
      <c r="D2415" s="78"/>
      <c r="E2415" s="101"/>
      <c r="F2415" s="108"/>
      <c r="G2415" s="120"/>
      <c r="H2415" s="101"/>
      <c r="I2415" s="93"/>
      <c r="J2415" s="91"/>
      <c r="L2415" s="94" t="str">
        <f t="shared" si="2"/>
        <v>No infirmation</v>
      </c>
      <c r="M2415" s="94" t="str">
        <f t="shared" si="3"/>
        <v/>
      </c>
    </row>
    <row r="2416" ht="15.75" customHeight="1">
      <c r="B2416" s="77">
        <f t="shared" si="1"/>
        <v>0</v>
      </c>
      <c r="C2416" s="67"/>
      <c r="D2416" s="78"/>
      <c r="E2416" s="101"/>
      <c r="F2416" s="108"/>
      <c r="G2416" s="120"/>
      <c r="H2416" s="101"/>
      <c r="I2416" s="93"/>
      <c r="J2416" s="91"/>
      <c r="L2416" s="94" t="str">
        <f t="shared" si="2"/>
        <v>No infirmation</v>
      </c>
      <c r="M2416" s="94" t="str">
        <f t="shared" si="3"/>
        <v/>
      </c>
    </row>
    <row r="2417" ht="15.75" customHeight="1">
      <c r="B2417" s="77">
        <f t="shared" si="1"/>
        <v>0</v>
      </c>
      <c r="C2417" s="67"/>
      <c r="D2417" s="78"/>
      <c r="E2417" s="101"/>
      <c r="F2417" s="108"/>
      <c r="G2417" s="120"/>
      <c r="H2417" s="101"/>
      <c r="I2417" s="93"/>
      <c r="J2417" s="91"/>
      <c r="L2417" s="94" t="str">
        <f t="shared" si="2"/>
        <v>No infirmation</v>
      </c>
      <c r="M2417" s="94" t="str">
        <f t="shared" si="3"/>
        <v/>
      </c>
    </row>
    <row r="2418" ht="15.75" customHeight="1">
      <c r="B2418" s="77">
        <f t="shared" si="1"/>
        <v>0</v>
      </c>
      <c r="C2418" s="67"/>
      <c r="D2418" s="78"/>
      <c r="E2418" s="101"/>
      <c r="F2418" s="108"/>
      <c r="G2418" s="120"/>
      <c r="H2418" s="101"/>
      <c r="I2418" s="93"/>
      <c r="J2418" s="91"/>
      <c r="L2418" s="94" t="str">
        <f t="shared" si="2"/>
        <v>No infirmation</v>
      </c>
      <c r="M2418" s="94" t="str">
        <f t="shared" si="3"/>
        <v/>
      </c>
    </row>
    <row r="2419" ht="15.75" customHeight="1">
      <c r="B2419" s="77">
        <f t="shared" si="1"/>
        <v>0</v>
      </c>
      <c r="C2419" s="67"/>
      <c r="D2419" s="78"/>
      <c r="E2419" s="101"/>
      <c r="F2419" s="108"/>
      <c r="G2419" s="120"/>
      <c r="H2419" s="101"/>
      <c r="I2419" s="93"/>
      <c r="J2419" s="91"/>
      <c r="L2419" s="94" t="str">
        <f t="shared" si="2"/>
        <v>No infirmation</v>
      </c>
      <c r="M2419" s="94" t="str">
        <f t="shared" si="3"/>
        <v/>
      </c>
    </row>
    <row r="2420" ht="15.75" customHeight="1">
      <c r="B2420" s="77">
        <f t="shared" si="1"/>
        <v>0</v>
      </c>
      <c r="C2420" s="67"/>
      <c r="D2420" s="78"/>
      <c r="E2420" s="101"/>
      <c r="F2420" s="108"/>
      <c r="G2420" s="120"/>
      <c r="H2420" s="101"/>
      <c r="I2420" s="93"/>
      <c r="J2420" s="91"/>
      <c r="L2420" s="94" t="str">
        <f t="shared" si="2"/>
        <v>No infirmation</v>
      </c>
      <c r="M2420" s="94" t="str">
        <f t="shared" si="3"/>
        <v/>
      </c>
    </row>
    <row r="2421" ht="15.75" customHeight="1">
      <c r="B2421" s="77">
        <f t="shared" si="1"/>
        <v>0</v>
      </c>
      <c r="C2421" s="67"/>
      <c r="D2421" s="78"/>
      <c r="E2421" s="101"/>
      <c r="F2421" s="108"/>
      <c r="G2421" s="120"/>
      <c r="H2421" s="101"/>
      <c r="I2421" s="93"/>
      <c r="J2421" s="91"/>
      <c r="L2421" s="94" t="str">
        <f t="shared" si="2"/>
        <v>No infirmation</v>
      </c>
      <c r="M2421" s="94" t="str">
        <f t="shared" si="3"/>
        <v/>
      </c>
    </row>
    <row r="2422" ht="15.75" customHeight="1">
      <c r="B2422" s="77">
        <f t="shared" si="1"/>
        <v>0</v>
      </c>
      <c r="C2422" s="67"/>
      <c r="D2422" s="78"/>
      <c r="E2422" s="101"/>
      <c r="F2422" s="108"/>
      <c r="G2422" s="120"/>
      <c r="H2422" s="101"/>
      <c r="I2422" s="93"/>
      <c r="J2422" s="91"/>
      <c r="L2422" s="94" t="str">
        <f t="shared" si="2"/>
        <v>No infirmation</v>
      </c>
      <c r="M2422" s="94" t="str">
        <f t="shared" si="3"/>
        <v/>
      </c>
    </row>
    <row r="2423" ht="15.75" customHeight="1">
      <c r="B2423" s="77">
        <f t="shared" si="1"/>
        <v>0</v>
      </c>
      <c r="C2423" s="67"/>
      <c r="D2423" s="78"/>
      <c r="E2423" s="101"/>
      <c r="F2423" s="108"/>
      <c r="G2423" s="120"/>
      <c r="H2423" s="101"/>
      <c r="I2423" s="93"/>
      <c r="J2423" s="91"/>
      <c r="L2423" s="94" t="str">
        <f t="shared" si="2"/>
        <v>No infirmation</v>
      </c>
      <c r="M2423" s="94" t="str">
        <f t="shared" si="3"/>
        <v/>
      </c>
    </row>
    <row r="2424" ht="15.75" customHeight="1">
      <c r="B2424" s="77">
        <f t="shared" si="1"/>
        <v>0</v>
      </c>
      <c r="C2424" s="67"/>
      <c r="D2424" s="78"/>
      <c r="E2424" s="101"/>
      <c r="F2424" s="108"/>
      <c r="G2424" s="120"/>
      <c r="H2424" s="101"/>
      <c r="I2424" s="93"/>
      <c r="J2424" s="91"/>
      <c r="L2424" s="94" t="str">
        <f t="shared" si="2"/>
        <v>No infirmation</v>
      </c>
      <c r="M2424" s="94" t="str">
        <f t="shared" si="3"/>
        <v/>
      </c>
    </row>
    <row r="2425" ht="15.75" customHeight="1">
      <c r="B2425" s="77">
        <f t="shared" si="1"/>
        <v>0</v>
      </c>
      <c r="C2425" s="67"/>
      <c r="D2425" s="78"/>
      <c r="E2425" s="101"/>
      <c r="F2425" s="108"/>
      <c r="G2425" s="120"/>
      <c r="H2425" s="101"/>
      <c r="I2425" s="93"/>
      <c r="J2425" s="91"/>
      <c r="L2425" s="94" t="str">
        <f t="shared" si="2"/>
        <v>No infirmation</v>
      </c>
      <c r="M2425" s="94" t="str">
        <f t="shared" si="3"/>
        <v/>
      </c>
    </row>
    <row r="2426" ht="15.75" customHeight="1">
      <c r="B2426" s="77">
        <f t="shared" si="1"/>
        <v>0</v>
      </c>
      <c r="C2426" s="67"/>
      <c r="D2426" s="78"/>
      <c r="E2426" s="101"/>
      <c r="F2426" s="108"/>
      <c r="G2426" s="120"/>
      <c r="H2426" s="101"/>
      <c r="I2426" s="93"/>
      <c r="J2426" s="91"/>
      <c r="L2426" s="94" t="str">
        <f t="shared" si="2"/>
        <v>No infirmation</v>
      </c>
      <c r="M2426" s="94" t="str">
        <f t="shared" si="3"/>
        <v/>
      </c>
    </row>
    <row r="2427" ht="15.75" customHeight="1">
      <c r="B2427" s="77">
        <f t="shared" si="1"/>
        <v>0</v>
      </c>
      <c r="C2427" s="67"/>
      <c r="D2427" s="78"/>
      <c r="E2427" s="101"/>
      <c r="F2427" s="108"/>
      <c r="G2427" s="120"/>
      <c r="H2427" s="101"/>
      <c r="I2427" s="93"/>
      <c r="J2427" s="91"/>
      <c r="L2427" s="94" t="str">
        <f t="shared" si="2"/>
        <v>No infirmation</v>
      </c>
      <c r="M2427" s="94" t="str">
        <f t="shared" si="3"/>
        <v/>
      </c>
    </row>
    <row r="2428" ht="15.75" customHeight="1">
      <c r="B2428" s="77">
        <f t="shared" si="1"/>
        <v>0</v>
      </c>
      <c r="C2428" s="67"/>
      <c r="D2428" s="78"/>
      <c r="E2428" s="101"/>
      <c r="F2428" s="108"/>
      <c r="G2428" s="120"/>
      <c r="H2428" s="101"/>
      <c r="I2428" s="93"/>
      <c r="J2428" s="91"/>
      <c r="L2428" s="94" t="str">
        <f t="shared" si="2"/>
        <v>No infirmation</v>
      </c>
      <c r="M2428" s="94" t="str">
        <f t="shared" si="3"/>
        <v/>
      </c>
    </row>
    <row r="2429" ht="15.75" customHeight="1">
      <c r="B2429" s="77">
        <f t="shared" si="1"/>
        <v>0</v>
      </c>
      <c r="C2429" s="67"/>
      <c r="D2429" s="78"/>
      <c r="E2429" s="101"/>
      <c r="F2429" s="108"/>
      <c r="G2429" s="120"/>
      <c r="H2429" s="101"/>
      <c r="I2429" s="93"/>
      <c r="J2429" s="91"/>
      <c r="L2429" s="94" t="str">
        <f t="shared" si="2"/>
        <v>No infirmation</v>
      </c>
      <c r="M2429" s="94" t="str">
        <f t="shared" si="3"/>
        <v/>
      </c>
    </row>
    <row r="2430" ht="15.75" customHeight="1">
      <c r="B2430" s="77">
        <f t="shared" si="1"/>
        <v>0</v>
      </c>
      <c r="C2430" s="67"/>
      <c r="D2430" s="78"/>
      <c r="E2430" s="101"/>
      <c r="F2430" s="108"/>
      <c r="G2430" s="120"/>
      <c r="H2430" s="101"/>
      <c r="I2430" s="93"/>
      <c r="J2430" s="91"/>
      <c r="L2430" s="94" t="str">
        <f t="shared" si="2"/>
        <v>No infirmation</v>
      </c>
      <c r="M2430" s="94" t="str">
        <f t="shared" si="3"/>
        <v/>
      </c>
    </row>
    <row r="2431" ht="15.75" customHeight="1">
      <c r="B2431" s="77">
        <f t="shared" si="1"/>
        <v>0</v>
      </c>
      <c r="C2431" s="67"/>
      <c r="D2431" s="78"/>
      <c r="E2431" s="101"/>
      <c r="F2431" s="108"/>
      <c r="G2431" s="120"/>
      <c r="H2431" s="101"/>
      <c r="I2431" s="93"/>
      <c r="J2431" s="91"/>
      <c r="L2431" s="94" t="str">
        <f t="shared" si="2"/>
        <v>No infirmation</v>
      </c>
      <c r="M2431" s="94" t="str">
        <f t="shared" si="3"/>
        <v/>
      </c>
    </row>
    <row r="2432" ht="15.75" customHeight="1">
      <c r="B2432" s="77">
        <f t="shared" si="1"/>
        <v>0</v>
      </c>
      <c r="C2432" s="67"/>
      <c r="D2432" s="78"/>
      <c r="E2432" s="101"/>
      <c r="F2432" s="108"/>
      <c r="G2432" s="120"/>
      <c r="H2432" s="101"/>
      <c r="I2432" s="93"/>
      <c r="J2432" s="91"/>
      <c r="L2432" s="94" t="str">
        <f t="shared" si="2"/>
        <v>No infirmation</v>
      </c>
      <c r="M2432" s="94" t="str">
        <f t="shared" si="3"/>
        <v/>
      </c>
    </row>
    <row r="2433" ht="15.75" customHeight="1">
      <c r="B2433" s="77">
        <f t="shared" si="1"/>
        <v>0</v>
      </c>
      <c r="C2433" s="67"/>
      <c r="D2433" s="78"/>
      <c r="E2433" s="101"/>
      <c r="F2433" s="108"/>
      <c r="G2433" s="120"/>
      <c r="H2433" s="101"/>
      <c r="I2433" s="93"/>
      <c r="J2433" s="91"/>
      <c r="L2433" s="94" t="str">
        <f t="shared" si="2"/>
        <v>No infirmation</v>
      </c>
      <c r="M2433" s="94" t="str">
        <f t="shared" si="3"/>
        <v/>
      </c>
    </row>
    <row r="2434" ht="15.75" customHeight="1">
      <c r="B2434" s="77">
        <f t="shared" si="1"/>
        <v>0</v>
      </c>
      <c r="C2434" s="67"/>
      <c r="D2434" s="78"/>
      <c r="E2434" s="101"/>
      <c r="F2434" s="108"/>
      <c r="G2434" s="120"/>
      <c r="H2434" s="101"/>
      <c r="I2434" s="93"/>
      <c r="J2434" s="91"/>
      <c r="L2434" s="94" t="str">
        <f t="shared" si="2"/>
        <v>No infirmation</v>
      </c>
      <c r="M2434" s="94" t="str">
        <f t="shared" si="3"/>
        <v/>
      </c>
    </row>
    <row r="2435" ht="15.75" customHeight="1">
      <c r="B2435" s="77">
        <f t="shared" si="1"/>
        <v>0</v>
      </c>
      <c r="C2435" s="67"/>
      <c r="D2435" s="78"/>
      <c r="E2435" s="101"/>
      <c r="F2435" s="108"/>
      <c r="G2435" s="120"/>
      <c r="H2435" s="101"/>
      <c r="I2435" s="93"/>
      <c r="J2435" s="91"/>
      <c r="L2435" s="94" t="str">
        <f t="shared" si="2"/>
        <v>No infirmation</v>
      </c>
      <c r="M2435" s="94" t="str">
        <f t="shared" si="3"/>
        <v/>
      </c>
    </row>
    <row r="2436" ht="15.75" customHeight="1">
      <c r="B2436" s="77">
        <f t="shared" si="1"/>
        <v>0</v>
      </c>
      <c r="C2436" s="67"/>
      <c r="D2436" s="78"/>
      <c r="E2436" s="101"/>
      <c r="F2436" s="108"/>
      <c r="G2436" s="120"/>
      <c r="H2436" s="101"/>
      <c r="I2436" s="93"/>
      <c r="J2436" s="91"/>
      <c r="L2436" s="94" t="str">
        <f t="shared" si="2"/>
        <v>No infirmation</v>
      </c>
      <c r="M2436" s="94" t="str">
        <f t="shared" si="3"/>
        <v/>
      </c>
    </row>
    <row r="2437" ht="15.75" customHeight="1">
      <c r="B2437" s="77">
        <f t="shared" si="1"/>
        <v>0</v>
      </c>
      <c r="C2437" s="67"/>
      <c r="D2437" s="78"/>
      <c r="E2437" s="101"/>
      <c r="F2437" s="108"/>
      <c r="G2437" s="120"/>
      <c r="H2437" s="101"/>
      <c r="I2437" s="93"/>
      <c r="J2437" s="91"/>
      <c r="L2437" s="94" t="str">
        <f t="shared" si="2"/>
        <v>No infirmation</v>
      </c>
      <c r="M2437" s="94" t="str">
        <f t="shared" si="3"/>
        <v/>
      </c>
    </row>
    <row r="2438" ht="15.75" customHeight="1">
      <c r="B2438" s="77">
        <f t="shared" si="1"/>
        <v>0</v>
      </c>
      <c r="C2438" s="67"/>
      <c r="D2438" s="78"/>
      <c r="E2438" s="101"/>
      <c r="F2438" s="108"/>
      <c r="G2438" s="120"/>
      <c r="H2438" s="101"/>
      <c r="I2438" s="93"/>
      <c r="J2438" s="91"/>
      <c r="L2438" s="94" t="str">
        <f t="shared" si="2"/>
        <v>No infirmation</v>
      </c>
      <c r="M2438" s="94" t="str">
        <f t="shared" si="3"/>
        <v/>
      </c>
    </row>
    <row r="2439" ht="15.75" customHeight="1">
      <c r="B2439" s="77">
        <f t="shared" si="1"/>
        <v>0</v>
      </c>
      <c r="C2439" s="67"/>
      <c r="D2439" s="78"/>
      <c r="E2439" s="101"/>
      <c r="F2439" s="108"/>
      <c r="G2439" s="120"/>
      <c r="H2439" s="101"/>
      <c r="I2439" s="93"/>
      <c r="J2439" s="91"/>
      <c r="L2439" s="94" t="str">
        <f t="shared" si="2"/>
        <v>No infirmation</v>
      </c>
      <c r="M2439" s="94" t="str">
        <f t="shared" si="3"/>
        <v/>
      </c>
    </row>
    <row r="2440" ht="15.75" customHeight="1">
      <c r="B2440" s="77">
        <f t="shared" si="1"/>
        <v>0</v>
      </c>
      <c r="C2440" s="67"/>
      <c r="D2440" s="78"/>
      <c r="E2440" s="101"/>
      <c r="F2440" s="108"/>
      <c r="G2440" s="120"/>
      <c r="H2440" s="101"/>
      <c r="I2440" s="93"/>
      <c r="J2440" s="91"/>
      <c r="L2440" s="94" t="str">
        <f t="shared" si="2"/>
        <v>No infirmation</v>
      </c>
      <c r="M2440" s="94" t="str">
        <f t="shared" si="3"/>
        <v/>
      </c>
    </row>
    <row r="2441" ht="15.75" customHeight="1">
      <c r="B2441" s="77">
        <f t="shared" si="1"/>
        <v>0</v>
      </c>
      <c r="C2441" s="67"/>
      <c r="D2441" s="78"/>
      <c r="E2441" s="101"/>
      <c r="F2441" s="108"/>
      <c r="G2441" s="120"/>
      <c r="H2441" s="101"/>
      <c r="I2441" s="93"/>
      <c r="J2441" s="91"/>
      <c r="L2441" s="94" t="str">
        <f t="shared" si="2"/>
        <v>No infirmation</v>
      </c>
      <c r="M2441" s="94" t="str">
        <f t="shared" si="3"/>
        <v/>
      </c>
    </row>
    <row r="2442" ht="15.75" customHeight="1">
      <c r="B2442" s="77">
        <f t="shared" si="1"/>
        <v>0</v>
      </c>
      <c r="C2442" s="67"/>
      <c r="D2442" s="78"/>
      <c r="E2442" s="101"/>
      <c r="F2442" s="108"/>
      <c r="G2442" s="120"/>
      <c r="H2442" s="101"/>
      <c r="I2442" s="93"/>
      <c r="J2442" s="91"/>
      <c r="L2442" s="94" t="str">
        <f t="shared" si="2"/>
        <v>No infirmation</v>
      </c>
      <c r="M2442" s="94" t="str">
        <f t="shared" si="3"/>
        <v/>
      </c>
    </row>
    <row r="2443" ht="15.75" customHeight="1">
      <c r="B2443" s="77">
        <f t="shared" si="1"/>
        <v>0</v>
      </c>
      <c r="C2443" s="67"/>
      <c r="D2443" s="78"/>
      <c r="E2443" s="101"/>
      <c r="F2443" s="108"/>
      <c r="G2443" s="120"/>
      <c r="H2443" s="101"/>
      <c r="I2443" s="93"/>
      <c r="J2443" s="91"/>
      <c r="L2443" s="94" t="str">
        <f t="shared" si="2"/>
        <v>No infirmation</v>
      </c>
      <c r="M2443" s="94" t="str">
        <f t="shared" si="3"/>
        <v/>
      </c>
    </row>
    <row r="2444" ht="15.75" customHeight="1">
      <c r="B2444" s="77">
        <f t="shared" si="1"/>
        <v>0</v>
      </c>
      <c r="C2444" s="67"/>
      <c r="D2444" s="78"/>
      <c r="E2444" s="101"/>
      <c r="F2444" s="108"/>
      <c r="G2444" s="120"/>
      <c r="H2444" s="101"/>
      <c r="I2444" s="93"/>
      <c r="J2444" s="91"/>
      <c r="L2444" s="94" t="str">
        <f t="shared" si="2"/>
        <v>No infirmation</v>
      </c>
      <c r="M2444" s="94" t="str">
        <f t="shared" si="3"/>
        <v/>
      </c>
    </row>
    <row r="2445" ht="15.75" customHeight="1">
      <c r="B2445" s="77">
        <f t="shared" si="1"/>
        <v>0</v>
      </c>
      <c r="C2445" s="67"/>
      <c r="D2445" s="78"/>
      <c r="E2445" s="101"/>
      <c r="F2445" s="108"/>
      <c r="G2445" s="120"/>
      <c r="H2445" s="101"/>
      <c r="I2445" s="93"/>
      <c r="J2445" s="91"/>
      <c r="L2445" s="94" t="str">
        <f t="shared" si="2"/>
        <v>No infirmation</v>
      </c>
      <c r="M2445" s="94" t="str">
        <f t="shared" si="3"/>
        <v/>
      </c>
    </row>
    <row r="2446" ht="15.75" customHeight="1">
      <c r="B2446" s="77">
        <f t="shared" si="1"/>
        <v>0</v>
      </c>
      <c r="C2446" s="67"/>
      <c r="D2446" s="78"/>
      <c r="E2446" s="101"/>
      <c r="F2446" s="108"/>
      <c r="G2446" s="120"/>
      <c r="H2446" s="101"/>
      <c r="I2446" s="93"/>
      <c r="J2446" s="91"/>
      <c r="L2446" s="94" t="str">
        <f t="shared" si="2"/>
        <v>No infirmation</v>
      </c>
      <c r="M2446" s="94" t="str">
        <f t="shared" si="3"/>
        <v/>
      </c>
    </row>
    <row r="2447" ht="15.75" customHeight="1">
      <c r="B2447" s="77">
        <f t="shared" si="1"/>
        <v>0</v>
      </c>
      <c r="C2447" s="67"/>
      <c r="D2447" s="78"/>
      <c r="E2447" s="101"/>
      <c r="F2447" s="108"/>
      <c r="G2447" s="120"/>
      <c r="H2447" s="101"/>
      <c r="I2447" s="93"/>
      <c r="J2447" s="91"/>
      <c r="L2447" s="94" t="str">
        <f t="shared" si="2"/>
        <v>No infirmation</v>
      </c>
      <c r="M2447" s="94" t="str">
        <f t="shared" si="3"/>
        <v/>
      </c>
    </row>
    <row r="2448" ht="15.75" customHeight="1">
      <c r="B2448" s="77">
        <f t="shared" si="1"/>
        <v>0</v>
      </c>
      <c r="C2448" s="67"/>
      <c r="D2448" s="78"/>
      <c r="E2448" s="101"/>
      <c r="F2448" s="108"/>
      <c r="G2448" s="120"/>
      <c r="H2448" s="101"/>
      <c r="I2448" s="93"/>
      <c r="J2448" s="91"/>
      <c r="L2448" s="94" t="str">
        <f t="shared" si="2"/>
        <v>No infirmation</v>
      </c>
      <c r="M2448" s="94" t="str">
        <f t="shared" si="3"/>
        <v/>
      </c>
    </row>
    <row r="2449" ht="15.75" customHeight="1">
      <c r="B2449" s="77">
        <f t="shared" si="1"/>
        <v>0</v>
      </c>
      <c r="C2449" s="67"/>
      <c r="D2449" s="78"/>
      <c r="E2449" s="101"/>
      <c r="F2449" s="108"/>
      <c r="G2449" s="120"/>
      <c r="H2449" s="101"/>
      <c r="I2449" s="93"/>
      <c r="J2449" s="91"/>
      <c r="L2449" s="94" t="str">
        <f t="shared" si="2"/>
        <v>No infirmation</v>
      </c>
      <c r="M2449" s="94" t="str">
        <f t="shared" si="3"/>
        <v/>
      </c>
    </row>
    <row r="2450" ht="15.75" customHeight="1">
      <c r="B2450" s="77">
        <f t="shared" si="1"/>
        <v>0</v>
      </c>
      <c r="C2450" s="67"/>
      <c r="D2450" s="78"/>
      <c r="E2450" s="101"/>
      <c r="F2450" s="108"/>
      <c r="G2450" s="120"/>
      <c r="H2450" s="101"/>
      <c r="I2450" s="93"/>
      <c r="J2450" s="91"/>
      <c r="L2450" s="94" t="str">
        <f t="shared" si="2"/>
        <v>No infirmation</v>
      </c>
      <c r="M2450" s="94" t="str">
        <f t="shared" si="3"/>
        <v/>
      </c>
    </row>
    <row r="2451" ht="15.75" customHeight="1">
      <c r="B2451" s="77">
        <f t="shared" si="1"/>
        <v>0</v>
      </c>
      <c r="C2451" s="67"/>
      <c r="D2451" s="78"/>
      <c r="E2451" s="101"/>
      <c r="F2451" s="108"/>
      <c r="G2451" s="120"/>
      <c r="H2451" s="101"/>
      <c r="I2451" s="93"/>
      <c r="J2451" s="91"/>
      <c r="L2451" s="94" t="str">
        <f t="shared" si="2"/>
        <v>No infirmation</v>
      </c>
      <c r="M2451" s="94" t="str">
        <f t="shared" si="3"/>
        <v/>
      </c>
    </row>
    <row r="2452" ht="15.75" customHeight="1">
      <c r="B2452" s="77">
        <f t="shared" si="1"/>
        <v>0</v>
      </c>
      <c r="C2452" s="67"/>
      <c r="D2452" s="78"/>
      <c r="E2452" s="101"/>
      <c r="F2452" s="108"/>
      <c r="G2452" s="120"/>
      <c r="H2452" s="101"/>
      <c r="I2452" s="93"/>
      <c r="J2452" s="91"/>
      <c r="L2452" s="94" t="str">
        <f t="shared" si="2"/>
        <v>No infirmation</v>
      </c>
      <c r="M2452" s="94" t="str">
        <f t="shared" si="3"/>
        <v/>
      </c>
    </row>
    <row r="2453" ht="15.75" customHeight="1">
      <c r="B2453" s="77">
        <f t="shared" si="1"/>
        <v>0</v>
      </c>
      <c r="C2453" s="67"/>
      <c r="D2453" s="78"/>
      <c r="E2453" s="101"/>
      <c r="F2453" s="108"/>
      <c r="G2453" s="120"/>
      <c r="H2453" s="101"/>
      <c r="I2453" s="93"/>
      <c r="J2453" s="91"/>
      <c r="L2453" s="94" t="str">
        <f t="shared" si="2"/>
        <v>No infirmation</v>
      </c>
      <c r="M2453" s="94" t="str">
        <f t="shared" si="3"/>
        <v/>
      </c>
    </row>
    <row r="2454" ht="15.75" customHeight="1">
      <c r="B2454" s="77">
        <f t="shared" si="1"/>
        <v>0</v>
      </c>
      <c r="C2454" s="67"/>
      <c r="D2454" s="78"/>
      <c r="E2454" s="101"/>
      <c r="F2454" s="108"/>
      <c r="G2454" s="120"/>
      <c r="H2454" s="101"/>
      <c r="I2454" s="93"/>
      <c r="J2454" s="91"/>
      <c r="L2454" s="94" t="str">
        <f t="shared" si="2"/>
        <v>No infirmation</v>
      </c>
      <c r="M2454" s="94" t="str">
        <f t="shared" si="3"/>
        <v/>
      </c>
    </row>
    <row r="2455" ht="15.75" customHeight="1">
      <c r="B2455" s="77">
        <f t="shared" si="1"/>
        <v>0</v>
      </c>
      <c r="C2455" s="67"/>
      <c r="D2455" s="78"/>
      <c r="E2455" s="101"/>
      <c r="F2455" s="108"/>
      <c r="G2455" s="120"/>
      <c r="H2455" s="101"/>
      <c r="I2455" s="93"/>
      <c r="J2455" s="91"/>
      <c r="L2455" s="94" t="str">
        <f t="shared" si="2"/>
        <v>No infirmation</v>
      </c>
      <c r="M2455" s="94" t="str">
        <f t="shared" si="3"/>
        <v/>
      </c>
    </row>
    <row r="2456" ht="15.75" customHeight="1">
      <c r="B2456" s="77">
        <f t="shared" si="1"/>
        <v>0</v>
      </c>
      <c r="C2456" s="67"/>
      <c r="D2456" s="78"/>
      <c r="E2456" s="101"/>
      <c r="F2456" s="108"/>
      <c r="G2456" s="120"/>
      <c r="H2456" s="101"/>
      <c r="I2456" s="93"/>
      <c r="J2456" s="91"/>
      <c r="L2456" s="94" t="str">
        <f t="shared" si="2"/>
        <v>No infirmation</v>
      </c>
      <c r="M2456" s="94" t="str">
        <f t="shared" si="3"/>
        <v/>
      </c>
    </row>
    <row r="2457" ht="15.75" customHeight="1">
      <c r="B2457" s="77">
        <f t="shared" si="1"/>
        <v>0</v>
      </c>
      <c r="C2457" s="67"/>
      <c r="D2457" s="78"/>
      <c r="E2457" s="101"/>
      <c r="F2457" s="108"/>
      <c r="G2457" s="120"/>
      <c r="H2457" s="101"/>
      <c r="I2457" s="93"/>
      <c r="J2457" s="91"/>
      <c r="L2457" s="94" t="str">
        <f t="shared" si="2"/>
        <v>No infirmation</v>
      </c>
      <c r="M2457" s="94" t="str">
        <f t="shared" si="3"/>
        <v/>
      </c>
    </row>
    <row r="2458" ht="15.75" customHeight="1">
      <c r="B2458" s="77">
        <f t="shared" si="1"/>
        <v>0</v>
      </c>
      <c r="C2458" s="67"/>
      <c r="D2458" s="78"/>
      <c r="E2458" s="101"/>
      <c r="F2458" s="108"/>
      <c r="G2458" s="120"/>
      <c r="H2458" s="101"/>
      <c r="I2458" s="93"/>
      <c r="J2458" s="91"/>
      <c r="L2458" s="94" t="str">
        <f t="shared" si="2"/>
        <v>No infirmation</v>
      </c>
      <c r="M2458" s="94" t="str">
        <f t="shared" si="3"/>
        <v/>
      </c>
    </row>
    <row r="2459" ht="15.75" customHeight="1">
      <c r="B2459" s="77">
        <f t="shared" si="1"/>
        <v>0</v>
      </c>
      <c r="C2459" s="67"/>
      <c r="D2459" s="78"/>
      <c r="E2459" s="101"/>
      <c r="F2459" s="108"/>
      <c r="G2459" s="120"/>
      <c r="H2459" s="101"/>
      <c r="I2459" s="93"/>
      <c r="J2459" s="91"/>
      <c r="L2459" s="94" t="str">
        <f t="shared" si="2"/>
        <v>No infirmation</v>
      </c>
      <c r="M2459" s="94" t="str">
        <f t="shared" si="3"/>
        <v/>
      </c>
    </row>
    <row r="2460" ht="15.75" customHeight="1">
      <c r="B2460" s="77">
        <f t="shared" si="1"/>
        <v>0</v>
      </c>
      <c r="C2460" s="67"/>
      <c r="D2460" s="78"/>
      <c r="E2460" s="101"/>
      <c r="F2460" s="108"/>
      <c r="G2460" s="120"/>
      <c r="H2460" s="101"/>
      <c r="I2460" s="93"/>
      <c r="J2460" s="91"/>
      <c r="L2460" s="94" t="str">
        <f t="shared" si="2"/>
        <v>No infirmation</v>
      </c>
      <c r="M2460" s="94" t="str">
        <f t="shared" si="3"/>
        <v/>
      </c>
    </row>
    <row r="2461" ht="15.75" customHeight="1">
      <c r="B2461" s="77">
        <f t="shared" si="1"/>
        <v>0</v>
      </c>
      <c r="C2461" s="67"/>
      <c r="D2461" s="78"/>
      <c r="E2461" s="101"/>
      <c r="F2461" s="108"/>
      <c r="G2461" s="120"/>
      <c r="H2461" s="101"/>
      <c r="I2461" s="93"/>
      <c r="J2461" s="91"/>
      <c r="L2461" s="94" t="str">
        <f t="shared" si="2"/>
        <v>No infirmation</v>
      </c>
      <c r="M2461" s="94" t="str">
        <f t="shared" si="3"/>
        <v/>
      </c>
    </row>
    <row r="2462" ht="15.75" customHeight="1">
      <c r="B2462" s="77">
        <f t="shared" si="1"/>
        <v>0</v>
      </c>
      <c r="C2462" s="67"/>
      <c r="D2462" s="78"/>
      <c r="E2462" s="101"/>
      <c r="F2462" s="108"/>
      <c r="G2462" s="120"/>
      <c r="H2462" s="101"/>
      <c r="I2462" s="93"/>
      <c r="J2462" s="91"/>
      <c r="L2462" s="94" t="str">
        <f t="shared" si="2"/>
        <v>No infirmation</v>
      </c>
      <c r="M2462" s="94" t="str">
        <f t="shared" si="3"/>
        <v/>
      </c>
    </row>
    <row r="2463" ht="15.75" customHeight="1">
      <c r="B2463" s="77">
        <f t="shared" si="1"/>
        <v>0</v>
      </c>
      <c r="C2463" s="67"/>
      <c r="D2463" s="78"/>
      <c r="E2463" s="101"/>
      <c r="F2463" s="108"/>
      <c r="G2463" s="120"/>
      <c r="H2463" s="101"/>
      <c r="I2463" s="93"/>
      <c r="J2463" s="91"/>
      <c r="L2463" s="94" t="str">
        <f t="shared" si="2"/>
        <v>No infirmation</v>
      </c>
      <c r="M2463" s="94" t="str">
        <f t="shared" si="3"/>
        <v/>
      </c>
    </row>
    <row r="2464" ht="15.75" customHeight="1">
      <c r="B2464" s="77">
        <f t="shared" si="1"/>
        <v>0</v>
      </c>
      <c r="C2464" s="67"/>
      <c r="D2464" s="78"/>
      <c r="E2464" s="101"/>
      <c r="F2464" s="108"/>
      <c r="G2464" s="120"/>
      <c r="H2464" s="101"/>
      <c r="I2464" s="93"/>
      <c r="J2464" s="91"/>
      <c r="L2464" s="94" t="str">
        <f t="shared" si="2"/>
        <v>No infirmation</v>
      </c>
      <c r="M2464" s="94" t="str">
        <f t="shared" si="3"/>
        <v/>
      </c>
    </row>
    <row r="2465" ht="15.75" customHeight="1">
      <c r="B2465" s="77">
        <f t="shared" si="1"/>
        <v>0</v>
      </c>
      <c r="C2465" s="67"/>
      <c r="D2465" s="78"/>
      <c r="E2465" s="101"/>
      <c r="F2465" s="108"/>
      <c r="G2465" s="120"/>
      <c r="H2465" s="101"/>
      <c r="I2465" s="93"/>
      <c r="J2465" s="91"/>
      <c r="L2465" s="94" t="str">
        <f t="shared" si="2"/>
        <v>No infirmation</v>
      </c>
      <c r="M2465" s="94" t="str">
        <f t="shared" si="3"/>
        <v/>
      </c>
    </row>
    <row r="2466" ht="15.75" customHeight="1">
      <c r="B2466" s="77">
        <f t="shared" si="1"/>
        <v>0</v>
      </c>
      <c r="C2466" s="67"/>
      <c r="D2466" s="78"/>
      <c r="E2466" s="101"/>
      <c r="F2466" s="108"/>
      <c r="G2466" s="120"/>
      <c r="H2466" s="101"/>
      <c r="I2466" s="93"/>
      <c r="J2466" s="91"/>
      <c r="L2466" s="94" t="str">
        <f t="shared" si="2"/>
        <v>No infirmation</v>
      </c>
      <c r="M2466" s="94" t="str">
        <f t="shared" si="3"/>
        <v/>
      </c>
    </row>
    <row r="2467" ht="15.75" customHeight="1">
      <c r="B2467" s="77">
        <f t="shared" si="1"/>
        <v>0</v>
      </c>
      <c r="C2467" s="67"/>
      <c r="D2467" s="78"/>
      <c r="E2467" s="101"/>
      <c r="F2467" s="108"/>
      <c r="G2467" s="120"/>
      <c r="H2467" s="101"/>
      <c r="I2467" s="93"/>
      <c r="J2467" s="91"/>
      <c r="L2467" s="94" t="str">
        <f t="shared" si="2"/>
        <v>No infirmation</v>
      </c>
      <c r="M2467" s="94" t="str">
        <f t="shared" si="3"/>
        <v/>
      </c>
    </row>
    <row r="2468" ht="15.75" customHeight="1">
      <c r="B2468" s="77">
        <f t="shared" si="1"/>
        <v>0</v>
      </c>
      <c r="C2468" s="67"/>
      <c r="D2468" s="78"/>
      <c r="E2468" s="101"/>
      <c r="F2468" s="108"/>
      <c r="G2468" s="120"/>
      <c r="H2468" s="101"/>
      <c r="I2468" s="93"/>
      <c r="J2468" s="91"/>
      <c r="L2468" s="94" t="str">
        <f t="shared" si="2"/>
        <v>No infirmation</v>
      </c>
      <c r="M2468" s="94" t="str">
        <f t="shared" si="3"/>
        <v/>
      </c>
    </row>
    <row r="2469" ht="15.75" customHeight="1">
      <c r="B2469" s="77">
        <f t="shared" si="1"/>
        <v>0</v>
      </c>
      <c r="C2469" s="67"/>
      <c r="D2469" s="78"/>
      <c r="E2469" s="101"/>
      <c r="F2469" s="108"/>
      <c r="G2469" s="120"/>
      <c r="H2469" s="101"/>
      <c r="I2469" s="93"/>
      <c r="J2469" s="91"/>
      <c r="L2469" s="94" t="str">
        <f t="shared" si="2"/>
        <v>No infirmation</v>
      </c>
      <c r="M2469" s="94" t="str">
        <f t="shared" si="3"/>
        <v/>
      </c>
    </row>
    <row r="2470" ht="15.75" customHeight="1">
      <c r="B2470" s="77">
        <f t="shared" si="1"/>
        <v>0</v>
      </c>
      <c r="C2470" s="67"/>
      <c r="D2470" s="78"/>
      <c r="E2470" s="101"/>
      <c r="F2470" s="108"/>
      <c r="G2470" s="120"/>
      <c r="H2470" s="101"/>
      <c r="I2470" s="93"/>
      <c r="J2470" s="91"/>
      <c r="L2470" s="94" t="str">
        <f t="shared" si="2"/>
        <v>No infirmation</v>
      </c>
      <c r="M2470" s="94" t="str">
        <f t="shared" si="3"/>
        <v/>
      </c>
    </row>
    <row r="2471" ht="15.75" customHeight="1">
      <c r="B2471" s="77">
        <f t="shared" si="1"/>
        <v>0</v>
      </c>
      <c r="C2471" s="67"/>
      <c r="D2471" s="78"/>
      <c r="E2471" s="101"/>
      <c r="F2471" s="108"/>
      <c r="G2471" s="120"/>
      <c r="H2471" s="101"/>
      <c r="I2471" s="93"/>
      <c r="J2471" s="91"/>
      <c r="L2471" s="94" t="str">
        <f t="shared" si="2"/>
        <v>No infirmation</v>
      </c>
      <c r="M2471" s="94" t="str">
        <f t="shared" si="3"/>
        <v/>
      </c>
    </row>
    <row r="2472" ht="15.75" customHeight="1">
      <c r="B2472" s="77">
        <f t="shared" si="1"/>
        <v>0</v>
      </c>
      <c r="C2472" s="67"/>
      <c r="D2472" s="78"/>
      <c r="E2472" s="101"/>
      <c r="F2472" s="108"/>
      <c r="G2472" s="120"/>
      <c r="H2472" s="101"/>
      <c r="I2472" s="93"/>
      <c r="J2472" s="91"/>
      <c r="L2472" s="94" t="str">
        <f t="shared" si="2"/>
        <v>No infirmation</v>
      </c>
      <c r="M2472" s="94" t="str">
        <f t="shared" si="3"/>
        <v/>
      </c>
    </row>
    <row r="2473" ht="15.75" customHeight="1">
      <c r="B2473" s="77">
        <f t="shared" si="1"/>
        <v>0</v>
      </c>
      <c r="C2473" s="67"/>
      <c r="D2473" s="78"/>
      <c r="E2473" s="101"/>
      <c r="F2473" s="108"/>
      <c r="G2473" s="120"/>
      <c r="H2473" s="101"/>
      <c r="I2473" s="93"/>
      <c r="J2473" s="91"/>
      <c r="L2473" s="94" t="str">
        <f t="shared" si="2"/>
        <v>No infirmation</v>
      </c>
      <c r="M2473" s="94" t="str">
        <f t="shared" si="3"/>
        <v/>
      </c>
    </row>
    <row r="2474" ht="15.75" customHeight="1">
      <c r="B2474" s="77">
        <f t="shared" si="1"/>
        <v>0</v>
      </c>
      <c r="C2474" s="67"/>
      <c r="D2474" s="78"/>
      <c r="E2474" s="101"/>
      <c r="F2474" s="108"/>
      <c r="G2474" s="120"/>
      <c r="H2474" s="101"/>
      <c r="I2474" s="93"/>
      <c r="J2474" s="91"/>
      <c r="L2474" s="94" t="str">
        <f t="shared" si="2"/>
        <v>No infirmation</v>
      </c>
      <c r="M2474" s="94" t="str">
        <f t="shared" si="3"/>
        <v/>
      </c>
    </row>
    <row r="2475" ht="15.75" customHeight="1">
      <c r="B2475" s="77">
        <f t="shared" si="1"/>
        <v>0</v>
      </c>
      <c r="C2475" s="67"/>
      <c r="D2475" s="78"/>
      <c r="E2475" s="101"/>
      <c r="F2475" s="108"/>
      <c r="G2475" s="120"/>
      <c r="H2475" s="101"/>
      <c r="I2475" s="93"/>
      <c r="J2475" s="91"/>
      <c r="L2475" s="94" t="str">
        <f t="shared" si="2"/>
        <v>No infirmation</v>
      </c>
      <c r="M2475" s="94" t="str">
        <f t="shared" si="3"/>
        <v/>
      </c>
    </row>
    <row r="2476" ht="15.75" customHeight="1">
      <c r="B2476" s="77">
        <f t="shared" si="1"/>
        <v>0</v>
      </c>
      <c r="C2476" s="67"/>
      <c r="D2476" s="78"/>
      <c r="E2476" s="101"/>
      <c r="F2476" s="108"/>
      <c r="G2476" s="120"/>
      <c r="H2476" s="101"/>
      <c r="I2476" s="93"/>
      <c r="J2476" s="91"/>
      <c r="L2476" s="94" t="str">
        <f t="shared" si="2"/>
        <v>No infirmation</v>
      </c>
      <c r="M2476" s="94" t="str">
        <f t="shared" si="3"/>
        <v/>
      </c>
    </row>
    <row r="2477" ht="15.75" customHeight="1">
      <c r="B2477" s="77">
        <f t="shared" si="1"/>
        <v>0</v>
      </c>
      <c r="C2477" s="67"/>
      <c r="D2477" s="78"/>
      <c r="E2477" s="101"/>
      <c r="F2477" s="108"/>
      <c r="G2477" s="120"/>
      <c r="H2477" s="101"/>
      <c r="I2477" s="93"/>
      <c r="J2477" s="91"/>
      <c r="L2477" s="94" t="str">
        <f t="shared" si="2"/>
        <v>No infirmation</v>
      </c>
      <c r="M2477" s="94" t="str">
        <f t="shared" si="3"/>
        <v/>
      </c>
    </row>
    <row r="2478" ht="15.75" customHeight="1">
      <c r="B2478" s="77">
        <f t="shared" si="1"/>
        <v>0</v>
      </c>
      <c r="C2478" s="67"/>
      <c r="D2478" s="78"/>
      <c r="E2478" s="101"/>
      <c r="F2478" s="108"/>
      <c r="G2478" s="120"/>
      <c r="H2478" s="101"/>
      <c r="I2478" s="93"/>
      <c r="J2478" s="91"/>
      <c r="L2478" s="94" t="str">
        <f t="shared" si="2"/>
        <v>No infirmation</v>
      </c>
      <c r="M2478" s="94" t="str">
        <f t="shared" si="3"/>
        <v/>
      </c>
    </row>
    <row r="2479" ht="15.75" customHeight="1">
      <c r="B2479" s="77">
        <f t="shared" si="1"/>
        <v>0</v>
      </c>
      <c r="C2479" s="67"/>
      <c r="D2479" s="78"/>
      <c r="E2479" s="101"/>
      <c r="F2479" s="108"/>
      <c r="G2479" s="120"/>
      <c r="H2479" s="101"/>
      <c r="I2479" s="93"/>
      <c r="J2479" s="91"/>
      <c r="L2479" s="94" t="str">
        <f t="shared" si="2"/>
        <v>No infirmation</v>
      </c>
      <c r="M2479" s="94" t="str">
        <f t="shared" si="3"/>
        <v/>
      </c>
    </row>
    <row r="2480" ht="15.75" customHeight="1">
      <c r="B2480" s="77">
        <f t="shared" si="1"/>
        <v>0</v>
      </c>
      <c r="C2480" s="67"/>
      <c r="D2480" s="78"/>
      <c r="E2480" s="101"/>
      <c r="F2480" s="108"/>
      <c r="G2480" s="120"/>
      <c r="H2480" s="101"/>
      <c r="I2480" s="93"/>
      <c r="J2480" s="91"/>
      <c r="L2480" s="94" t="str">
        <f t="shared" si="2"/>
        <v>No infirmation</v>
      </c>
      <c r="M2480" s="94" t="str">
        <f t="shared" si="3"/>
        <v/>
      </c>
    </row>
    <row r="2481" ht="15.75" customHeight="1">
      <c r="B2481" s="77">
        <f t="shared" si="1"/>
        <v>0</v>
      </c>
      <c r="C2481" s="67"/>
      <c r="D2481" s="78"/>
      <c r="E2481" s="101"/>
      <c r="F2481" s="108"/>
      <c r="G2481" s="120"/>
      <c r="H2481" s="101"/>
      <c r="I2481" s="93"/>
      <c r="J2481" s="91"/>
      <c r="L2481" s="94" t="str">
        <f t="shared" si="2"/>
        <v>No infirmation</v>
      </c>
      <c r="M2481" s="94" t="str">
        <f t="shared" si="3"/>
        <v/>
      </c>
    </row>
    <row r="2482" ht="15.75" customHeight="1">
      <c r="B2482" s="77">
        <f t="shared" si="1"/>
        <v>0</v>
      </c>
      <c r="C2482" s="67"/>
      <c r="D2482" s="78"/>
      <c r="E2482" s="101"/>
      <c r="F2482" s="108"/>
      <c r="G2482" s="120"/>
      <c r="H2482" s="101"/>
      <c r="I2482" s="93"/>
      <c r="J2482" s="91"/>
      <c r="L2482" s="94" t="str">
        <f t="shared" si="2"/>
        <v>No infirmation</v>
      </c>
      <c r="M2482" s="94" t="str">
        <f t="shared" si="3"/>
        <v/>
      </c>
    </row>
    <row r="2483" ht="15.75" customHeight="1">
      <c r="B2483" s="77">
        <f t="shared" si="1"/>
        <v>0</v>
      </c>
      <c r="C2483" s="67"/>
      <c r="D2483" s="78"/>
      <c r="E2483" s="101"/>
      <c r="F2483" s="108"/>
      <c r="G2483" s="120"/>
      <c r="H2483" s="101"/>
      <c r="I2483" s="93"/>
      <c r="J2483" s="91"/>
      <c r="L2483" s="94" t="str">
        <f t="shared" si="2"/>
        <v>No infirmation</v>
      </c>
      <c r="M2483" s="94" t="str">
        <f t="shared" si="3"/>
        <v/>
      </c>
    </row>
    <row r="2484" ht="15.75" customHeight="1">
      <c r="B2484" s="77">
        <f t="shared" si="1"/>
        <v>0</v>
      </c>
      <c r="C2484" s="67"/>
      <c r="D2484" s="78"/>
      <c r="E2484" s="101"/>
      <c r="F2484" s="108"/>
      <c r="G2484" s="120"/>
      <c r="H2484" s="101"/>
      <c r="I2484" s="93"/>
      <c r="J2484" s="91"/>
      <c r="L2484" s="94" t="str">
        <f t="shared" si="2"/>
        <v>No infirmation</v>
      </c>
      <c r="M2484" s="94" t="str">
        <f t="shared" si="3"/>
        <v/>
      </c>
    </row>
    <row r="2485" ht="15.75" customHeight="1">
      <c r="B2485" s="77">
        <f t="shared" si="1"/>
        <v>0</v>
      </c>
      <c r="C2485" s="67"/>
      <c r="D2485" s="78"/>
      <c r="E2485" s="101"/>
      <c r="F2485" s="108"/>
      <c r="G2485" s="120"/>
      <c r="H2485" s="101"/>
      <c r="I2485" s="93"/>
      <c r="J2485" s="91"/>
      <c r="L2485" s="94" t="str">
        <f t="shared" si="2"/>
        <v>No infirmation</v>
      </c>
      <c r="M2485" s="94" t="str">
        <f t="shared" si="3"/>
        <v/>
      </c>
    </row>
    <row r="2486" ht="15.75" customHeight="1">
      <c r="B2486" s="77">
        <f t="shared" si="1"/>
        <v>0</v>
      </c>
      <c r="C2486" s="67"/>
      <c r="D2486" s="78"/>
      <c r="E2486" s="101"/>
      <c r="F2486" s="108"/>
      <c r="G2486" s="120"/>
      <c r="H2486" s="101"/>
      <c r="I2486" s="93"/>
      <c r="J2486" s="91"/>
      <c r="L2486" s="94" t="str">
        <f t="shared" si="2"/>
        <v>No infirmation</v>
      </c>
      <c r="M2486" s="94" t="str">
        <f t="shared" si="3"/>
        <v/>
      </c>
    </row>
    <row r="2487" ht="15.75" customHeight="1">
      <c r="B2487" s="77">
        <f t="shared" si="1"/>
        <v>0</v>
      </c>
      <c r="C2487" s="67"/>
      <c r="D2487" s="78"/>
      <c r="E2487" s="101"/>
      <c r="F2487" s="108"/>
      <c r="G2487" s="120"/>
      <c r="H2487" s="101"/>
      <c r="I2487" s="93"/>
      <c r="J2487" s="91"/>
      <c r="L2487" s="94" t="str">
        <f t="shared" si="2"/>
        <v>No infirmation</v>
      </c>
      <c r="M2487" s="94" t="str">
        <f t="shared" si="3"/>
        <v/>
      </c>
    </row>
    <row r="2488" ht="15.75" customHeight="1">
      <c r="B2488" s="77">
        <f t="shared" si="1"/>
        <v>0</v>
      </c>
      <c r="C2488" s="67"/>
      <c r="D2488" s="78"/>
      <c r="E2488" s="101"/>
      <c r="F2488" s="108"/>
      <c r="G2488" s="120"/>
      <c r="H2488" s="101"/>
      <c r="I2488" s="93"/>
      <c r="J2488" s="91"/>
      <c r="L2488" s="94" t="str">
        <f t="shared" si="2"/>
        <v>No infirmation</v>
      </c>
      <c r="M2488" s="94" t="str">
        <f t="shared" si="3"/>
        <v/>
      </c>
    </row>
    <row r="2489" ht="15.75" customHeight="1">
      <c r="B2489" s="77">
        <f t="shared" si="1"/>
        <v>0</v>
      </c>
      <c r="C2489" s="67"/>
      <c r="D2489" s="78"/>
      <c r="E2489" s="101"/>
      <c r="F2489" s="108"/>
      <c r="G2489" s="120"/>
      <c r="H2489" s="101"/>
      <c r="I2489" s="93"/>
      <c r="J2489" s="91"/>
      <c r="L2489" s="94" t="str">
        <f t="shared" si="2"/>
        <v>No infirmation</v>
      </c>
      <c r="M2489" s="94" t="str">
        <f t="shared" si="3"/>
        <v/>
      </c>
    </row>
    <row r="2490" ht="15.75" customHeight="1">
      <c r="B2490" s="77">
        <f t="shared" si="1"/>
        <v>0</v>
      </c>
      <c r="C2490" s="67"/>
      <c r="D2490" s="78"/>
      <c r="E2490" s="101"/>
      <c r="F2490" s="108"/>
      <c r="G2490" s="120"/>
      <c r="H2490" s="101"/>
      <c r="I2490" s="93"/>
      <c r="J2490" s="91"/>
      <c r="L2490" s="94" t="str">
        <f t="shared" si="2"/>
        <v>No infirmation</v>
      </c>
      <c r="M2490" s="94" t="str">
        <f t="shared" si="3"/>
        <v/>
      </c>
    </row>
    <row r="2491" ht="15.75" customHeight="1">
      <c r="B2491" s="77">
        <f t="shared" si="1"/>
        <v>0</v>
      </c>
      <c r="C2491" s="67"/>
      <c r="D2491" s="78"/>
      <c r="E2491" s="101"/>
      <c r="F2491" s="108"/>
      <c r="G2491" s="120"/>
      <c r="H2491" s="101"/>
      <c r="I2491" s="93"/>
      <c r="J2491" s="91"/>
      <c r="L2491" s="94" t="str">
        <f t="shared" si="2"/>
        <v>No infirmation</v>
      </c>
      <c r="M2491" s="94" t="str">
        <f t="shared" si="3"/>
        <v/>
      </c>
    </row>
    <row r="2492" ht="15.75" customHeight="1">
      <c r="B2492" s="77">
        <f t="shared" si="1"/>
        <v>0</v>
      </c>
      <c r="C2492" s="67"/>
      <c r="D2492" s="78"/>
      <c r="E2492" s="101"/>
      <c r="F2492" s="108"/>
      <c r="G2492" s="120"/>
      <c r="H2492" s="101"/>
      <c r="I2492" s="93"/>
      <c r="J2492" s="91"/>
      <c r="L2492" s="94" t="str">
        <f t="shared" si="2"/>
        <v>No infirmation</v>
      </c>
      <c r="M2492" s="94" t="str">
        <f t="shared" si="3"/>
        <v/>
      </c>
    </row>
    <row r="2493" ht="15.75" customHeight="1">
      <c r="B2493" s="77">
        <f t="shared" si="1"/>
        <v>0</v>
      </c>
      <c r="C2493" s="67"/>
      <c r="D2493" s="78"/>
      <c r="E2493" s="101"/>
      <c r="F2493" s="108"/>
      <c r="G2493" s="120"/>
      <c r="H2493" s="101"/>
      <c r="I2493" s="93"/>
      <c r="J2493" s="91"/>
      <c r="L2493" s="94" t="str">
        <f t="shared" si="2"/>
        <v>No infirmation</v>
      </c>
      <c r="M2493" s="94" t="str">
        <f t="shared" si="3"/>
        <v/>
      </c>
    </row>
    <row r="2494" ht="15.75" customHeight="1">
      <c r="B2494" s="77">
        <f t="shared" si="1"/>
        <v>0</v>
      </c>
      <c r="C2494" s="67"/>
      <c r="D2494" s="78"/>
      <c r="E2494" s="101"/>
      <c r="F2494" s="108"/>
      <c r="G2494" s="120"/>
      <c r="H2494" s="101"/>
      <c r="I2494" s="93"/>
      <c r="J2494" s="91"/>
      <c r="L2494" s="94" t="str">
        <f t="shared" si="2"/>
        <v>No infirmation</v>
      </c>
      <c r="M2494" s="94" t="str">
        <f t="shared" si="3"/>
        <v/>
      </c>
    </row>
    <row r="2495" ht="15.75" customHeight="1">
      <c r="B2495" s="77">
        <f t="shared" si="1"/>
        <v>0</v>
      </c>
      <c r="C2495" s="67"/>
      <c r="D2495" s="78"/>
      <c r="E2495" s="101"/>
      <c r="F2495" s="108"/>
      <c r="G2495" s="120"/>
      <c r="H2495" s="101"/>
      <c r="I2495" s="93"/>
      <c r="J2495" s="91"/>
      <c r="L2495" s="94" t="str">
        <f t="shared" si="2"/>
        <v>No infirmation</v>
      </c>
      <c r="M2495" s="94" t="str">
        <f t="shared" si="3"/>
        <v/>
      </c>
    </row>
    <row r="2496" ht="15.75" customHeight="1">
      <c r="B2496" s="77">
        <f t="shared" si="1"/>
        <v>0</v>
      </c>
      <c r="C2496" s="67"/>
      <c r="D2496" s="78"/>
      <c r="E2496" s="101"/>
      <c r="F2496" s="108"/>
      <c r="G2496" s="120"/>
      <c r="H2496" s="101"/>
      <c r="I2496" s="93"/>
      <c r="J2496" s="91"/>
      <c r="L2496" s="94" t="str">
        <f t="shared" si="2"/>
        <v>No infirmation</v>
      </c>
      <c r="M2496" s="94" t="str">
        <f t="shared" si="3"/>
        <v/>
      </c>
    </row>
    <row r="2497" ht="15.75" customHeight="1">
      <c r="B2497" s="77">
        <f t="shared" si="1"/>
        <v>0</v>
      </c>
      <c r="C2497" s="67"/>
      <c r="D2497" s="78"/>
      <c r="E2497" s="101"/>
      <c r="F2497" s="108"/>
      <c r="G2497" s="120"/>
      <c r="H2497" s="101"/>
      <c r="I2497" s="93"/>
      <c r="J2497" s="91"/>
      <c r="L2497" s="94" t="str">
        <f t="shared" si="2"/>
        <v>No infirmation</v>
      </c>
      <c r="M2497" s="94" t="str">
        <f t="shared" si="3"/>
        <v/>
      </c>
    </row>
    <row r="2498" ht="15.75" customHeight="1">
      <c r="B2498" s="77">
        <f t="shared" si="1"/>
        <v>0</v>
      </c>
      <c r="C2498" s="67"/>
      <c r="D2498" s="78"/>
      <c r="E2498" s="101"/>
      <c r="F2498" s="108"/>
      <c r="G2498" s="120"/>
      <c r="H2498" s="101"/>
      <c r="I2498" s="93"/>
      <c r="J2498" s="91"/>
      <c r="L2498" s="94" t="str">
        <f t="shared" si="2"/>
        <v>No infirmation</v>
      </c>
      <c r="M2498" s="94" t="str">
        <f t="shared" si="3"/>
        <v/>
      </c>
    </row>
    <row r="2499" ht="15.75" customHeight="1">
      <c r="B2499" s="77">
        <f t="shared" si="1"/>
        <v>0</v>
      </c>
      <c r="C2499" s="67"/>
      <c r="D2499" s="78"/>
      <c r="E2499" s="101"/>
      <c r="F2499" s="108"/>
      <c r="G2499" s="120"/>
      <c r="H2499" s="101"/>
      <c r="I2499" s="93"/>
      <c r="J2499" s="91"/>
      <c r="L2499" s="94" t="str">
        <f t="shared" si="2"/>
        <v>No infirmation</v>
      </c>
      <c r="M2499" s="94" t="str">
        <f t="shared" si="3"/>
        <v/>
      </c>
    </row>
    <row r="2500" ht="15.75" customHeight="1">
      <c r="B2500" s="77">
        <f t="shared" si="1"/>
        <v>0</v>
      </c>
      <c r="C2500" s="67"/>
      <c r="D2500" s="78"/>
      <c r="E2500" s="101"/>
      <c r="F2500" s="108"/>
      <c r="G2500" s="120"/>
      <c r="H2500" s="101"/>
      <c r="I2500" s="93"/>
      <c r="J2500" s="91"/>
      <c r="L2500" s="94" t="str">
        <f t="shared" si="2"/>
        <v>No infirmation</v>
      </c>
      <c r="M2500" s="94" t="str">
        <f t="shared" si="3"/>
        <v/>
      </c>
    </row>
    <row r="2501" ht="15.75" customHeight="1">
      <c r="B2501" s="77">
        <f t="shared" si="1"/>
        <v>0</v>
      </c>
      <c r="C2501" s="67"/>
      <c r="D2501" s="78"/>
      <c r="E2501" s="101"/>
      <c r="F2501" s="108"/>
      <c r="G2501" s="120"/>
      <c r="H2501" s="101"/>
      <c r="I2501" s="93"/>
      <c r="J2501" s="91"/>
      <c r="L2501" s="94" t="str">
        <f t="shared" si="2"/>
        <v>No infirmation</v>
      </c>
      <c r="M2501" s="94" t="str">
        <f t="shared" si="3"/>
        <v/>
      </c>
    </row>
    <row r="2502" ht="15.75" customHeight="1">
      <c r="B2502" s="77">
        <f t="shared" si="1"/>
        <v>0</v>
      </c>
      <c r="C2502" s="67"/>
      <c r="D2502" s="78"/>
      <c r="E2502" s="101"/>
      <c r="F2502" s="108"/>
      <c r="G2502" s="120"/>
      <c r="H2502" s="101"/>
      <c r="I2502" s="93"/>
      <c r="J2502" s="91"/>
      <c r="L2502" s="94" t="str">
        <f t="shared" si="2"/>
        <v>No infirmation</v>
      </c>
      <c r="M2502" s="94" t="str">
        <f t="shared" si="3"/>
        <v/>
      </c>
    </row>
    <row r="2503" ht="15.75" customHeight="1">
      <c r="B2503" s="77">
        <f t="shared" si="1"/>
        <v>0</v>
      </c>
      <c r="C2503" s="67"/>
      <c r="D2503" s="78"/>
      <c r="E2503" s="101"/>
      <c r="F2503" s="108"/>
      <c r="G2503" s="120"/>
      <c r="H2503" s="101"/>
      <c r="I2503" s="93"/>
      <c r="J2503" s="91"/>
      <c r="L2503" s="94" t="str">
        <f t="shared" si="2"/>
        <v>No infirmation</v>
      </c>
      <c r="M2503" s="94" t="str">
        <f t="shared" si="3"/>
        <v/>
      </c>
    </row>
    <row r="2504" ht="15.75" customHeight="1">
      <c r="B2504" s="77">
        <f t="shared" si="1"/>
        <v>0</v>
      </c>
      <c r="C2504" s="67"/>
      <c r="D2504" s="78"/>
      <c r="E2504" s="101"/>
      <c r="F2504" s="108"/>
      <c r="G2504" s="120"/>
      <c r="H2504" s="101"/>
      <c r="I2504" s="93"/>
      <c r="J2504" s="91"/>
      <c r="L2504" s="94" t="str">
        <f t="shared" si="2"/>
        <v>No infirmation</v>
      </c>
      <c r="M2504" s="94" t="str">
        <f t="shared" si="3"/>
        <v/>
      </c>
    </row>
    <row r="2505" ht="15.75" customHeight="1">
      <c r="B2505" s="77">
        <f t="shared" si="1"/>
        <v>0</v>
      </c>
      <c r="C2505" s="67"/>
      <c r="D2505" s="78"/>
      <c r="E2505" s="101"/>
      <c r="F2505" s="108"/>
      <c r="G2505" s="120"/>
      <c r="H2505" s="101"/>
      <c r="I2505" s="93"/>
      <c r="J2505" s="91"/>
      <c r="L2505" s="94" t="str">
        <f t="shared" si="2"/>
        <v>No infirmation</v>
      </c>
      <c r="M2505" s="94" t="str">
        <f t="shared" si="3"/>
        <v/>
      </c>
    </row>
    <row r="2506" ht="15.75" customHeight="1">
      <c r="B2506" s="77">
        <f t="shared" si="1"/>
        <v>0</v>
      </c>
      <c r="C2506" s="67"/>
      <c r="D2506" s="78"/>
      <c r="E2506" s="101"/>
      <c r="F2506" s="108"/>
      <c r="G2506" s="120"/>
      <c r="H2506" s="101"/>
      <c r="I2506" s="93"/>
      <c r="J2506" s="91"/>
      <c r="L2506" s="94" t="str">
        <f t="shared" si="2"/>
        <v>No infirmation</v>
      </c>
      <c r="M2506" s="94" t="str">
        <f t="shared" si="3"/>
        <v/>
      </c>
    </row>
    <row r="2507" ht="15.75" customHeight="1">
      <c r="B2507" s="77">
        <f t="shared" si="1"/>
        <v>0</v>
      </c>
      <c r="C2507" s="67"/>
      <c r="D2507" s="78"/>
      <c r="E2507" s="101"/>
      <c r="F2507" s="108"/>
      <c r="G2507" s="120"/>
      <c r="H2507" s="101"/>
      <c r="I2507" s="93"/>
      <c r="J2507" s="91"/>
      <c r="L2507" s="94" t="str">
        <f t="shared" si="2"/>
        <v>No infirmation</v>
      </c>
      <c r="M2507" s="94" t="str">
        <f t="shared" si="3"/>
        <v/>
      </c>
    </row>
    <row r="2508" ht="15.75" customHeight="1">
      <c r="B2508" s="77">
        <f t="shared" si="1"/>
        <v>0</v>
      </c>
      <c r="C2508" s="67"/>
      <c r="D2508" s="78"/>
      <c r="E2508" s="101"/>
      <c r="F2508" s="108"/>
      <c r="G2508" s="120"/>
      <c r="H2508" s="101"/>
      <c r="I2508" s="93"/>
      <c r="J2508" s="91"/>
      <c r="L2508" s="94" t="str">
        <f t="shared" si="2"/>
        <v>No infirmation</v>
      </c>
      <c r="M2508" s="94" t="str">
        <f t="shared" si="3"/>
        <v/>
      </c>
    </row>
    <row r="2509" ht="15.75" customHeight="1">
      <c r="B2509" s="77">
        <f t="shared" si="1"/>
        <v>0</v>
      </c>
      <c r="C2509" s="67"/>
      <c r="D2509" s="78"/>
      <c r="E2509" s="101"/>
      <c r="F2509" s="108"/>
      <c r="G2509" s="120"/>
      <c r="H2509" s="101"/>
      <c r="I2509" s="93"/>
      <c r="J2509" s="91"/>
      <c r="L2509" s="94" t="str">
        <f t="shared" si="2"/>
        <v>No infirmation</v>
      </c>
      <c r="M2509" s="94" t="str">
        <f t="shared" si="3"/>
        <v/>
      </c>
    </row>
    <row r="2510" ht="15.75" customHeight="1">
      <c r="B2510" s="77">
        <f t="shared" si="1"/>
        <v>0</v>
      </c>
      <c r="C2510" s="67"/>
      <c r="D2510" s="78"/>
      <c r="E2510" s="101"/>
      <c r="F2510" s="108"/>
      <c r="G2510" s="120"/>
      <c r="H2510" s="101"/>
      <c r="I2510" s="93"/>
      <c r="J2510" s="91"/>
      <c r="L2510" s="94" t="str">
        <f t="shared" si="2"/>
        <v>No infirmation</v>
      </c>
      <c r="M2510" s="94" t="str">
        <f t="shared" si="3"/>
        <v/>
      </c>
    </row>
    <row r="2511" ht="15.75" customHeight="1">
      <c r="B2511" s="77">
        <f t="shared" si="1"/>
        <v>0</v>
      </c>
      <c r="C2511" s="67"/>
      <c r="D2511" s="78"/>
      <c r="E2511" s="101"/>
      <c r="F2511" s="108"/>
      <c r="G2511" s="120"/>
      <c r="H2511" s="101"/>
      <c r="I2511" s="93"/>
      <c r="J2511" s="91"/>
      <c r="L2511" s="94" t="str">
        <f t="shared" si="2"/>
        <v>No infirmation</v>
      </c>
      <c r="M2511" s="94" t="str">
        <f t="shared" si="3"/>
        <v/>
      </c>
    </row>
    <row r="2512" ht="15.75" customHeight="1">
      <c r="B2512" s="77">
        <f t="shared" si="1"/>
        <v>0</v>
      </c>
      <c r="C2512" s="67"/>
      <c r="D2512" s="78"/>
      <c r="E2512" s="101"/>
      <c r="F2512" s="108"/>
      <c r="G2512" s="120"/>
      <c r="H2512" s="101"/>
      <c r="I2512" s="93"/>
      <c r="J2512" s="91"/>
      <c r="L2512" s="94" t="str">
        <f t="shared" si="2"/>
        <v>No infirmation</v>
      </c>
      <c r="M2512" s="94" t="str">
        <f t="shared" si="3"/>
        <v/>
      </c>
    </row>
    <row r="2513" ht="15.75" customHeight="1">
      <c r="B2513" s="77">
        <f t="shared" si="1"/>
        <v>0</v>
      </c>
      <c r="C2513" s="67"/>
      <c r="D2513" s="78"/>
      <c r="E2513" s="101"/>
      <c r="F2513" s="108"/>
      <c r="G2513" s="120"/>
      <c r="H2513" s="101"/>
      <c r="I2513" s="93"/>
      <c r="J2513" s="91"/>
      <c r="L2513" s="94" t="str">
        <f t="shared" si="2"/>
        <v>No infirmation</v>
      </c>
      <c r="M2513" s="94" t="str">
        <f t="shared" si="3"/>
        <v/>
      </c>
    </row>
    <row r="2514" ht="15.75" customHeight="1">
      <c r="B2514" s="77">
        <f t="shared" si="1"/>
        <v>0</v>
      </c>
      <c r="C2514" s="67"/>
      <c r="D2514" s="78"/>
      <c r="E2514" s="101"/>
      <c r="F2514" s="108"/>
      <c r="G2514" s="120"/>
      <c r="H2514" s="101"/>
      <c r="I2514" s="93"/>
      <c r="J2514" s="91"/>
      <c r="L2514" s="94" t="str">
        <f t="shared" si="2"/>
        <v>No infirmation</v>
      </c>
      <c r="M2514" s="94" t="str">
        <f t="shared" si="3"/>
        <v/>
      </c>
    </row>
    <row r="2515" ht="15.75" customHeight="1">
      <c r="B2515" s="77">
        <f t="shared" si="1"/>
        <v>0</v>
      </c>
      <c r="C2515" s="67"/>
      <c r="D2515" s="78"/>
      <c r="E2515" s="101"/>
      <c r="F2515" s="108"/>
      <c r="G2515" s="120"/>
      <c r="H2515" s="101"/>
      <c r="I2515" s="93"/>
      <c r="J2515" s="91"/>
      <c r="L2515" s="94" t="str">
        <f t="shared" si="2"/>
        <v>No infirmation</v>
      </c>
      <c r="M2515" s="94" t="str">
        <f t="shared" si="3"/>
        <v/>
      </c>
    </row>
    <row r="2516" ht="15.75" customHeight="1">
      <c r="B2516" s="77">
        <f t="shared" si="1"/>
        <v>0</v>
      </c>
      <c r="C2516" s="67"/>
      <c r="D2516" s="78"/>
      <c r="E2516" s="101"/>
      <c r="F2516" s="108"/>
      <c r="G2516" s="120"/>
      <c r="H2516" s="101"/>
      <c r="I2516" s="93"/>
      <c r="J2516" s="91"/>
      <c r="L2516" s="94" t="str">
        <f t="shared" si="2"/>
        <v>No infirmation</v>
      </c>
      <c r="M2516" s="94" t="str">
        <f t="shared" si="3"/>
        <v/>
      </c>
    </row>
    <row r="2517" ht="15.75" customHeight="1">
      <c r="B2517" s="77">
        <f t="shared" si="1"/>
        <v>0</v>
      </c>
      <c r="C2517" s="67"/>
      <c r="D2517" s="78"/>
      <c r="E2517" s="101"/>
      <c r="F2517" s="108"/>
      <c r="G2517" s="120"/>
      <c r="H2517" s="101"/>
      <c r="I2517" s="93"/>
      <c r="J2517" s="91"/>
      <c r="L2517" s="94" t="str">
        <f t="shared" si="2"/>
        <v>No infirmation</v>
      </c>
      <c r="M2517" s="94" t="str">
        <f t="shared" si="3"/>
        <v/>
      </c>
    </row>
    <row r="2518" ht="15.75" customHeight="1">
      <c r="B2518" s="77">
        <f t="shared" si="1"/>
        <v>0</v>
      </c>
      <c r="C2518" s="67"/>
      <c r="D2518" s="78"/>
      <c r="E2518" s="101"/>
      <c r="F2518" s="108"/>
      <c r="G2518" s="120"/>
      <c r="H2518" s="101"/>
      <c r="I2518" s="93"/>
      <c r="J2518" s="91"/>
      <c r="L2518" s="94" t="str">
        <f t="shared" si="2"/>
        <v>No infirmation</v>
      </c>
      <c r="M2518" s="94" t="str">
        <f t="shared" si="3"/>
        <v/>
      </c>
    </row>
    <row r="2519" ht="15.75" customHeight="1">
      <c r="B2519" s="77">
        <f t="shared" si="1"/>
        <v>0</v>
      </c>
      <c r="C2519" s="67"/>
      <c r="D2519" s="78"/>
      <c r="E2519" s="101"/>
      <c r="F2519" s="108"/>
      <c r="G2519" s="120"/>
      <c r="H2519" s="101"/>
      <c r="I2519" s="93"/>
      <c r="J2519" s="91"/>
      <c r="L2519" s="94" t="str">
        <f t="shared" si="2"/>
        <v>No infirmation</v>
      </c>
      <c r="M2519" s="94" t="str">
        <f t="shared" si="3"/>
        <v/>
      </c>
    </row>
    <row r="2520" ht="15.75" customHeight="1">
      <c r="B2520" s="77">
        <f t="shared" si="1"/>
        <v>0</v>
      </c>
      <c r="C2520" s="67"/>
      <c r="D2520" s="78"/>
      <c r="E2520" s="101"/>
      <c r="F2520" s="108"/>
      <c r="G2520" s="120"/>
      <c r="H2520" s="101"/>
      <c r="I2520" s="93"/>
      <c r="J2520" s="91"/>
      <c r="L2520" s="94" t="str">
        <f t="shared" si="2"/>
        <v>No infirmation</v>
      </c>
      <c r="M2520" s="94" t="str">
        <f t="shared" si="3"/>
        <v/>
      </c>
    </row>
    <row r="2521" ht="15.75" customHeight="1">
      <c r="B2521" s="77">
        <f t="shared" si="1"/>
        <v>0</v>
      </c>
      <c r="C2521" s="67"/>
      <c r="D2521" s="78"/>
      <c r="E2521" s="101"/>
      <c r="F2521" s="108"/>
      <c r="G2521" s="120"/>
      <c r="H2521" s="101"/>
      <c r="I2521" s="93"/>
      <c r="J2521" s="91"/>
      <c r="L2521" s="94" t="str">
        <f t="shared" si="2"/>
        <v>No infirmation</v>
      </c>
      <c r="M2521" s="94" t="str">
        <f t="shared" si="3"/>
        <v/>
      </c>
    </row>
    <row r="2522" ht="15.75" customHeight="1">
      <c r="B2522" s="77">
        <f t="shared" si="1"/>
        <v>0</v>
      </c>
      <c r="C2522" s="67"/>
      <c r="D2522" s="78"/>
      <c r="E2522" s="101"/>
      <c r="F2522" s="108"/>
      <c r="G2522" s="120"/>
      <c r="H2522" s="101"/>
      <c r="I2522" s="93"/>
      <c r="J2522" s="91"/>
      <c r="L2522" s="94" t="str">
        <f t="shared" si="2"/>
        <v>No infirmation</v>
      </c>
      <c r="M2522" s="94" t="str">
        <f t="shared" si="3"/>
        <v/>
      </c>
    </row>
    <row r="2523" ht="15.75" customHeight="1">
      <c r="B2523" s="77">
        <f t="shared" si="1"/>
        <v>0</v>
      </c>
      <c r="C2523" s="67"/>
      <c r="D2523" s="78"/>
      <c r="E2523" s="101"/>
      <c r="F2523" s="108"/>
      <c r="G2523" s="120"/>
      <c r="H2523" s="101"/>
      <c r="I2523" s="93"/>
      <c r="J2523" s="91"/>
      <c r="L2523" s="94" t="str">
        <f t="shared" si="2"/>
        <v>No infirmation</v>
      </c>
      <c r="M2523" s="94" t="str">
        <f t="shared" si="3"/>
        <v/>
      </c>
    </row>
    <row r="2524" ht="15.75" customHeight="1">
      <c r="B2524" s="77">
        <f t="shared" si="1"/>
        <v>0</v>
      </c>
      <c r="C2524" s="67"/>
      <c r="D2524" s="78"/>
      <c r="E2524" s="101"/>
      <c r="F2524" s="108"/>
      <c r="G2524" s="120"/>
      <c r="H2524" s="101"/>
      <c r="I2524" s="93"/>
      <c r="J2524" s="91"/>
      <c r="L2524" s="94" t="str">
        <f t="shared" si="2"/>
        <v>No infirmation</v>
      </c>
      <c r="M2524" s="94" t="str">
        <f t="shared" si="3"/>
        <v/>
      </c>
    </row>
    <row r="2525" ht="15.75" customHeight="1">
      <c r="B2525" s="77">
        <f t="shared" si="1"/>
        <v>0</v>
      </c>
      <c r="C2525" s="67"/>
      <c r="D2525" s="78"/>
      <c r="E2525" s="101"/>
      <c r="F2525" s="108"/>
      <c r="G2525" s="120"/>
      <c r="H2525" s="101"/>
      <c r="I2525" s="93"/>
      <c r="J2525" s="91"/>
      <c r="L2525" s="94" t="str">
        <f t="shared" si="2"/>
        <v>No infirmation</v>
      </c>
      <c r="M2525" s="94" t="str">
        <f t="shared" si="3"/>
        <v/>
      </c>
    </row>
    <row r="2526" ht="15.75" customHeight="1">
      <c r="B2526" s="77">
        <f t="shared" si="1"/>
        <v>0</v>
      </c>
      <c r="C2526" s="67"/>
      <c r="D2526" s="78"/>
      <c r="E2526" s="101"/>
      <c r="F2526" s="108"/>
      <c r="G2526" s="120"/>
      <c r="H2526" s="101"/>
      <c r="I2526" s="93"/>
      <c r="J2526" s="91"/>
      <c r="L2526" s="94" t="str">
        <f t="shared" si="2"/>
        <v>No infirmation</v>
      </c>
      <c r="M2526" s="94" t="str">
        <f t="shared" si="3"/>
        <v/>
      </c>
    </row>
    <row r="2527" ht="15.75" customHeight="1">
      <c r="B2527" s="77">
        <f t="shared" si="1"/>
        <v>0</v>
      </c>
      <c r="C2527" s="67"/>
      <c r="D2527" s="78"/>
      <c r="E2527" s="101"/>
      <c r="F2527" s="108"/>
      <c r="G2527" s="120"/>
      <c r="H2527" s="101"/>
      <c r="I2527" s="93"/>
      <c r="J2527" s="91"/>
      <c r="L2527" s="94" t="str">
        <f t="shared" si="2"/>
        <v>No infirmation</v>
      </c>
      <c r="M2527" s="94" t="str">
        <f t="shared" si="3"/>
        <v/>
      </c>
    </row>
    <row r="2528" ht="15.75" customHeight="1">
      <c r="B2528" s="77">
        <f t="shared" si="1"/>
        <v>0</v>
      </c>
      <c r="C2528" s="67"/>
      <c r="D2528" s="78"/>
      <c r="E2528" s="101"/>
      <c r="F2528" s="108"/>
      <c r="G2528" s="120"/>
      <c r="H2528" s="101"/>
      <c r="I2528" s="93"/>
      <c r="J2528" s="91"/>
      <c r="L2528" s="94" t="str">
        <f t="shared" si="2"/>
        <v>No infirmation</v>
      </c>
      <c r="M2528" s="94" t="str">
        <f t="shared" si="3"/>
        <v/>
      </c>
    </row>
    <row r="2529" ht="15.75" customHeight="1">
      <c r="B2529" s="77">
        <f t="shared" si="1"/>
        <v>0</v>
      </c>
      <c r="C2529" s="67"/>
      <c r="D2529" s="78"/>
      <c r="E2529" s="101"/>
      <c r="F2529" s="108"/>
      <c r="G2529" s="120"/>
      <c r="H2529" s="101"/>
      <c r="I2529" s="93"/>
      <c r="J2529" s="91"/>
      <c r="L2529" s="94" t="str">
        <f t="shared" si="2"/>
        <v>No infirmation</v>
      </c>
      <c r="M2529" s="94" t="str">
        <f t="shared" si="3"/>
        <v/>
      </c>
    </row>
    <row r="2530" ht="15.75" customHeight="1">
      <c r="B2530" s="77">
        <f t="shared" si="1"/>
        <v>0</v>
      </c>
      <c r="C2530" s="67"/>
      <c r="D2530" s="78"/>
      <c r="E2530" s="101"/>
      <c r="F2530" s="108"/>
      <c r="G2530" s="120"/>
      <c r="H2530" s="101"/>
      <c r="I2530" s="93"/>
      <c r="J2530" s="91"/>
      <c r="L2530" s="94" t="str">
        <f t="shared" si="2"/>
        <v>No infirmation</v>
      </c>
      <c r="M2530" s="94" t="str">
        <f t="shared" si="3"/>
        <v/>
      </c>
    </row>
    <row r="2531" ht="15.75" customHeight="1">
      <c r="B2531" s="77">
        <f t="shared" si="1"/>
        <v>0</v>
      </c>
      <c r="C2531" s="67"/>
      <c r="D2531" s="78"/>
      <c r="E2531" s="101"/>
      <c r="F2531" s="108"/>
      <c r="G2531" s="120"/>
      <c r="H2531" s="101"/>
      <c r="I2531" s="93"/>
      <c r="J2531" s="91"/>
      <c r="L2531" s="94" t="str">
        <f t="shared" si="2"/>
        <v>No infirmation</v>
      </c>
      <c r="M2531" s="94" t="str">
        <f t="shared" si="3"/>
        <v/>
      </c>
    </row>
    <row r="2532" ht="15.75" customHeight="1">
      <c r="B2532" s="77">
        <f t="shared" si="1"/>
        <v>0</v>
      </c>
      <c r="C2532" s="67"/>
      <c r="D2532" s="78"/>
      <c r="E2532" s="101"/>
      <c r="F2532" s="108"/>
      <c r="G2532" s="120"/>
      <c r="H2532" s="101"/>
      <c r="I2532" s="93"/>
      <c r="J2532" s="91"/>
      <c r="L2532" s="94" t="str">
        <f t="shared" si="2"/>
        <v>No infirmation</v>
      </c>
      <c r="M2532" s="94" t="str">
        <f t="shared" si="3"/>
        <v/>
      </c>
    </row>
    <row r="2533" ht="15.75" customHeight="1">
      <c r="B2533" s="77">
        <f t="shared" si="1"/>
        <v>0</v>
      </c>
      <c r="C2533" s="67"/>
      <c r="D2533" s="78"/>
      <c r="E2533" s="101"/>
      <c r="F2533" s="108"/>
      <c r="G2533" s="120"/>
      <c r="H2533" s="101"/>
      <c r="I2533" s="93"/>
      <c r="J2533" s="91"/>
      <c r="L2533" s="94" t="str">
        <f t="shared" si="2"/>
        <v>No infirmation</v>
      </c>
      <c r="M2533" s="94" t="str">
        <f t="shared" si="3"/>
        <v/>
      </c>
    </row>
    <row r="2534" ht="15.75" customHeight="1">
      <c r="B2534" s="77">
        <f t="shared" si="1"/>
        <v>0</v>
      </c>
      <c r="C2534" s="67"/>
      <c r="D2534" s="78"/>
      <c r="E2534" s="101"/>
      <c r="F2534" s="108"/>
      <c r="G2534" s="120"/>
      <c r="H2534" s="101"/>
      <c r="I2534" s="93"/>
      <c r="J2534" s="91"/>
      <c r="L2534" s="94" t="str">
        <f t="shared" si="2"/>
        <v>No infirmation</v>
      </c>
      <c r="M2534" s="94" t="str">
        <f t="shared" si="3"/>
        <v/>
      </c>
    </row>
    <row r="2535" ht="15.75" customHeight="1">
      <c r="B2535" s="77">
        <f t="shared" si="1"/>
        <v>0</v>
      </c>
      <c r="C2535" s="67"/>
      <c r="D2535" s="78"/>
      <c r="E2535" s="101"/>
      <c r="F2535" s="108"/>
      <c r="G2535" s="120"/>
      <c r="H2535" s="101"/>
      <c r="I2535" s="93"/>
      <c r="J2535" s="91"/>
      <c r="L2535" s="94" t="str">
        <f t="shared" si="2"/>
        <v>No infirmation</v>
      </c>
      <c r="M2535" s="94" t="str">
        <f t="shared" si="3"/>
        <v/>
      </c>
    </row>
    <row r="2536" ht="15.75" customHeight="1">
      <c r="B2536" s="77">
        <f t="shared" si="1"/>
        <v>0</v>
      </c>
      <c r="C2536" s="67"/>
      <c r="D2536" s="78"/>
      <c r="E2536" s="101"/>
      <c r="F2536" s="108"/>
      <c r="G2536" s="120"/>
      <c r="H2536" s="101"/>
      <c r="I2536" s="93"/>
      <c r="J2536" s="91"/>
      <c r="L2536" s="94" t="str">
        <f t="shared" si="2"/>
        <v>No infirmation</v>
      </c>
      <c r="M2536" s="94" t="str">
        <f t="shared" si="3"/>
        <v/>
      </c>
    </row>
    <row r="2537" ht="15.75" customHeight="1">
      <c r="B2537" s="77">
        <f t="shared" si="1"/>
        <v>0</v>
      </c>
      <c r="C2537" s="67"/>
      <c r="D2537" s="78"/>
      <c r="E2537" s="101"/>
      <c r="F2537" s="108"/>
      <c r="G2537" s="120"/>
      <c r="H2537" s="101"/>
      <c r="I2537" s="93"/>
      <c r="J2537" s="91"/>
      <c r="L2537" s="94" t="str">
        <f t="shared" si="2"/>
        <v>No infirmation</v>
      </c>
      <c r="M2537" s="94" t="str">
        <f t="shared" si="3"/>
        <v/>
      </c>
    </row>
    <row r="2538" ht="15.75" customHeight="1">
      <c r="B2538" s="77">
        <f t="shared" si="1"/>
        <v>0</v>
      </c>
      <c r="C2538" s="67"/>
      <c r="D2538" s="78"/>
      <c r="E2538" s="101"/>
      <c r="F2538" s="108"/>
      <c r="G2538" s="120"/>
      <c r="H2538" s="101"/>
      <c r="I2538" s="93"/>
      <c r="J2538" s="91"/>
      <c r="L2538" s="94" t="str">
        <f t="shared" si="2"/>
        <v>No infirmation</v>
      </c>
      <c r="M2538" s="94" t="str">
        <f t="shared" si="3"/>
        <v/>
      </c>
    </row>
    <row r="2539" ht="15.75" customHeight="1">
      <c r="B2539" s="77">
        <f t="shared" si="1"/>
        <v>0</v>
      </c>
      <c r="C2539" s="67"/>
      <c r="D2539" s="78"/>
      <c r="E2539" s="101"/>
      <c r="F2539" s="108"/>
      <c r="G2539" s="120"/>
      <c r="H2539" s="101"/>
      <c r="I2539" s="93"/>
      <c r="J2539" s="91"/>
      <c r="L2539" s="94" t="str">
        <f t="shared" si="2"/>
        <v>No infirmation</v>
      </c>
      <c r="M2539" s="94" t="str">
        <f t="shared" si="3"/>
        <v/>
      </c>
    </row>
    <row r="2540" ht="15.75" customHeight="1">
      <c r="B2540" s="77">
        <f t="shared" si="1"/>
        <v>0</v>
      </c>
      <c r="C2540" s="67"/>
      <c r="D2540" s="78"/>
      <c r="E2540" s="101"/>
      <c r="F2540" s="108"/>
      <c r="G2540" s="120"/>
      <c r="H2540" s="101"/>
      <c r="I2540" s="93"/>
      <c r="J2540" s="91"/>
      <c r="L2540" s="94" t="str">
        <f t="shared" si="2"/>
        <v>No infirmation</v>
      </c>
      <c r="M2540" s="94" t="str">
        <f t="shared" si="3"/>
        <v/>
      </c>
    </row>
    <row r="2541" ht="15.75" customHeight="1">
      <c r="B2541" s="77">
        <f t="shared" si="1"/>
        <v>0</v>
      </c>
      <c r="C2541" s="67"/>
      <c r="D2541" s="78"/>
      <c r="E2541" s="101"/>
      <c r="F2541" s="108"/>
      <c r="G2541" s="120"/>
      <c r="H2541" s="101"/>
      <c r="I2541" s="93"/>
      <c r="J2541" s="91"/>
      <c r="L2541" s="94" t="str">
        <f t="shared" si="2"/>
        <v>No infirmation</v>
      </c>
      <c r="M2541" s="94" t="str">
        <f t="shared" si="3"/>
        <v/>
      </c>
    </row>
    <row r="2542" ht="15.75" customHeight="1">
      <c r="B2542" s="77">
        <f t="shared" si="1"/>
        <v>0</v>
      </c>
      <c r="C2542" s="67"/>
      <c r="D2542" s="78"/>
      <c r="E2542" s="101"/>
      <c r="F2542" s="108"/>
      <c r="G2542" s="120"/>
      <c r="H2542" s="101"/>
      <c r="I2542" s="93"/>
      <c r="J2542" s="91"/>
      <c r="L2542" s="94" t="str">
        <f t="shared" si="2"/>
        <v>No infirmation</v>
      </c>
      <c r="M2542" s="94" t="str">
        <f t="shared" si="3"/>
        <v/>
      </c>
    </row>
    <row r="2543" ht="15.75" customHeight="1">
      <c r="B2543" s="77">
        <f t="shared" si="1"/>
        <v>0</v>
      </c>
      <c r="C2543" s="67"/>
      <c r="D2543" s="78"/>
      <c r="E2543" s="101"/>
      <c r="F2543" s="108"/>
      <c r="G2543" s="120"/>
      <c r="H2543" s="101"/>
      <c r="I2543" s="93"/>
      <c r="J2543" s="91"/>
      <c r="L2543" s="94" t="str">
        <f t="shared" si="2"/>
        <v>No infirmation</v>
      </c>
      <c r="M2543" s="94" t="str">
        <f t="shared" si="3"/>
        <v/>
      </c>
    </row>
    <row r="2544" ht="15.75" customHeight="1">
      <c r="B2544" s="77">
        <f t="shared" si="1"/>
        <v>0</v>
      </c>
      <c r="C2544" s="67"/>
      <c r="D2544" s="78"/>
      <c r="E2544" s="101"/>
      <c r="F2544" s="108"/>
      <c r="G2544" s="120"/>
      <c r="H2544" s="101"/>
      <c r="I2544" s="93"/>
      <c r="J2544" s="91"/>
      <c r="L2544" s="94" t="str">
        <f t="shared" si="2"/>
        <v>No infirmation</v>
      </c>
      <c r="M2544" s="94" t="str">
        <f t="shared" si="3"/>
        <v/>
      </c>
    </row>
    <row r="2545" ht="15.75" customHeight="1">
      <c r="B2545" s="77">
        <f t="shared" si="1"/>
        <v>0</v>
      </c>
      <c r="C2545" s="67"/>
      <c r="D2545" s="78"/>
      <c r="E2545" s="101"/>
      <c r="F2545" s="108"/>
      <c r="G2545" s="120"/>
      <c r="H2545" s="101"/>
      <c r="I2545" s="93"/>
      <c r="J2545" s="91"/>
      <c r="L2545" s="94" t="str">
        <f t="shared" si="2"/>
        <v>No infirmation</v>
      </c>
      <c r="M2545" s="94" t="str">
        <f t="shared" si="3"/>
        <v/>
      </c>
    </row>
    <row r="2546" ht="15.75" customHeight="1">
      <c r="B2546" s="77">
        <f t="shared" si="1"/>
        <v>0</v>
      </c>
      <c r="C2546" s="67"/>
      <c r="D2546" s="78"/>
      <c r="E2546" s="101"/>
      <c r="F2546" s="108"/>
      <c r="G2546" s="120"/>
      <c r="H2546" s="101"/>
      <c r="I2546" s="93"/>
      <c r="J2546" s="91"/>
      <c r="L2546" s="94" t="str">
        <f t="shared" si="2"/>
        <v>No infirmation</v>
      </c>
      <c r="M2546" s="94" t="str">
        <f t="shared" si="3"/>
        <v/>
      </c>
    </row>
    <row r="2547" ht="15.75" customHeight="1">
      <c r="B2547" s="77">
        <f t="shared" si="1"/>
        <v>0</v>
      </c>
      <c r="C2547" s="67"/>
      <c r="D2547" s="78"/>
      <c r="E2547" s="101"/>
      <c r="F2547" s="108"/>
      <c r="G2547" s="120"/>
      <c r="H2547" s="101"/>
      <c r="I2547" s="93"/>
      <c r="J2547" s="91"/>
      <c r="L2547" s="94" t="str">
        <f t="shared" si="2"/>
        <v>No infirmation</v>
      </c>
      <c r="M2547" s="94" t="str">
        <f t="shared" si="3"/>
        <v/>
      </c>
    </row>
    <row r="2548" ht="15.75" customHeight="1">
      <c r="B2548" s="77">
        <f t="shared" si="1"/>
        <v>0</v>
      </c>
      <c r="C2548" s="67"/>
      <c r="D2548" s="78"/>
      <c r="E2548" s="101"/>
      <c r="F2548" s="108"/>
      <c r="G2548" s="120"/>
      <c r="H2548" s="101"/>
      <c r="I2548" s="93"/>
      <c r="J2548" s="91"/>
      <c r="L2548" s="94" t="str">
        <f t="shared" si="2"/>
        <v>No infirmation</v>
      </c>
      <c r="M2548" s="94" t="str">
        <f t="shared" si="3"/>
        <v/>
      </c>
    </row>
    <row r="2549" ht="15.75" customHeight="1">
      <c r="B2549" s="77">
        <f t="shared" si="1"/>
        <v>0</v>
      </c>
      <c r="C2549" s="67"/>
      <c r="D2549" s="78"/>
      <c r="E2549" s="101"/>
      <c r="F2549" s="108"/>
      <c r="G2549" s="120"/>
      <c r="H2549" s="101"/>
      <c r="I2549" s="93"/>
      <c r="J2549" s="91"/>
      <c r="L2549" s="94" t="str">
        <f t="shared" si="2"/>
        <v>No infirmation</v>
      </c>
      <c r="M2549" s="94" t="str">
        <f t="shared" si="3"/>
        <v/>
      </c>
    </row>
    <row r="2550" ht="15.75" customHeight="1">
      <c r="B2550" s="77">
        <f t="shared" si="1"/>
        <v>0</v>
      </c>
      <c r="C2550" s="67"/>
      <c r="D2550" s="78"/>
      <c r="E2550" s="101"/>
      <c r="F2550" s="108"/>
      <c r="G2550" s="120"/>
      <c r="H2550" s="101"/>
      <c r="I2550" s="93"/>
      <c r="J2550" s="91"/>
      <c r="L2550" s="94" t="str">
        <f t="shared" si="2"/>
        <v>No infirmation</v>
      </c>
      <c r="M2550" s="94" t="str">
        <f t="shared" si="3"/>
        <v/>
      </c>
    </row>
    <row r="2551" ht="15.75" customHeight="1">
      <c r="B2551" s="77">
        <f t="shared" si="1"/>
        <v>0</v>
      </c>
      <c r="C2551" s="67"/>
      <c r="D2551" s="78"/>
      <c r="E2551" s="101"/>
      <c r="F2551" s="108"/>
      <c r="G2551" s="120"/>
      <c r="H2551" s="101"/>
      <c r="I2551" s="93"/>
      <c r="J2551" s="91"/>
      <c r="L2551" s="94" t="str">
        <f t="shared" si="2"/>
        <v>No infirmation</v>
      </c>
      <c r="M2551" s="94" t="str">
        <f t="shared" si="3"/>
        <v/>
      </c>
    </row>
    <row r="2552" ht="15.75" customHeight="1">
      <c r="B2552" s="77">
        <f t="shared" si="1"/>
        <v>0</v>
      </c>
      <c r="C2552" s="67"/>
      <c r="D2552" s="78"/>
      <c r="E2552" s="101"/>
      <c r="F2552" s="108"/>
      <c r="G2552" s="120"/>
      <c r="H2552" s="101"/>
      <c r="I2552" s="93"/>
      <c r="J2552" s="91"/>
      <c r="L2552" s="94" t="str">
        <f t="shared" si="2"/>
        <v>No infirmation</v>
      </c>
      <c r="M2552" s="94" t="str">
        <f t="shared" si="3"/>
        <v/>
      </c>
    </row>
    <row r="2553" ht="15.75" customHeight="1">
      <c r="B2553" s="77">
        <f t="shared" si="1"/>
        <v>0</v>
      </c>
      <c r="C2553" s="67"/>
      <c r="D2553" s="78"/>
      <c r="E2553" s="101"/>
      <c r="F2553" s="108"/>
      <c r="G2553" s="120"/>
      <c r="H2553" s="101"/>
      <c r="I2553" s="93"/>
      <c r="J2553" s="91"/>
      <c r="L2553" s="94" t="str">
        <f t="shared" si="2"/>
        <v>No infirmation</v>
      </c>
      <c r="M2553" s="94" t="str">
        <f t="shared" si="3"/>
        <v/>
      </c>
    </row>
    <row r="2554" ht="15.75" customHeight="1">
      <c r="B2554" s="77">
        <f t="shared" si="1"/>
        <v>0</v>
      </c>
      <c r="C2554" s="67"/>
      <c r="D2554" s="78"/>
      <c r="E2554" s="101"/>
      <c r="F2554" s="108"/>
      <c r="G2554" s="120"/>
      <c r="H2554" s="101"/>
      <c r="I2554" s="93"/>
      <c r="J2554" s="91"/>
      <c r="L2554" s="94" t="str">
        <f t="shared" si="2"/>
        <v>No infirmation</v>
      </c>
      <c r="M2554" s="94" t="str">
        <f t="shared" si="3"/>
        <v/>
      </c>
    </row>
    <row r="2555" ht="15.75" customHeight="1">
      <c r="B2555" s="77">
        <f t="shared" si="1"/>
        <v>0</v>
      </c>
      <c r="C2555" s="67"/>
      <c r="D2555" s="78"/>
      <c r="E2555" s="101"/>
      <c r="F2555" s="108"/>
      <c r="G2555" s="120"/>
      <c r="H2555" s="101"/>
      <c r="I2555" s="93"/>
      <c r="J2555" s="91"/>
      <c r="L2555" s="94" t="str">
        <f t="shared" si="2"/>
        <v>No infirmation</v>
      </c>
      <c r="M2555" s="94" t="str">
        <f t="shared" si="3"/>
        <v/>
      </c>
    </row>
    <row r="2556" ht="15.75" customHeight="1">
      <c r="B2556" s="77">
        <f t="shared" si="1"/>
        <v>0</v>
      </c>
      <c r="C2556" s="67"/>
      <c r="D2556" s="78"/>
      <c r="E2556" s="101"/>
      <c r="F2556" s="108"/>
      <c r="G2556" s="120"/>
      <c r="H2556" s="101"/>
      <c r="I2556" s="93"/>
      <c r="J2556" s="91"/>
      <c r="L2556" s="94" t="str">
        <f t="shared" si="2"/>
        <v>No infirmation</v>
      </c>
      <c r="M2556" s="94" t="str">
        <f t="shared" si="3"/>
        <v/>
      </c>
    </row>
    <row r="2557" ht="15.75" customHeight="1">
      <c r="B2557" s="77">
        <f t="shared" si="1"/>
        <v>0</v>
      </c>
      <c r="C2557" s="67"/>
      <c r="D2557" s="78"/>
      <c r="E2557" s="101"/>
      <c r="F2557" s="108"/>
      <c r="G2557" s="120"/>
      <c r="H2557" s="101"/>
      <c r="I2557" s="93"/>
      <c r="J2557" s="91"/>
      <c r="L2557" s="94" t="str">
        <f t="shared" si="2"/>
        <v>No infirmation</v>
      </c>
      <c r="M2557" s="94" t="str">
        <f t="shared" si="3"/>
        <v/>
      </c>
    </row>
    <row r="2558" ht="15.75" customHeight="1">
      <c r="B2558" s="77">
        <f t="shared" si="1"/>
        <v>0</v>
      </c>
      <c r="C2558" s="67"/>
      <c r="D2558" s="78"/>
      <c r="E2558" s="101"/>
      <c r="F2558" s="108"/>
      <c r="G2558" s="120"/>
      <c r="H2558" s="101"/>
      <c r="I2558" s="93"/>
      <c r="J2558" s="91"/>
      <c r="L2558" s="94" t="str">
        <f t="shared" si="2"/>
        <v>No infirmation</v>
      </c>
      <c r="M2558" s="94" t="str">
        <f t="shared" si="3"/>
        <v/>
      </c>
    </row>
    <row r="2559" ht="15.75" customHeight="1">
      <c r="B2559" s="77">
        <f t="shared" si="1"/>
        <v>0</v>
      </c>
      <c r="C2559" s="67"/>
      <c r="D2559" s="78"/>
      <c r="E2559" s="101"/>
      <c r="F2559" s="108"/>
      <c r="G2559" s="120"/>
      <c r="H2559" s="101"/>
      <c r="I2559" s="93"/>
      <c r="J2559" s="91"/>
      <c r="L2559" s="94" t="str">
        <f t="shared" si="2"/>
        <v>No infirmation</v>
      </c>
      <c r="M2559" s="94" t="str">
        <f t="shared" si="3"/>
        <v/>
      </c>
    </row>
    <row r="2560" ht="15.75" customHeight="1">
      <c r="B2560" s="77">
        <f t="shared" si="1"/>
        <v>0</v>
      </c>
      <c r="C2560" s="67"/>
      <c r="D2560" s="78"/>
      <c r="E2560" s="101"/>
      <c r="F2560" s="108"/>
      <c r="G2560" s="120"/>
      <c r="H2560" s="101"/>
      <c r="I2560" s="93"/>
      <c r="J2560" s="91"/>
      <c r="L2560" s="94" t="str">
        <f t="shared" si="2"/>
        <v>No infirmation</v>
      </c>
      <c r="M2560" s="94" t="str">
        <f t="shared" si="3"/>
        <v/>
      </c>
    </row>
    <row r="2561" ht="15.75" customHeight="1">
      <c r="B2561" s="77">
        <f t="shared" si="1"/>
        <v>0</v>
      </c>
      <c r="C2561" s="67"/>
      <c r="D2561" s="78"/>
      <c r="E2561" s="101"/>
      <c r="F2561" s="108"/>
      <c r="G2561" s="120"/>
      <c r="H2561" s="101"/>
      <c r="I2561" s="93"/>
      <c r="J2561" s="91"/>
      <c r="L2561" s="94" t="str">
        <f t="shared" si="2"/>
        <v>No infirmation</v>
      </c>
      <c r="M2561" s="94" t="str">
        <f t="shared" si="3"/>
        <v/>
      </c>
    </row>
    <row r="2562" ht="15.75" customHeight="1">
      <c r="B2562" s="77">
        <f t="shared" si="1"/>
        <v>0</v>
      </c>
      <c r="C2562" s="67"/>
      <c r="D2562" s="78"/>
      <c r="E2562" s="101"/>
      <c r="F2562" s="108"/>
      <c r="G2562" s="120"/>
      <c r="H2562" s="101"/>
      <c r="I2562" s="93"/>
      <c r="J2562" s="91"/>
      <c r="L2562" s="94" t="str">
        <f t="shared" si="2"/>
        <v>No infirmation</v>
      </c>
      <c r="M2562" s="94" t="str">
        <f t="shared" si="3"/>
        <v/>
      </c>
    </row>
    <row r="2563" ht="15.75" customHeight="1">
      <c r="B2563" s="77">
        <f t="shared" si="1"/>
        <v>0</v>
      </c>
      <c r="C2563" s="67"/>
      <c r="D2563" s="78"/>
      <c r="E2563" s="101"/>
      <c r="F2563" s="108"/>
      <c r="G2563" s="120"/>
      <c r="H2563" s="101"/>
      <c r="I2563" s="93"/>
      <c r="J2563" s="91"/>
      <c r="L2563" s="94" t="str">
        <f t="shared" si="2"/>
        <v>No infirmation</v>
      </c>
      <c r="M2563" s="94" t="str">
        <f t="shared" si="3"/>
        <v/>
      </c>
    </row>
    <row r="2564" ht="15.75" customHeight="1">
      <c r="B2564" s="77">
        <f t="shared" si="1"/>
        <v>0</v>
      </c>
      <c r="C2564" s="67"/>
      <c r="D2564" s="78"/>
      <c r="E2564" s="101"/>
      <c r="F2564" s="108"/>
      <c r="G2564" s="120"/>
      <c r="H2564" s="101"/>
      <c r="I2564" s="93"/>
      <c r="J2564" s="91"/>
      <c r="L2564" s="94" t="str">
        <f t="shared" si="2"/>
        <v>No infirmation</v>
      </c>
      <c r="M2564" s="94" t="str">
        <f t="shared" si="3"/>
        <v/>
      </c>
    </row>
    <row r="2565" ht="15.75" customHeight="1">
      <c r="B2565" s="77">
        <f t="shared" si="1"/>
        <v>0</v>
      </c>
      <c r="C2565" s="67"/>
      <c r="D2565" s="78"/>
      <c r="E2565" s="101"/>
      <c r="F2565" s="108"/>
      <c r="G2565" s="120"/>
      <c r="H2565" s="101"/>
      <c r="I2565" s="93"/>
      <c r="J2565" s="91"/>
      <c r="L2565" s="94" t="str">
        <f t="shared" si="2"/>
        <v>No infirmation</v>
      </c>
      <c r="M2565" s="94" t="str">
        <f t="shared" si="3"/>
        <v/>
      </c>
    </row>
    <row r="2566" ht="15.75" customHeight="1">
      <c r="B2566" s="77">
        <f t="shared" si="1"/>
        <v>0</v>
      </c>
      <c r="C2566" s="67"/>
      <c r="D2566" s="78"/>
      <c r="E2566" s="101"/>
      <c r="F2566" s="108"/>
      <c r="G2566" s="120"/>
      <c r="H2566" s="101"/>
      <c r="I2566" s="93"/>
      <c r="J2566" s="91"/>
      <c r="L2566" s="94" t="str">
        <f t="shared" si="2"/>
        <v>No infirmation</v>
      </c>
      <c r="M2566" s="94" t="str">
        <f t="shared" si="3"/>
        <v/>
      </c>
    </row>
    <row r="2567" ht="15.75" customHeight="1">
      <c r="B2567" s="77">
        <f t="shared" si="1"/>
        <v>0</v>
      </c>
      <c r="C2567" s="67"/>
      <c r="D2567" s="78"/>
      <c r="E2567" s="101"/>
      <c r="F2567" s="108"/>
      <c r="G2567" s="120"/>
      <c r="H2567" s="101"/>
      <c r="I2567" s="93"/>
      <c r="J2567" s="91"/>
      <c r="L2567" s="94" t="str">
        <f t="shared" si="2"/>
        <v>No infirmation</v>
      </c>
      <c r="M2567" s="94" t="str">
        <f t="shared" si="3"/>
        <v/>
      </c>
    </row>
    <row r="2568" ht="15.75" customHeight="1">
      <c r="B2568" s="77">
        <f t="shared" si="1"/>
        <v>0</v>
      </c>
      <c r="C2568" s="67"/>
      <c r="D2568" s="78"/>
      <c r="E2568" s="101"/>
      <c r="F2568" s="108"/>
      <c r="G2568" s="120"/>
      <c r="H2568" s="101"/>
      <c r="I2568" s="93"/>
      <c r="J2568" s="91"/>
      <c r="L2568" s="94" t="str">
        <f t="shared" si="2"/>
        <v>No infirmation</v>
      </c>
      <c r="M2568" s="94" t="str">
        <f t="shared" si="3"/>
        <v/>
      </c>
    </row>
    <row r="2569" ht="15.75" customHeight="1">
      <c r="B2569" s="77">
        <f t="shared" si="1"/>
        <v>0</v>
      </c>
      <c r="C2569" s="67"/>
      <c r="D2569" s="78"/>
      <c r="E2569" s="101"/>
      <c r="F2569" s="108"/>
      <c r="G2569" s="120"/>
      <c r="H2569" s="101"/>
      <c r="I2569" s="93"/>
      <c r="J2569" s="91"/>
      <c r="L2569" s="94" t="str">
        <f t="shared" si="2"/>
        <v>No infirmation</v>
      </c>
      <c r="M2569" s="94" t="str">
        <f t="shared" si="3"/>
        <v/>
      </c>
    </row>
    <row r="2570" ht="15.75" customHeight="1">
      <c r="B2570" s="77">
        <f t="shared" si="1"/>
        <v>0</v>
      </c>
      <c r="C2570" s="67"/>
      <c r="D2570" s="78"/>
      <c r="E2570" s="101"/>
      <c r="F2570" s="108"/>
      <c r="G2570" s="120"/>
      <c r="H2570" s="101"/>
      <c r="I2570" s="93"/>
      <c r="J2570" s="91"/>
      <c r="L2570" s="94" t="str">
        <f t="shared" si="2"/>
        <v>No infirmation</v>
      </c>
      <c r="M2570" s="94" t="str">
        <f t="shared" si="3"/>
        <v/>
      </c>
    </row>
    <row r="2571" ht="15.75" customHeight="1">
      <c r="B2571" s="77">
        <f t="shared" si="1"/>
        <v>0</v>
      </c>
      <c r="C2571" s="67"/>
      <c r="D2571" s="78"/>
      <c r="E2571" s="101"/>
      <c r="F2571" s="108"/>
      <c r="G2571" s="120"/>
      <c r="H2571" s="101"/>
      <c r="I2571" s="93"/>
      <c r="J2571" s="91"/>
      <c r="L2571" s="94" t="str">
        <f t="shared" si="2"/>
        <v>No infirmation</v>
      </c>
      <c r="M2571" s="94" t="str">
        <f t="shared" si="3"/>
        <v/>
      </c>
    </row>
    <row r="2572" ht="15.75" customHeight="1">
      <c r="B2572" s="77">
        <f t="shared" si="1"/>
        <v>0</v>
      </c>
      <c r="C2572" s="67"/>
      <c r="D2572" s="78"/>
      <c r="E2572" s="101"/>
      <c r="F2572" s="108"/>
      <c r="G2572" s="120"/>
      <c r="H2572" s="101"/>
      <c r="I2572" s="93"/>
      <c r="J2572" s="91"/>
      <c r="L2572" s="94" t="str">
        <f t="shared" si="2"/>
        <v>No infirmation</v>
      </c>
      <c r="M2572" s="94" t="str">
        <f t="shared" si="3"/>
        <v/>
      </c>
    </row>
    <row r="2573" ht="15.75" customHeight="1">
      <c r="B2573" s="77">
        <f t="shared" si="1"/>
        <v>0</v>
      </c>
      <c r="C2573" s="67"/>
      <c r="D2573" s="78"/>
      <c r="E2573" s="101"/>
      <c r="F2573" s="108"/>
      <c r="G2573" s="120"/>
      <c r="H2573" s="101"/>
      <c r="I2573" s="93"/>
      <c r="J2573" s="91"/>
      <c r="L2573" s="94" t="str">
        <f t="shared" si="2"/>
        <v>No infirmation</v>
      </c>
      <c r="M2573" s="94" t="str">
        <f t="shared" si="3"/>
        <v/>
      </c>
    </row>
    <row r="2574" ht="15.75" customHeight="1">
      <c r="B2574" s="77">
        <f t="shared" si="1"/>
        <v>0</v>
      </c>
      <c r="C2574" s="67"/>
      <c r="D2574" s="78"/>
      <c r="E2574" s="101"/>
      <c r="F2574" s="108"/>
      <c r="G2574" s="120"/>
      <c r="H2574" s="101"/>
      <c r="I2574" s="93"/>
      <c r="J2574" s="91"/>
      <c r="L2574" s="94" t="str">
        <f t="shared" si="2"/>
        <v>No infirmation</v>
      </c>
      <c r="M2574" s="94" t="str">
        <f t="shared" si="3"/>
        <v/>
      </c>
    </row>
    <row r="2575" ht="15.75" customHeight="1">
      <c r="B2575" s="77">
        <f t="shared" si="1"/>
        <v>0</v>
      </c>
      <c r="C2575" s="67"/>
      <c r="D2575" s="78"/>
      <c r="E2575" s="101"/>
      <c r="F2575" s="108"/>
      <c r="G2575" s="120"/>
      <c r="H2575" s="101"/>
      <c r="I2575" s="93"/>
      <c r="J2575" s="91"/>
      <c r="L2575" s="94" t="str">
        <f t="shared" si="2"/>
        <v>No infirmation</v>
      </c>
      <c r="M2575" s="94" t="str">
        <f t="shared" si="3"/>
        <v/>
      </c>
    </row>
    <row r="2576" ht="15.75" customHeight="1">
      <c r="B2576" s="77">
        <f t="shared" si="1"/>
        <v>0</v>
      </c>
      <c r="C2576" s="67"/>
      <c r="D2576" s="78"/>
      <c r="E2576" s="101"/>
      <c r="F2576" s="108"/>
      <c r="G2576" s="120"/>
      <c r="H2576" s="101"/>
      <c r="I2576" s="93"/>
      <c r="J2576" s="91"/>
      <c r="L2576" s="94" t="str">
        <f t="shared" si="2"/>
        <v>No infirmation</v>
      </c>
      <c r="M2576" s="94" t="str">
        <f t="shared" si="3"/>
        <v/>
      </c>
    </row>
    <row r="2577" ht="15.75" customHeight="1">
      <c r="B2577" s="77">
        <f t="shared" si="1"/>
        <v>0</v>
      </c>
      <c r="C2577" s="67"/>
      <c r="D2577" s="78"/>
      <c r="E2577" s="101"/>
      <c r="F2577" s="108"/>
      <c r="G2577" s="120"/>
      <c r="H2577" s="101"/>
      <c r="I2577" s="93"/>
      <c r="J2577" s="91"/>
      <c r="L2577" s="94" t="str">
        <f t="shared" si="2"/>
        <v>No infirmation</v>
      </c>
      <c r="M2577" s="94" t="str">
        <f t="shared" si="3"/>
        <v/>
      </c>
    </row>
    <row r="2578" ht="15.75" customHeight="1">
      <c r="B2578" s="77">
        <f t="shared" si="1"/>
        <v>0</v>
      </c>
      <c r="C2578" s="67"/>
      <c r="D2578" s="78"/>
      <c r="E2578" s="101"/>
      <c r="F2578" s="108"/>
      <c r="G2578" s="120"/>
      <c r="H2578" s="101"/>
      <c r="I2578" s="93"/>
      <c r="J2578" s="91"/>
      <c r="L2578" s="94" t="str">
        <f t="shared" si="2"/>
        <v>No infirmation</v>
      </c>
      <c r="M2578" s="94" t="str">
        <f t="shared" si="3"/>
        <v/>
      </c>
    </row>
    <row r="2579" ht="15.75" customHeight="1">
      <c r="B2579" s="77">
        <f t="shared" si="1"/>
        <v>0</v>
      </c>
      <c r="C2579" s="67"/>
      <c r="D2579" s="78"/>
      <c r="E2579" s="101"/>
      <c r="F2579" s="108"/>
      <c r="G2579" s="120"/>
      <c r="H2579" s="101"/>
      <c r="I2579" s="93"/>
      <c r="J2579" s="91"/>
      <c r="L2579" s="94" t="str">
        <f t="shared" si="2"/>
        <v>No infirmation</v>
      </c>
      <c r="M2579" s="94" t="str">
        <f t="shared" si="3"/>
        <v/>
      </c>
    </row>
    <row r="2580" ht="15.75" customHeight="1">
      <c r="B2580" s="77">
        <f t="shared" si="1"/>
        <v>0</v>
      </c>
      <c r="C2580" s="67"/>
      <c r="D2580" s="78"/>
      <c r="E2580" s="101"/>
      <c r="F2580" s="108"/>
      <c r="G2580" s="120"/>
      <c r="H2580" s="101"/>
      <c r="I2580" s="93"/>
      <c r="J2580" s="91"/>
      <c r="L2580" s="94" t="str">
        <f t="shared" si="2"/>
        <v>No infirmation</v>
      </c>
      <c r="M2580" s="94" t="str">
        <f t="shared" si="3"/>
        <v/>
      </c>
    </row>
    <row r="2581" ht="15.75" customHeight="1">
      <c r="B2581" s="77">
        <f t="shared" si="1"/>
        <v>0</v>
      </c>
      <c r="C2581" s="67"/>
      <c r="D2581" s="78"/>
      <c r="E2581" s="101"/>
      <c r="F2581" s="108"/>
      <c r="G2581" s="120"/>
      <c r="H2581" s="101"/>
      <c r="I2581" s="93"/>
      <c r="J2581" s="91"/>
      <c r="L2581" s="94" t="str">
        <f t="shared" si="2"/>
        <v>No infirmation</v>
      </c>
      <c r="M2581" s="94" t="str">
        <f t="shared" si="3"/>
        <v/>
      </c>
    </row>
    <row r="2582" ht="15.75" customHeight="1">
      <c r="B2582" s="77">
        <f t="shared" si="1"/>
        <v>0</v>
      </c>
      <c r="C2582" s="67"/>
      <c r="D2582" s="78"/>
      <c r="E2582" s="101"/>
      <c r="F2582" s="108"/>
      <c r="G2582" s="120"/>
      <c r="H2582" s="101"/>
      <c r="I2582" s="93"/>
      <c r="J2582" s="91"/>
      <c r="L2582" s="94" t="str">
        <f t="shared" si="2"/>
        <v>No infirmation</v>
      </c>
      <c r="M2582" s="94" t="str">
        <f t="shared" si="3"/>
        <v/>
      </c>
    </row>
    <row r="2583" ht="15.75" customHeight="1">
      <c r="B2583" s="77">
        <f t="shared" si="1"/>
        <v>0</v>
      </c>
      <c r="C2583" s="67"/>
      <c r="D2583" s="78"/>
      <c r="E2583" s="101"/>
      <c r="F2583" s="108"/>
      <c r="G2583" s="120"/>
      <c r="H2583" s="101"/>
      <c r="I2583" s="93"/>
      <c r="J2583" s="91"/>
      <c r="L2583" s="94" t="str">
        <f t="shared" si="2"/>
        <v>No infirmation</v>
      </c>
      <c r="M2583" s="94" t="str">
        <f t="shared" si="3"/>
        <v/>
      </c>
    </row>
    <row r="2584" ht="15.75" customHeight="1">
      <c r="B2584" s="77">
        <f t="shared" si="1"/>
        <v>0</v>
      </c>
      <c r="C2584" s="67"/>
      <c r="D2584" s="78"/>
      <c r="E2584" s="101"/>
      <c r="F2584" s="108"/>
      <c r="G2584" s="120"/>
      <c r="H2584" s="101"/>
      <c r="I2584" s="93"/>
      <c r="J2584" s="91"/>
      <c r="L2584" s="94" t="str">
        <f t="shared" si="2"/>
        <v>No infirmation</v>
      </c>
      <c r="M2584" s="94" t="str">
        <f t="shared" si="3"/>
        <v/>
      </c>
    </row>
    <row r="2585" ht="15.75" customHeight="1">
      <c r="B2585" s="77">
        <f t="shared" si="1"/>
        <v>0</v>
      </c>
      <c r="C2585" s="67"/>
      <c r="D2585" s="78"/>
      <c r="E2585" s="101"/>
      <c r="F2585" s="108"/>
      <c r="G2585" s="120"/>
      <c r="H2585" s="101"/>
      <c r="I2585" s="93"/>
      <c r="J2585" s="91"/>
      <c r="L2585" s="94" t="str">
        <f t="shared" si="2"/>
        <v>No infirmation</v>
      </c>
      <c r="M2585" s="94" t="str">
        <f t="shared" si="3"/>
        <v/>
      </c>
    </row>
    <row r="2586" ht="15.75" customHeight="1">
      <c r="B2586" s="77">
        <f t="shared" si="1"/>
        <v>0</v>
      </c>
      <c r="C2586" s="67"/>
      <c r="D2586" s="78"/>
      <c r="E2586" s="101"/>
      <c r="F2586" s="108"/>
      <c r="G2586" s="120"/>
      <c r="H2586" s="101"/>
      <c r="I2586" s="93"/>
      <c r="J2586" s="91"/>
      <c r="L2586" s="94" t="str">
        <f t="shared" si="2"/>
        <v>No infirmation</v>
      </c>
      <c r="M2586" s="94" t="str">
        <f t="shared" si="3"/>
        <v/>
      </c>
    </row>
    <row r="2587" ht="15.75" customHeight="1">
      <c r="B2587" s="77">
        <f t="shared" si="1"/>
        <v>0</v>
      </c>
      <c r="C2587" s="67"/>
      <c r="D2587" s="78"/>
      <c r="E2587" s="101"/>
      <c r="F2587" s="108"/>
      <c r="G2587" s="120"/>
      <c r="H2587" s="101"/>
      <c r="I2587" s="93"/>
      <c r="J2587" s="91"/>
      <c r="L2587" s="94" t="str">
        <f t="shared" si="2"/>
        <v>No infirmation</v>
      </c>
      <c r="M2587" s="94" t="str">
        <f t="shared" si="3"/>
        <v/>
      </c>
    </row>
    <row r="2588" ht="15.75" customHeight="1">
      <c r="B2588" s="77">
        <f t="shared" si="1"/>
        <v>0</v>
      </c>
      <c r="C2588" s="67"/>
      <c r="D2588" s="78"/>
      <c r="E2588" s="101"/>
      <c r="F2588" s="108"/>
      <c r="G2588" s="120"/>
      <c r="H2588" s="101"/>
      <c r="I2588" s="93"/>
      <c r="J2588" s="91"/>
      <c r="L2588" s="94" t="str">
        <f t="shared" si="2"/>
        <v>No infirmation</v>
      </c>
      <c r="M2588" s="94" t="str">
        <f t="shared" si="3"/>
        <v/>
      </c>
    </row>
    <row r="2589" ht="15.75" customHeight="1">
      <c r="B2589" s="77">
        <f t="shared" si="1"/>
        <v>0</v>
      </c>
      <c r="C2589" s="67"/>
      <c r="D2589" s="78"/>
      <c r="E2589" s="101"/>
      <c r="F2589" s="108"/>
      <c r="G2589" s="120"/>
      <c r="H2589" s="101"/>
      <c r="I2589" s="93"/>
      <c r="J2589" s="91"/>
      <c r="L2589" s="94" t="str">
        <f t="shared" si="2"/>
        <v>No infirmation</v>
      </c>
      <c r="M2589" s="94" t="str">
        <f t="shared" si="3"/>
        <v/>
      </c>
    </row>
    <row r="2590" ht="15.75" customHeight="1">
      <c r="B2590" s="77">
        <f t="shared" si="1"/>
        <v>0</v>
      </c>
      <c r="C2590" s="67"/>
      <c r="D2590" s="78"/>
      <c r="E2590" s="101"/>
      <c r="F2590" s="108"/>
      <c r="G2590" s="120"/>
      <c r="H2590" s="101"/>
      <c r="I2590" s="93"/>
      <c r="J2590" s="91"/>
      <c r="L2590" s="94" t="str">
        <f t="shared" si="2"/>
        <v>No infirmation</v>
      </c>
      <c r="M2590" s="94" t="str">
        <f t="shared" si="3"/>
        <v/>
      </c>
    </row>
    <row r="2591" ht="15.75" customHeight="1">
      <c r="B2591" s="77">
        <f t="shared" si="1"/>
        <v>0</v>
      </c>
      <c r="C2591" s="67"/>
      <c r="D2591" s="78"/>
      <c r="E2591" s="101"/>
      <c r="F2591" s="108"/>
      <c r="G2591" s="120"/>
      <c r="H2591" s="101"/>
      <c r="I2591" s="93"/>
      <c r="J2591" s="91"/>
      <c r="L2591" s="94" t="str">
        <f t="shared" si="2"/>
        <v>No infirmation</v>
      </c>
      <c r="M2591" s="94" t="str">
        <f t="shared" si="3"/>
        <v/>
      </c>
    </row>
    <row r="2592" ht="15.75" customHeight="1">
      <c r="B2592" s="77">
        <f t="shared" si="1"/>
        <v>0</v>
      </c>
      <c r="C2592" s="67"/>
      <c r="D2592" s="78"/>
      <c r="E2592" s="101"/>
      <c r="F2592" s="108"/>
      <c r="G2592" s="120"/>
      <c r="H2592" s="101"/>
      <c r="I2592" s="93"/>
      <c r="J2592" s="91"/>
      <c r="L2592" s="94" t="str">
        <f t="shared" si="2"/>
        <v>No infirmation</v>
      </c>
      <c r="M2592" s="94" t="str">
        <f t="shared" si="3"/>
        <v/>
      </c>
    </row>
    <row r="2593" ht="15.75" customHeight="1">
      <c r="B2593" s="77">
        <f t="shared" si="1"/>
        <v>0</v>
      </c>
      <c r="C2593" s="67"/>
      <c r="D2593" s="78"/>
      <c r="E2593" s="101"/>
      <c r="F2593" s="108"/>
      <c r="G2593" s="120"/>
      <c r="H2593" s="101"/>
      <c r="I2593" s="93"/>
      <c r="J2593" s="91"/>
      <c r="L2593" s="94" t="str">
        <f t="shared" si="2"/>
        <v>No infirmation</v>
      </c>
      <c r="M2593" s="94" t="str">
        <f t="shared" si="3"/>
        <v/>
      </c>
    </row>
    <row r="2594" ht="15.75" customHeight="1">
      <c r="B2594" s="77">
        <f t="shared" si="1"/>
        <v>0</v>
      </c>
      <c r="C2594" s="67"/>
      <c r="D2594" s="78"/>
      <c r="E2594" s="101"/>
      <c r="F2594" s="108"/>
      <c r="G2594" s="120"/>
      <c r="H2594" s="101"/>
      <c r="I2594" s="93"/>
      <c r="J2594" s="91"/>
      <c r="L2594" s="94" t="str">
        <f t="shared" si="2"/>
        <v>No infirmation</v>
      </c>
      <c r="M2594" s="94" t="str">
        <f t="shared" si="3"/>
        <v/>
      </c>
    </row>
    <row r="2595" ht="15.75" customHeight="1">
      <c r="B2595" s="77">
        <f t="shared" si="1"/>
        <v>0</v>
      </c>
      <c r="C2595" s="67"/>
      <c r="D2595" s="78"/>
      <c r="E2595" s="101"/>
      <c r="F2595" s="108"/>
      <c r="G2595" s="120"/>
      <c r="H2595" s="101"/>
      <c r="I2595" s="93"/>
      <c r="J2595" s="91"/>
      <c r="L2595" s="94" t="str">
        <f t="shared" si="2"/>
        <v>No infirmation</v>
      </c>
      <c r="M2595" s="94" t="str">
        <f t="shared" si="3"/>
        <v/>
      </c>
    </row>
    <row r="2596" ht="15.75" customHeight="1">
      <c r="B2596" s="77">
        <f t="shared" si="1"/>
        <v>0</v>
      </c>
      <c r="C2596" s="67"/>
      <c r="D2596" s="78"/>
      <c r="E2596" s="101"/>
      <c r="F2596" s="108"/>
      <c r="G2596" s="120"/>
      <c r="H2596" s="101"/>
      <c r="I2596" s="93"/>
      <c r="J2596" s="91"/>
      <c r="L2596" s="94" t="str">
        <f t="shared" si="2"/>
        <v>No infirmation</v>
      </c>
      <c r="M2596" s="94" t="str">
        <f t="shared" si="3"/>
        <v/>
      </c>
    </row>
    <row r="2597" ht="15.75" customHeight="1">
      <c r="B2597" s="77">
        <f t="shared" si="1"/>
        <v>0</v>
      </c>
      <c r="C2597" s="67"/>
      <c r="D2597" s="78"/>
      <c r="E2597" s="101"/>
      <c r="F2597" s="108"/>
      <c r="G2597" s="120"/>
      <c r="H2597" s="101"/>
      <c r="I2597" s="93"/>
      <c r="J2597" s="91"/>
      <c r="L2597" s="94" t="str">
        <f t="shared" si="2"/>
        <v>No infirmation</v>
      </c>
      <c r="M2597" s="94" t="str">
        <f t="shared" si="3"/>
        <v/>
      </c>
    </row>
    <row r="2598" ht="15.75" customHeight="1">
      <c r="B2598" s="77">
        <f t="shared" si="1"/>
        <v>0</v>
      </c>
      <c r="C2598" s="67"/>
      <c r="D2598" s="78"/>
      <c r="E2598" s="101"/>
      <c r="F2598" s="108"/>
      <c r="G2598" s="120"/>
      <c r="H2598" s="101"/>
      <c r="I2598" s="93"/>
      <c r="J2598" s="91"/>
      <c r="L2598" s="94" t="str">
        <f t="shared" si="2"/>
        <v>No infirmation</v>
      </c>
      <c r="M2598" s="94" t="str">
        <f t="shared" si="3"/>
        <v/>
      </c>
    </row>
    <row r="2599" ht="15.75" customHeight="1">
      <c r="B2599" s="77">
        <f t="shared" si="1"/>
        <v>0</v>
      </c>
      <c r="C2599" s="67"/>
      <c r="D2599" s="78"/>
      <c r="E2599" s="101"/>
      <c r="F2599" s="108"/>
      <c r="G2599" s="120"/>
      <c r="H2599" s="101"/>
      <c r="I2599" s="93"/>
      <c r="J2599" s="91"/>
      <c r="L2599" s="94" t="str">
        <f t="shared" si="2"/>
        <v>No infirmation</v>
      </c>
      <c r="M2599" s="94" t="str">
        <f t="shared" si="3"/>
        <v/>
      </c>
    </row>
    <row r="2600" ht="15.75" customHeight="1">
      <c r="B2600" s="77">
        <f t="shared" si="1"/>
        <v>0</v>
      </c>
      <c r="C2600" s="67"/>
      <c r="D2600" s="78"/>
      <c r="E2600" s="101"/>
      <c r="F2600" s="108"/>
      <c r="G2600" s="120"/>
      <c r="H2600" s="101"/>
      <c r="I2600" s="93"/>
      <c r="J2600" s="91"/>
      <c r="L2600" s="94" t="str">
        <f t="shared" si="2"/>
        <v>No infirmation</v>
      </c>
      <c r="M2600" s="94" t="str">
        <f t="shared" si="3"/>
        <v/>
      </c>
    </row>
    <row r="2601" ht="15.75" customHeight="1">
      <c r="B2601" s="77">
        <f t="shared" si="1"/>
        <v>0</v>
      </c>
      <c r="C2601" s="67"/>
      <c r="D2601" s="78"/>
      <c r="E2601" s="101"/>
      <c r="F2601" s="108"/>
      <c r="G2601" s="120"/>
      <c r="H2601" s="101"/>
      <c r="I2601" s="93"/>
      <c r="J2601" s="91"/>
      <c r="L2601" s="94" t="str">
        <f t="shared" si="2"/>
        <v>No infirmation</v>
      </c>
      <c r="M2601" s="94" t="str">
        <f t="shared" si="3"/>
        <v/>
      </c>
    </row>
    <row r="2602" ht="15.75" customHeight="1">
      <c r="B2602" s="77">
        <f t="shared" si="1"/>
        <v>0</v>
      </c>
      <c r="C2602" s="67"/>
      <c r="D2602" s="78"/>
      <c r="E2602" s="101"/>
      <c r="F2602" s="108"/>
      <c r="G2602" s="120"/>
      <c r="H2602" s="101"/>
      <c r="I2602" s="93"/>
      <c r="J2602" s="91"/>
      <c r="L2602" s="94" t="str">
        <f t="shared" si="2"/>
        <v>No infirmation</v>
      </c>
      <c r="M2602" s="94" t="str">
        <f t="shared" si="3"/>
        <v/>
      </c>
    </row>
    <row r="2603" ht="15.75" customHeight="1">
      <c r="B2603" s="77">
        <f t="shared" si="1"/>
        <v>0</v>
      </c>
      <c r="C2603" s="67"/>
      <c r="D2603" s="78"/>
      <c r="E2603" s="101"/>
      <c r="F2603" s="108"/>
      <c r="G2603" s="120"/>
      <c r="H2603" s="101"/>
      <c r="I2603" s="93"/>
      <c r="J2603" s="91"/>
      <c r="L2603" s="94" t="str">
        <f t="shared" si="2"/>
        <v>No infirmation</v>
      </c>
      <c r="M2603" s="94" t="str">
        <f t="shared" si="3"/>
        <v/>
      </c>
    </row>
    <row r="2604" ht="15.75" customHeight="1">
      <c r="B2604" s="77">
        <f t="shared" si="1"/>
        <v>0</v>
      </c>
      <c r="C2604" s="67"/>
      <c r="D2604" s="78"/>
      <c r="E2604" s="101"/>
      <c r="F2604" s="108"/>
      <c r="G2604" s="120"/>
      <c r="H2604" s="101"/>
      <c r="I2604" s="93"/>
      <c r="J2604" s="91"/>
      <c r="L2604" s="94" t="str">
        <f t="shared" si="2"/>
        <v>No infirmation</v>
      </c>
      <c r="M2604" s="94" t="str">
        <f t="shared" si="3"/>
        <v/>
      </c>
    </row>
    <row r="2605" ht="15.75" customHeight="1">
      <c r="B2605" s="77">
        <f t="shared" si="1"/>
        <v>0</v>
      </c>
      <c r="C2605" s="67"/>
      <c r="D2605" s="78"/>
      <c r="E2605" s="101"/>
      <c r="F2605" s="108"/>
      <c r="G2605" s="120"/>
      <c r="H2605" s="101"/>
      <c r="I2605" s="93"/>
      <c r="J2605" s="91"/>
      <c r="L2605" s="94" t="str">
        <f t="shared" si="2"/>
        <v>No infirmation</v>
      </c>
      <c r="M2605" s="94" t="str">
        <f t="shared" si="3"/>
        <v/>
      </c>
    </row>
    <row r="2606" ht="15.75" customHeight="1">
      <c r="B2606" s="77">
        <f t="shared" si="1"/>
        <v>0</v>
      </c>
      <c r="C2606" s="67"/>
      <c r="D2606" s="78"/>
      <c r="E2606" s="101"/>
      <c r="F2606" s="108"/>
      <c r="G2606" s="120"/>
      <c r="H2606" s="101"/>
      <c r="I2606" s="93"/>
      <c r="J2606" s="91"/>
      <c r="L2606" s="94" t="str">
        <f t="shared" si="2"/>
        <v>No infirmation</v>
      </c>
      <c r="M2606" s="94" t="str">
        <f t="shared" si="3"/>
        <v/>
      </c>
    </row>
    <row r="2607" ht="15.75" customHeight="1">
      <c r="B2607" s="77">
        <f t="shared" si="1"/>
        <v>0</v>
      </c>
      <c r="C2607" s="67"/>
      <c r="D2607" s="78"/>
      <c r="E2607" s="101"/>
      <c r="F2607" s="108"/>
      <c r="G2607" s="120"/>
      <c r="H2607" s="101"/>
      <c r="I2607" s="93"/>
      <c r="J2607" s="91"/>
      <c r="L2607" s="94" t="str">
        <f t="shared" si="2"/>
        <v>No infirmation</v>
      </c>
      <c r="M2607" s="94" t="str">
        <f t="shared" si="3"/>
        <v/>
      </c>
    </row>
    <row r="2608" ht="15.75" customHeight="1">
      <c r="B2608" s="77">
        <f t="shared" si="1"/>
        <v>0</v>
      </c>
      <c r="C2608" s="67"/>
      <c r="D2608" s="78"/>
      <c r="E2608" s="101"/>
      <c r="F2608" s="108"/>
      <c r="G2608" s="120"/>
      <c r="H2608" s="101"/>
      <c r="I2608" s="93"/>
      <c r="J2608" s="91"/>
      <c r="L2608" s="94" t="str">
        <f t="shared" si="2"/>
        <v>No infirmation</v>
      </c>
      <c r="M2608" s="94" t="str">
        <f t="shared" si="3"/>
        <v/>
      </c>
    </row>
    <row r="2609" ht="15.75" customHeight="1">
      <c r="B2609" s="77">
        <f t="shared" si="1"/>
        <v>0</v>
      </c>
      <c r="C2609" s="67"/>
      <c r="D2609" s="78"/>
      <c r="E2609" s="101"/>
      <c r="F2609" s="108"/>
      <c r="G2609" s="120"/>
      <c r="H2609" s="101"/>
      <c r="I2609" s="93"/>
      <c r="J2609" s="91"/>
      <c r="L2609" s="94" t="str">
        <f t="shared" si="2"/>
        <v>No infirmation</v>
      </c>
      <c r="M2609" s="94" t="str">
        <f t="shared" si="3"/>
        <v/>
      </c>
    </row>
    <row r="2610" ht="15.75" customHeight="1">
      <c r="B2610" s="77">
        <f t="shared" si="1"/>
        <v>0</v>
      </c>
      <c r="C2610" s="67"/>
      <c r="D2610" s="78"/>
      <c r="E2610" s="101"/>
      <c r="F2610" s="108"/>
      <c r="G2610" s="120"/>
      <c r="H2610" s="101"/>
      <c r="I2610" s="93"/>
      <c r="J2610" s="91"/>
      <c r="L2610" s="94" t="str">
        <f t="shared" si="2"/>
        <v>No infirmation</v>
      </c>
      <c r="M2610" s="94" t="str">
        <f t="shared" si="3"/>
        <v/>
      </c>
    </row>
    <row r="2611" ht="15.75" customHeight="1">
      <c r="B2611" s="77">
        <f t="shared" si="1"/>
        <v>0</v>
      </c>
      <c r="C2611" s="67"/>
      <c r="D2611" s="78"/>
      <c r="E2611" s="101"/>
      <c r="F2611" s="108"/>
      <c r="G2611" s="120"/>
      <c r="H2611" s="101"/>
      <c r="I2611" s="93"/>
      <c r="J2611" s="91"/>
      <c r="L2611" s="94" t="str">
        <f t="shared" si="2"/>
        <v>No infirmation</v>
      </c>
      <c r="M2611" s="94" t="str">
        <f t="shared" si="3"/>
        <v/>
      </c>
    </row>
    <row r="2612" ht="15.75" customHeight="1">
      <c r="B2612" s="77">
        <f t="shared" si="1"/>
        <v>0</v>
      </c>
      <c r="C2612" s="67"/>
      <c r="D2612" s="78"/>
      <c r="E2612" s="101"/>
      <c r="F2612" s="108"/>
      <c r="G2612" s="120"/>
      <c r="H2612" s="101"/>
      <c r="I2612" s="93"/>
      <c r="J2612" s="91"/>
      <c r="L2612" s="94" t="str">
        <f t="shared" si="2"/>
        <v>No infirmation</v>
      </c>
      <c r="M2612" s="94" t="str">
        <f t="shared" si="3"/>
        <v/>
      </c>
    </row>
    <row r="2613" ht="15.75" customHeight="1">
      <c r="B2613" s="77">
        <f t="shared" si="1"/>
        <v>0</v>
      </c>
      <c r="C2613" s="67"/>
      <c r="D2613" s="78"/>
      <c r="E2613" s="101"/>
      <c r="F2613" s="108"/>
      <c r="G2613" s="120"/>
      <c r="H2613" s="101"/>
      <c r="I2613" s="93"/>
      <c r="J2613" s="91"/>
      <c r="L2613" s="94" t="str">
        <f t="shared" si="2"/>
        <v>No infirmation</v>
      </c>
      <c r="M2613" s="94" t="str">
        <f t="shared" si="3"/>
        <v/>
      </c>
    </row>
    <row r="2614" ht="15.75" customHeight="1">
      <c r="B2614" s="77">
        <f t="shared" si="1"/>
        <v>0</v>
      </c>
      <c r="C2614" s="67"/>
      <c r="D2614" s="78"/>
      <c r="E2614" s="101"/>
      <c r="F2614" s="108"/>
      <c r="G2614" s="120"/>
      <c r="H2614" s="101"/>
      <c r="I2614" s="93"/>
      <c r="J2614" s="91"/>
      <c r="L2614" s="94" t="str">
        <f t="shared" si="2"/>
        <v>No infirmation</v>
      </c>
      <c r="M2614" s="94" t="str">
        <f t="shared" si="3"/>
        <v/>
      </c>
    </row>
    <row r="2615" ht="15.75" customHeight="1">
      <c r="B2615" s="77">
        <f t="shared" si="1"/>
        <v>0</v>
      </c>
      <c r="C2615" s="67"/>
      <c r="D2615" s="78"/>
      <c r="E2615" s="101"/>
      <c r="F2615" s="108"/>
      <c r="G2615" s="120"/>
      <c r="H2615" s="101"/>
      <c r="I2615" s="93"/>
      <c r="J2615" s="91"/>
      <c r="L2615" s="94" t="str">
        <f t="shared" si="2"/>
        <v>No infirmation</v>
      </c>
      <c r="M2615" s="94" t="str">
        <f t="shared" si="3"/>
        <v/>
      </c>
    </row>
    <row r="2616" ht="15.75" customHeight="1">
      <c r="B2616" s="77">
        <f t="shared" si="1"/>
        <v>0</v>
      </c>
      <c r="C2616" s="67"/>
      <c r="D2616" s="78"/>
      <c r="E2616" s="101"/>
      <c r="F2616" s="108"/>
      <c r="G2616" s="120"/>
      <c r="H2616" s="101"/>
      <c r="I2616" s="93"/>
      <c r="J2616" s="91"/>
      <c r="L2616" s="94" t="str">
        <f t="shared" si="2"/>
        <v>No infirmation</v>
      </c>
      <c r="M2616" s="94" t="str">
        <f t="shared" si="3"/>
        <v/>
      </c>
    </row>
    <row r="2617" ht="15.75" customHeight="1">
      <c r="B2617" s="77">
        <f t="shared" si="1"/>
        <v>0</v>
      </c>
      <c r="C2617" s="67"/>
      <c r="D2617" s="78"/>
      <c r="E2617" s="101"/>
      <c r="F2617" s="108"/>
      <c r="G2617" s="120"/>
      <c r="H2617" s="101"/>
      <c r="I2617" s="93"/>
      <c r="J2617" s="91"/>
      <c r="L2617" s="94" t="str">
        <f t="shared" si="2"/>
        <v>No infirmation</v>
      </c>
      <c r="M2617" s="94" t="str">
        <f t="shared" si="3"/>
        <v/>
      </c>
    </row>
    <row r="2618" ht="15.75" customHeight="1">
      <c r="B2618" s="77">
        <f t="shared" si="1"/>
        <v>0</v>
      </c>
      <c r="C2618" s="67"/>
      <c r="D2618" s="78"/>
      <c r="E2618" s="101"/>
      <c r="F2618" s="108"/>
      <c r="G2618" s="120"/>
      <c r="H2618" s="101"/>
      <c r="I2618" s="93"/>
      <c r="J2618" s="91"/>
      <c r="L2618" s="94" t="str">
        <f t="shared" si="2"/>
        <v>No infirmation</v>
      </c>
      <c r="M2618" s="94" t="str">
        <f t="shared" si="3"/>
        <v/>
      </c>
    </row>
    <row r="2619" ht="15.75" customHeight="1">
      <c r="B2619" s="77">
        <f t="shared" si="1"/>
        <v>0</v>
      </c>
      <c r="C2619" s="67"/>
      <c r="D2619" s="78"/>
      <c r="E2619" s="101"/>
      <c r="F2619" s="108"/>
      <c r="G2619" s="120"/>
      <c r="H2619" s="101"/>
      <c r="I2619" s="93"/>
      <c r="J2619" s="91"/>
      <c r="L2619" s="94" t="str">
        <f t="shared" si="2"/>
        <v>No infirmation</v>
      </c>
      <c r="M2619" s="94" t="str">
        <f t="shared" si="3"/>
        <v/>
      </c>
    </row>
    <row r="2620" ht="15.75" customHeight="1">
      <c r="B2620" s="77">
        <f t="shared" si="1"/>
        <v>0</v>
      </c>
      <c r="C2620" s="67"/>
      <c r="D2620" s="78"/>
      <c r="E2620" s="101"/>
      <c r="F2620" s="108"/>
      <c r="G2620" s="120"/>
      <c r="H2620" s="101"/>
      <c r="I2620" s="93"/>
      <c r="J2620" s="91"/>
      <c r="L2620" s="94" t="str">
        <f t="shared" si="2"/>
        <v>No infirmation</v>
      </c>
      <c r="M2620" s="94" t="str">
        <f t="shared" si="3"/>
        <v/>
      </c>
    </row>
    <row r="2621" ht="15.75" customHeight="1">
      <c r="B2621" s="77">
        <f t="shared" si="1"/>
        <v>0</v>
      </c>
      <c r="C2621" s="67"/>
      <c r="D2621" s="78"/>
      <c r="E2621" s="101"/>
      <c r="F2621" s="108"/>
      <c r="G2621" s="120"/>
      <c r="H2621" s="101"/>
      <c r="I2621" s="93"/>
      <c r="J2621" s="91"/>
      <c r="L2621" s="94" t="str">
        <f t="shared" si="2"/>
        <v>No infirmation</v>
      </c>
      <c r="M2621" s="94" t="str">
        <f t="shared" si="3"/>
        <v/>
      </c>
    </row>
    <row r="2622" ht="15.75" customHeight="1">
      <c r="B2622" s="77">
        <f t="shared" si="1"/>
        <v>0</v>
      </c>
      <c r="C2622" s="67"/>
      <c r="D2622" s="78"/>
      <c r="E2622" s="101"/>
      <c r="F2622" s="108"/>
      <c r="G2622" s="120"/>
      <c r="H2622" s="101"/>
      <c r="I2622" s="93"/>
      <c r="J2622" s="91"/>
      <c r="L2622" s="94" t="str">
        <f t="shared" si="2"/>
        <v>No infirmation</v>
      </c>
      <c r="M2622" s="94" t="str">
        <f t="shared" si="3"/>
        <v/>
      </c>
    </row>
    <row r="2623" ht="15.75" customHeight="1">
      <c r="B2623" s="77">
        <f t="shared" si="1"/>
        <v>0</v>
      </c>
      <c r="C2623" s="67"/>
      <c r="D2623" s="78"/>
      <c r="E2623" s="101"/>
      <c r="F2623" s="108"/>
      <c r="G2623" s="120"/>
      <c r="H2623" s="101"/>
      <c r="I2623" s="93"/>
      <c r="J2623" s="91"/>
      <c r="L2623" s="94" t="str">
        <f t="shared" si="2"/>
        <v>No infirmation</v>
      </c>
      <c r="M2623" s="94" t="str">
        <f t="shared" si="3"/>
        <v/>
      </c>
    </row>
    <row r="2624" ht="15.75" customHeight="1">
      <c r="B2624" s="77">
        <f t="shared" si="1"/>
        <v>0</v>
      </c>
      <c r="C2624" s="67"/>
      <c r="D2624" s="78"/>
      <c r="E2624" s="101"/>
      <c r="F2624" s="108"/>
      <c r="G2624" s="120"/>
      <c r="H2624" s="101"/>
      <c r="I2624" s="93"/>
      <c r="J2624" s="91"/>
      <c r="L2624" s="94" t="str">
        <f t="shared" si="2"/>
        <v>No infirmation</v>
      </c>
      <c r="M2624" s="94" t="str">
        <f t="shared" si="3"/>
        <v/>
      </c>
    </row>
    <row r="2625" ht="15.75" customHeight="1">
      <c r="B2625" s="77">
        <f t="shared" si="1"/>
        <v>0</v>
      </c>
      <c r="C2625" s="67"/>
      <c r="D2625" s="78"/>
      <c r="E2625" s="101"/>
      <c r="F2625" s="108"/>
      <c r="G2625" s="120"/>
      <c r="H2625" s="101"/>
      <c r="I2625" s="93"/>
      <c r="J2625" s="91"/>
      <c r="L2625" s="94" t="str">
        <f t="shared" si="2"/>
        <v>No infirmation</v>
      </c>
      <c r="M2625" s="94" t="str">
        <f t="shared" si="3"/>
        <v/>
      </c>
    </row>
    <row r="2626" ht="15.75" customHeight="1">
      <c r="B2626" s="77">
        <f t="shared" si="1"/>
        <v>0</v>
      </c>
      <c r="C2626" s="67"/>
      <c r="D2626" s="78"/>
      <c r="E2626" s="101"/>
      <c r="F2626" s="108"/>
      <c r="G2626" s="120"/>
      <c r="H2626" s="101"/>
      <c r="I2626" s="93"/>
      <c r="J2626" s="91"/>
      <c r="L2626" s="94" t="str">
        <f t="shared" si="2"/>
        <v>No infirmation</v>
      </c>
      <c r="M2626" s="94" t="str">
        <f t="shared" si="3"/>
        <v/>
      </c>
    </row>
    <row r="2627" ht="15.75" customHeight="1">
      <c r="B2627" s="77">
        <f t="shared" si="1"/>
        <v>0</v>
      </c>
      <c r="C2627" s="67"/>
      <c r="D2627" s="78"/>
      <c r="E2627" s="101"/>
      <c r="F2627" s="108"/>
      <c r="G2627" s="120"/>
      <c r="H2627" s="101"/>
      <c r="I2627" s="93"/>
      <c r="J2627" s="91"/>
      <c r="L2627" s="94" t="str">
        <f t="shared" si="2"/>
        <v>No infirmation</v>
      </c>
      <c r="M2627" s="94" t="str">
        <f t="shared" si="3"/>
        <v/>
      </c>
    </row>
    <row r="2628" ht="15.75" customHeight="1">
      <c r="B2628" s="77">
        <f t="shared" si="1"/>
        <v>0</v>
      </c>
      <c r="C2628" s="67"/>
      <c r="D2628" s="78"/>
      <c r="E2628" s="101"/>
      <c r="F2628" s="108"/>
      <c r="G2628" s="120"/>
      <c r="H2628" s="101"/>
      <c r="I2628" s="93"/>
      <c r="J2628" s="91"/>
      <c r="L2628" s="94" t="str">
        <f t="shared" si="2"/>
        <v>No infirmation</v>
      </c>
      <c r="M2628" s="94" t="str">
        <f t="shared" si="3"/>
        <v/>
      </c>
    </row>
    <row r="2629" ht="15.75" customHeight="1">
      <c r="B2629" s="77">
        <f t="shared" si="1"/>
        <v>0</v>
      </c>
      <c r="C2629" s="67"/>
      <c r="D2629" s="78"/>
      <c r="E2629" s="101"/>
      <c r="F2629" s="108"/>
      <c r="G2629" s="120"/>
      <c r="H2629" s="101"/>
      <c r="I2629" s="93"/>
      <c r="J2629" s="91"/>
      <c r="L2629" s="94" t="str">
        <f t="shared" si="2"/>
        <v>No infirmation</v>
      </c>
      <c r="M2629" s="94" t="str">
        <f t="shared" si="3"/>
        <v/>
      </c>
    </row>
    <row r="2630" ht="15.75" customHeight="1">
      <c r="B2630" s="77">
        <f t="shared" si="1"/>
        <v>0</v>
      </c>
      <c r="C2630" s="67"/>
      <c r="D2630" s="78"/>
      <c r="E2630" s="101"/>
      <c r="F2630" s="108"/>
      <c r="G2630" s="120"/>
      <c r="H2630" s="101"/>
      <c r="I2630" s="93"/>
      <c r="J2630" s="91"/>
      <c r="L2630" s="94" t="str">
        <f t="shared" si="2"/>
        <v>No infirmation</v>
      </c>
      <c r="M2630" s="94" t="str">
        <f t="shared" si="3"/>
        <v/>
      </c>
    </row>
    <row r="2631" ht="15.75" customHeight="1">
      <c r="B2631" s="77">
        <f t="shared" si="1"/>
        <v>0</v>
      </c>
      <c r="C2631" s="67"/>
      <c r="D2631" s="78"/>
      <c r="E2631" s="101"/>
      <c r="F2631" s="108"/>
      <c r="G2631" s="120"/>
      <c r="H2631" s="101"/>
      <c r="I2631" s="93"/>
      <c r="J2631" s="91"/>
      <c r="L2631" s="94" t="str">
        <f t="shared" si="2"/>
        <v>No infirmation</v>
      </c>
      <c r="M2631" s="94" t="str">
        <f t="shared" si="3"/>
        <v/>
      </c>
    </row>
    <row r="2632" ht="15.75" customHeight="1">
      <c r="B2632" s="77">
        <f t="shared" si="1"/>
        <v>0</v>
      </c>
      <c r="C2632" s="67"/>
      <c r="D2632" s="78"/>
      <c r="E2632" s="101"/>
      <c r="F2632" s="108"/>
      <c r="G2632" s="120"/>
      <c r="H2632" s="101"/>
      <c r="I2632" s="93"/>
      <c r="J2632" s="91"/>
      <c r="L2632" s="94" t="str">
        <f t="shared" si="2"/>
        <v>No infirmation</v>
      </c>
      <c r="M2632" s="94" t="str">
        <f t="shared" si="3"/>
        <v/>
      </c>
    </row>
    <row r="2633" ht="15.75" customHeight="1">
      <c r="B2633" s="77">
        <f t="shared" si="1"/>
        <v>0</v>
      </c>
      <c r="C2633" s="67"/>
      <c r="D2633" s="78"/>
      <c r="E2633" s="101"/>
      <c r="F2633" s="108"/>
      <c r="G2633" s="120"/>
      <c r="H2633" s="101"/>
      <c r="I2633" s="93"/>
      <c r="J2633" s="91"/>
      <c r="L2633" s="94" t="str">
        <f t="shared" si="2"/>
        <v>No infirmation</v>
      </c>
      <c r="M2633" s="94" t="str">
        <f t="shared" si="3"/>
        <v/>
      </c>
    </row>
    <row r="2634" ht="15.75" customHeight="1">
      <c r="B2634" s="77">
        <f t="shared" si="1"/>
        <v>0</v>
      </c>
      <c r="C2634" s="67"/>
      <c r="D2634" s="78"/>
      <c r="E2634" s="101"/>
      <c r="F2634" s="108"/>
      <c r="G2634" s="120"/>
      <c r="H2634" s="101"/>
      <c r="I2634" s="93"/>
      <c r="J2634" s="91"/>
      <c r="L2634" s="94" t="str">
        <f t="shared" si="2"/>
        <v>No infirmation</v>
      </c>
      <c r="M2634" s="94" t="str">
        <f t="shared" si="3"/>
        <v/>
      </c>
    </row>
    <row r="2635" ht="15.75" customHeight="1">
      <c r="B2635" s="77">
        <f t="shared" si="1"/>
        <v>0</v>
      </c>
      <c r="C2635" s="67"/>
      <c r="D2635" s="78"/>
      <c r="E2635" s="101"/>
      <c r="F2635" s="108"/>
      <c r="G2635" s="120"/>
      <c r="H2635" s="101"/>
      <c r="I2635" s="93"/>
      <c r="J2635" s="91"/>
      <c r="L2635" s="94" t="str">
        <f t="shared" si="2"/>
        <v>No infirmation</v>
      </c>
      <c r="M2635" s="94" t="str">
        <f t="shared" si="3"/>
        <v/>
      </c>
    </row>
    <row r="2636" ht="15.75" customHeight="1">
      <c r="B2636" s="77">
        <f t="shared" si="1"/>
        <v>0</v>
      </c>
      <c r="C2636" s="67"/>
      <c r="D2636" s="78"/>
      <c r="E2636" s="101"/>
      <c r="F2636" s="108"/>
      <c r="G2636" s="120"/>
      <c r="H2636" s="101"/>
      <c r="I2636" s="93"/>
      <c r="J2636" s="91"/>
      <c r="L2636" s="94" t="str">
        <f t="shared" si="2"/>
        <v>No infirmation</v>
      </c>
      <c r="M2636" s="94" t="str">
        <f t="shared" si="3"/>
        <v/>
      </c>
    </row>
    <row r="2637" ht="15.75" customHeight="1">
      <c r="B2637" s="77">
        <f t="shared" si="1"/>
        <v>0</v>
      </c>
      <c r="C2637" s="67"/>
      <c r="D2637" s="78"/>
      <c r="E2637" s="101"/>
      <c r="F2637" s="108"/>
      <c r="G2637" s="120"/>
      <c r="H2637" s="101"/>
      <c r="I2637" s="93"/>
      <c r="J2637" s="91"/>
      <c r="L2637" s="94" t="str">
        <f t="shared" si="2"/>
        <v>No infirmation</v>
      </c>
      <c r="M2637" s="94" t="str">
        <f t="shared" si="3"/>
        <v/>
      </c>
    </row>
    <row r="2638" ht="15.75" customHeight="1">
      <c r="B2638" s="77">
        <f t="shared" si="1"/>
        <v>0</v>
      </c>
      <c r="C2638" s="67"/>
      <c r="D2638" s="78"/>
      <c r="E2638" s="101"/>
      <c r="F2638" s="108"/>
      <c r="G2638" s="120"/>
      <c r="H2638" s="101"/>
      <c r="I2638" s="93"/>
      <c r="J2638" s="91"/>
      <c r="L2638" s="94" t="str">
        <f t="shared" si="2"/>
        <v>No infirmation</v>
      </c>
      <c r="M2638" s="94" t="str">
        <f t="shared" si="3"/>
        <v/>
      </c>
    </row>
    <row r="2639" ht="15.75" customHeight="1">
      <c r="B2639" s="77">
        <f t="shared" si="1"/>
        <v>0</v>
      </c>
      <c r="C2639" s="67"/>
      <c r="D2639" s="78"/>
      <c r="E2639" s="101"/>
      <c r="F2639" s="108"/>
      <c r="G2639" s="120"/>
      <c r="H2639" s="101"/>
      <c r="I2639" s="93"/>
      <c r="J2639" s="91"/>
      <c r="L2639" s="94" t="str">
        <f t="shared" si="2"/>
        <v>No infirmation</v>
      </c>
      <c r="M2639" s="94" t="str">
        <f t="shared" si="3"/>
        <v/>
      </c>
    </row>
    <row r="2640" ht="15.75" customHeight="1">
      <c r="B2640" s="77">
        <f t="shared" si="1"/>
        <v>0</v>
      </c>
      <c r="C2640" s="67"/>
      <c r="D2640" s="78"/>
      <c r="E2640" s="101"/>
      <c r="F2640" s="108"/>
      <c r="G2640" s="120"/>
      <c r="H2640" s="101"/>
      <c r="I2640" s="93"/>
      <c r="J2640" s="91"/>
      <c r="L2640" s="94" t="str">
        <f t="shared" si="2"/>
        <v>No infirmation</v>
      </c>
      <c r="M2640" s="94" t="str">
        <f t="shared" si="3"/>
        <v/>
      </c>
    </row>
    <row r="2641" ht="15.75" customHeight="1">
      <c r="B2641" s="77">
        <f t="shared" si="1"/>
        <v>0</v>
      </c>
      <c r="C2641" s="67"/>
      <c r="D2641" s="78"/>
      <c r="E2641" s="101"/>
      <c r="F2641" s="108"/>
      <c r="G2641" s="120"/>
      <c r="H2641" s="101"/>
      <c r="I2641" s="93"/>
      <c r="J2641" s="91"/>
      <c r="L2641" s="94" t="str">
        <f t="shared" si="2"/>
        <v>No infirmation</v>
      </c>
      <c r="M2641" s="94" t="str">
        <f t="shared" si="3"/>
        <v/>
      </c>
    </row>
    <row r="2642" ht="15.75" customHeight="1">
      <c r="B2642" s="77">
        <f t="shared" si="1"/>
        <v>0</v>
      </c>
      <c r="C2642" s="67"/>
      <c r="D2642" s="78"/>
      <c r="E2642" s="101"/>
      <c r="F2642" s="108"/>
      <c r="G2642" s="120"/>
      <c r="H2642" s="101"/>
      <c r="I2642" s="93"/>
      <c r="J2642" s="91"/>
      <c r="L2642" s="94" t="str">
        <f t="shared" si="2"/>
        <v>No infirmation</v>
      </c>
      <c r="M2642" s="94" t="str">
        <f t="shared" si="3"/>
        <v/>
      </c>
    </row>
    <row r="2643" ht="15.75" customHeight="1">
      <c r="B2643" s="77">
        <f t="shared" si="1"/>
        <v>0</v>
      </c>
      <c r="C2643" s="67"/>
      <c r="D2643" s="78"/>
      <c r="E2643" s="101"/>
      <c r="F2643" s="108"/>
      <c r="G2643" s="120"/>
      <c r="H2643" s="101"/>
      <c r="I2643" s="93"/>
      <c r="J2643" s="91"/>
      <c r="L2643" s="94" t="str">
        <f t="shared" si="2"/>
        <v>No infirmation</v>
      </c>
      <c r="M2643" s="94" t="str">
        <f t="shared" si="3"/>
        <v/>
      </c>
    </row>
    <row r="2644" ht="15.75" customHeight="1">
      <c r="B2644" s="77">
        <f t="shared" si="1"/>
        <v>0</v>
      </c>
      <c r="C2644" s="67"/>
      <c r="D2644" s="78"/>
      <c r="E2644" s="101"/>
      <c r="F2644" s="108"/>
      <c r="G2644" s="120"/>
      <c r="H2644" s="101"/>
      <c r="I2644" s="93"/>
      <c r="J2644" s="91"/>
      <c r="L2644" s="94" t="str">
        <f t="shared" si="2"/>
        <v>No infirmation</v>
      </c>
      <c r="M2644" s="94" t="str">
        <f t="shared" si="3"/>
        <v/>
      </c>
    </row>
    <row r="2645" ht="15.75" customHeight="1">
      <c r="B2645" s="77">
        <f t="shared" si="1"/>
        <v>0</v>
      </c>
      <c r="C2645" s="67"/>
      <c r="D2645" s="78"/>
      <c r="E2645" s="101"/>
      <c r="F2645" s="108"/>
      <c r="G2645" s="120"/>
      <c r="H2645" s="101"/>
      <c r="I2645" s="93"/>
      <c r="J2645" s="91"/>
      <c r="L2645" s="94" t="str">
        <f t="shared" si="2"/>
        <v>No infirmation</v>
      </c>
      <c r="M2645" s="94" t="str">
        <f t="shared" si="3"/>
        <v/>
      </c>
    </row>
    <row r="2646" ht="15.75" customHeight="1">
      <c r="B2646" s="77">
        <f t="shared" si="1"/>
        <v>0</v>
      </c>
      <c r="C2646" s="67"/>
      <c r="D2646" s="78"/>
      <c r="E2646" s="101"/>
      <c r="F2646" s="108"/>
      <c r="G2646" s="120"/>
      <c r="H2646" s="101"/>
      <c r="I2646" s="93"/>
      <c r="J2646" s="91"/>
      <c r="L2646" s="94" t="str">
        <f t="shared" si="2"/>
        <v>No infirmation</v>
      </c>
      <c r="M2646" s="94" t="str">
        <f t="shared" si="3"/>
        <v/>
      </c>
    </row>
    <row r="2647" ht="15.75" customHeight="1">
      <c r="B2647" s="77">
        <f t="shared" si="1"/>
        <v>0</v>
      </c>
      <c r="C2647" s="67"/>
      <c r="D2647" s="78"/>
      <c r="E2647" s="101"/>
      <c r="F2647" s="108"/>
      <c r="G2647" s="120"/>
      <c r="H2647" s="101"/>
      <c r="I2647" s="93"/>
      <c r="J2647" s="91"/>
      <c r="L2647" s="94" t="str">
        <f t="shared" si="2"/>
        <v>No infirmation</v>
      </c>
      <c r="M2647" s="94" t="str">
        <f t="shared" si="3"/>
        <v/>
      </c>
    </row>
    <row r="2648" ht="15.75" customHeight="1">
      <c r="B2648" s="77">
        <f t="shared" si="1"/>
        <v>0</v>
      </c>
      <c r="C2648" s="67"/>
      <c r="D2648" s="78"/>
      <c r="E2648" s="101"/>
      <c r="F2648" s="108"/>
      <c r="G2648" s="120"/>
      <c r="H2648" s="101"/>
      <c r="I2648" s="93"/>
      <c r="J2648" s="91"/>
      <c r="L2648" s="94" t="str">
        <f t="shared" si="2"/>
        <v>No infirmation</v>
      </c>
      <c r="M2648" s="94" t="str">
        <f t="shared" si="3"/>
        <v/>
      </c>
    </row>
    <row r="2649" ht="15.75" customHeight="1">
      <c r="B2649" s="77">
        <f t="shared" si="1"/>
        <v>0</v>
      </c>
      <c r="C2649" s="67"/>
      <c r="D2649" s="78"/>
      <c r="E2649" s="101"/>
      <c r="F2649" s="108"/>
      <c r="G2649" s="120"/>
      <c r="H2649" s="101"/>
      <c r="I2649" s="93"/>
      <c r="J2649" s="91"/>
      <c r="L2649" s="94" t="str">
        <f t="shared" si="2"/>
        <v>No infirmation</v>
      </c>
      <c r="M2649" s="94" t="str">
        <f t="shared" si="3"/>
        <v/>
      </c>
    </row>
    <row r="2650" ht="15.75" customHeight="1">
      <c r="B2650" s="77">
        <f t="shared" si="1"/>
        <v>0</v>
      </c>
      <c r="C2650" s="67"/>
      <c r="D2650" s="78"/>
      <c r="E2650" s="101"/>
      <c r="F2650" s="108"/>
      <c r="G2650" s="120"/>
      <c r="H2650" s="101"/>
      <c r="I2650" s="93"/>
      <c r="J2650" s="91"/>
      <c r="L2650" s="94" t="str">
        <f t="shared" si="2"/>
        <v>No infirmation</v>
      </c>
      <c r="M2650" s="94" t="str">
        <f t="shared" si="3"/>
        <v/>
      </c>
    </row>
    <row r="2651" ht="15.75" customHeight="1">
      <c r="B2651" s="77">
        <f t="shared" si="1"/>
        <v>0</v>
      </c>
      <c r="C2651" s="67"/>
      <c r="D2651" s="78"/>
      <c r="E2651" s="101"/>
      <c r="F2651" s="108"/>
      <c r="G2651" s="120"/>
      <c r="H2651" s="101"/>
      <c r="I2651" s="93"/>
      <c r="J2651" s="91"/>
      <c r="L2651" s="94" t="str">
        <f t="shared" si="2"/>
        <v>No infirmation</v>
      </c>
      <c r="M2651" s="94" t="str">
        <f t="shared" si="3"/>
        <v/>
      </c>
    </row>
    <row r="2652" ht="15.75" customHeight="1">
      <c r="B2652" s="77">
        <f t="shared" si="1"/>
        <v>0</v>
      </c>
      <c r="C2652" s="67"/>
      <c r="D2652" s="78"/>
      <c r="E2652" s="101"/>
      <c r="F2652" s="108"/>
      <c r="G2652" s="120"/>
      <c r="H2652" s="101"/>
      <c r="I2652" s="93"/>
      <c r="J2652" s="91"/>
      <c r="L2652" s="94" t="str">
        <f t="shared" si="2"/>
        <v>No infirmation</v>
      </c>
      <c r="M2652" s="94" t="str">
        <f t="shared" si="3"/>
        <v/>
      </c>
    </row>
    <row r="2653" ht="15.75" customHeight="1">
      <c r="B2653" s="77">
        <f t="shared" si="1"/>
        <v>0</v>
      </c>
      <c r="C2653" s="67"/>
      <c r="D2653" s="78"/>
      <c r="E2653" s="101"/>
      <c r="F2653" s="108"/>
      <c r="G2653" s="120"/>
      <c r="H2653" s="101"/>
      <c r="I2653" s="93"/>
      <c r="J2653" s="91"/>
      <c r="L2653" s="94" t="str">
        <f t="shared" si="2"/>
        <v>No infirmation</v>
      </c>
      <c r="M2653" s="94" t="str">
        <f t="shared" si="3"/>
        <v/>
      </c>
    </row>
    <row r="2654" ht="15.75" customHeight="1">
      <c r="B2654" s="77">
        <f t="shared" si="1"/>
        <v>0</v>
      </c>
      <c r="C2654" s="67"/>
      <c r="D2654" s="78"/>
      <c r="E2654" s="101"/>
      <c r="F2654" s="108"/>
      <c r="G2654" s="120"/>
      <c r="H2654" s="101"/>
      <c r="I2654" s="93"/>
      <c r="J2654" s="91"/>
      <c r="L2654" s="94" t="str">
        <f t="shared" si="2"/>
        <v>No infirmation</v>
      </c>
      <c r="M2654" s="94" t="str">
        <f t="shared" si="3"/>
        <v/>
      </c>
    </row>
    <row r="2655" ht="15.75" customHeight="1">
      <c r="B2655" s="77">
        <f t="shared" si="1"/>
        <v>0</v>
      </c>
      <c r="C2655" s="67"/>
      <c r="D2655" s="78"/>
      <c r="E2655" s="101"/>
      <c r="F2655" s="108"/>
      <c r="G2655" s="120"/>
      <c r="H2655" s="101"/>
      <c r="I2655" s="93"/>
      <c r="J2655" s="91"/>
      <c r="L2655" s="94" t="str">
        <f t="shared" si="2"/>
        <v>No infirmation</v>
      </c>
      <c r="M2655" s="94" t="str">
        <f t="shared" si="3"/>
        <v/>
      </c>
    </row>
    <row r="2656" ht="15.75" customHeight="1">
      <c r="B2656" s="77">
        <f t="shared" si="1"/>
        <v>0</v>
      </c>
      <c r="C2656" s="67"/>
      <c r="D2656" s="78"/>
      <c r="E2656" s="101"/>
      <c r="F2656" s="108"/>
      <c r="G2656" s="120"/>
      <c r="H2656" s="101"/>
      <c r="I2656" s="93"/>
      <c r="J2656" s="91"/>
      <c r="L2656" s="94" t="str">
        <f t="shared" si="2"/>
        <v>No infirmation</v>
      </c>
      <c r="M2656" s="94" t="str">
        <f t="shared" si="3"/>
        <v/>
      </c>
    </row>
    <row r="2657" ht="15.75" customHeight="1">
      <c r="B2657" s="77">
        <f t="shared" si="1"/>
        <v>0</v>
      </c>
      <c r="C2657" s="67"/>
      <c r="D2657" s="78"/>
      <c r="E2657" s="101"/>
      <c r="F2657" s="108"/>
      <c r="G2657" s="120"/>
      <c r="H2657" s="101"/>
      <c r="I2657" s="93"/>
      <c r="J2657" s="91"/>
      <c r="L2657" s="94" t="str">
        <f t="shared" si="2"/>
        <v>No infirmation</v>
      </c>
      <c r="M2657" s="94" t="str">
        <f t="shared" si="3"/>
        <v/>
      </c>
    </row>
    <row r="2658" ht="15.75" customHeight="1">
      <c r="B2658" s="77">
        <f t="shared" si="1"/>
        <v>0</v>
      </c>
      <c r="C2658" s="67"/>
      <c r="D2658" s="78"/>
      <c r="E2658" s="101"/>
      <c r="F2658" s="108"/>
      <c r="G2658" s="120"/>
      <c r="H2658" s="101"/>
      <c r="I2658" s="93"/>
      <c r="J2658" s="91"/>
      <c r="L2658" s="94" t="str">
        <f t="shared" si="2"/>
        <v>No infirmation</v>
      </c>
      <c r="M2658" s="94" t="str">
        <f t="shared" si="3"/>
        <v/>
      </c>
    </row>
    <row r="2659" ht="15.75" customHeight="1">
      <c r="B2659" s="77">
        <f t="shared" si="1"/>
        <v>0</v>
      </c>
      <c r="C2659" s="67"/>
      <c r="D2659" s="78"/>
      <c r="E2659" s="101"/>
      <c r="F2659" s="108"/>
      <c r="G2659" s="120"/>
      <c r="H2659" s="101"/>
      <c r="I2659" s="93"/>
      <c r="J2659" s="91"/>
      <c r="L2659" s="94" t="str">
        <f t="shared" si="2"/>
        <v>No infirmation</v>
      </c>
      <c r="M2659" s="94" t="str">
        <f t="shared" si="3"/>
        <v/>
      </c>
    </row>
    <row r="2660" ht="15.75" customHeight="1">
      <c r="B2660" s="77">
        <f t="shared" si="1"/>
        <v>0</v>
      </c>
      <c r="C2660" s="67"/>
      <c r="D2660" s="78"/>
      <c r="E2660" s="101"/>
      <c r="F2660" s="108"/>
      <c r="G2660" s="120"/>
      <c r="H2660" s="101"/>
      <c r="I2660" s="93"/>
      <c r="J2660" s="91"/>
      <c r="L2660" s="94" t="str">
        <f t="shared" si="2"/>
        <v>No infirmation</v>
      </c>
      <c r="M2660" s="94" t="str">
        <f t="shared" si="3"/>
        <v/>
      </c>
    </row>
    <row r="2661" ht="15.75" customHeight="1">
      <c r="B2661" s="77">
        <f t="shared" si="1"/>
        <v>0</v>
      </c>
      <c r="C2661" s="67"/>
      <c r="D2661" s="78"/>
      <c r="E2661" s="101"/>
      <c r="F2661" s="108"/>
      <c r="G2661" s="120"/>
      <c r="H2661" s="101"/>
      <c r="I2661" s="93"/>
      <c r="J2661" s="91"/>
      <c r="L2661" s="94" t="str">
        <f t="shared" si="2"/>
        <v>No infirmation</v>
      </c>
      <c r="M2661" s="94" t="str">
        <f t="shared" si="3"/>
        <v/>
      </c>
    </row>
    <row r="2662" ht="15.75" customHeight="1">
      <c r="B2662" s="77">
        <f t="shared" si="1"/>
        <v>0</v>
      </c>
      <c r="C2662" s="67"/>
      <c r="D2662" s="78"/>
      <c r="E2662" s="101"/>
      <c r="F2662" s="108"/>
      <c r="G2662" s="120"/>
      <c r="H2662" s="101"/>
      <c r="I2662" s="93"/>
      <c r="J2662" s="91"/>
      <c r="L2662" s="94" t="str">
        <f t="shared" si="2"/>
        <v>No infirmation</v>
      </c>
      <c r="M2662" s="94" t="str">
        <f t="shared" si="3"/>
        <v/>
      </c>
    </row>
    <row r="2663" ht="15.75" customHeight="1">
      <c r="B2663" s="77">
        <f t="shared" si="1"/>
        <v>0</v>
      </c>
      <c r="C2663" s="67"/>
      <c r="D2663" s="78"/>
      <c r="E2663" s="101"/>
      <c r="F2663" s="108"/>
      <c r="G2663" s="120"/>
      <c r="H2663" s="101"/>
      <c r="I2663" s="93"/>
      <c r="J2663" s="91"/>
      <c r="L2663" s="94" t="str">
        <f t="shared" si="2"/>
        <v>No infirmation</v>
      </c>
      <c r="M2663" s="94" t="str">
        <f t="shared" si="3"/>
        <v/>
      </c>
    </row>
    <row r="2664" ht="15.75" customHeight="1">
      <c r="B2664" s="77">
        <f t="shared" si="1"/>
        <v>0</v>
      </c>
      <c r="C2664" s="67"/>
      <c r="D2664" s="78"/>
      <c r="E2664" s="101"/>
      <c r="F2664" s="108"/>
      <c r="G2664" s="120"/>
      <c r="H2664" s="101"/>
      <c r="I2664" s="93"/>
      <c r="J2664" s="91"/>
      <c r="L2664" s="94" t="str">
        <f t="shared" si="2"/>
        <v>No infirmation</v>
      </c>
      <c r="M2664" s="94" t="str">
        <f t="shared" si="3"/>
        <v/>
      </c>
    </row>
    <row r="2665" ht="15.75" customHeight="1">
      <c r="B2665" s="77">
        <f t="shared" si="1"/>
        <v>0</v>
      </c>
      <c r="C2665" s="67"/>
      <c r="D2665" s="78"/>
      <c r="E2665" s="101"/>
      <c r="F2665" s="108"/>
      <c r="G2665" s="120"/>
      <c r="H2665" s="101"/>
      <c r="I2665" s="93"/>
      <c r="J2665" s="91"/>
      <c r="L2665" s="94" t="str">
        <f t="shared" si="2"/>
        <v>No infirmation</v>
      </c>
      <c r="M2665" s="94" t="str">
        <f t="shared" si="3"/>
        <v/>
      </c>
    </row>
    <row r="2666" ht="15.75" customHeight="1">
      <c r="B2666" s="77">
        <f t="shared" si="1"/>
        <v>0</v>
      </c>
      <c r="C2666" s="67"/>
      <c r="D2666" s="78"/>
      <c r="E2666" s="101"/>
      <c r="F2666" s="108"/>
      <c r="G2666" s="120"/>
      <c r="H2666" s="101"/>
      <c r="I2666" s="93"/>
      <c r="J2666" s="91"/>
      <c r="L2666" s="94" t="str">
        <f t="shared" si="2"/>
        <v>No infirmation</v>
      </c>
      <c r="M2666" s="94" t="str">
        <f t="shared" si="3"/>
        <v/>
      </c>
    </row>
    <row r="2667" ht="15.75" customHeight="1">
      <c r="B2667" s="77">
        <f t="shared" si="1"/>
        <v>0</v>
      </c>
      <c r="C2667" s="67"/>
      <c r="D2667" s="78"/>
      <c r="E2667" s="101"/>
      <c r="F2667" s="108"/>
      <c r="G2667" s="120"/>
      <c r="H2667" s="101"/>
      <c r="I2667" s="93"/>
      <c r="J2667" s="91"/>
      <c r="L2667" s="94" t="str">
        <f t="shared" si="2"/>
        <v>No infirmation</v>
      </c>
      <c r="M2667" s="94" t="str">
        <f t="shared" si="3"/>
        <v/>
      </c>
    </row>
    <row r="2668" ht="15.75" customHeight="1">
      <c r="B2668" s="77">
        <f t="shared" si="1"/>
        <v>0</v>
      </c>
      <c r="C2668" s="67"/>
      <c r="D2668" s="78"/>
      <c r="E2668" s="101"/>
      <c r="F2668" s="108"/>
      <c r="G2668" s="120"/>
      <c r="H2668" s="101"/>
      <c r="I2668" s="93"/>
      <c r="J2668" s="91"/>
      <c r="L2668" s="94" t="str">
        <f t="shared" si="2"/>
        <v>No infirmation</v>
      </c>
      <c r="M2668" s="94" t="str">
        <f t="shared" si="3"/>
        <v/>
      </c>
    </row>
    <row r="2669" ht="15.75" customHeight="1">
      <c r="B2669" s="77">
        <f t="shared" si="1"/>
        <v>0</v>
      </c>
      <c r="C2669" s="67"/>
      <c r="D2669" s="78"/>
      <c r="E2669" s="101"/>
      <c r="F2669" s="108"/>
      <c r="G2669" s="120"/>
      <c r="H2669" s="101"/>
      <c r="I2669" s="93"/>
      <c r="J2669" s="91"/>
      <c r="L2669" s="94" t="str">
        <f t="shared" si="2"/>
        <v>No infirmation</v>
      </c>
      <c r="M2669" s="94" t="str">
        <f t="shared" si="3"/>
        <v/>
      </c>
    </row>
    <row r="2670" ht="15.75" customHeight="1">
      <c r="B2670" s="77">
        <f t="shared" si="1"/>
        <v>0</v>
      </c>
      <c r="C2670" s="67"/>
      <c r="D2670" s="78"/>
      <c r="E2670" s="101"/>
      <c r="F2670" s="108"/>
      <c r="G2670" s="120"/>
      <c r="H2670" s="101"/>
      <c r="I2670" s="93"/>
      <c r="J2670" s="91"/>
      <c r="L2670" s="94" t="str">
        <f t="shared" si="2"/>
        <v>No infirmation</v>
      </c>
      <c r="M2670" s="94" t="str">
        <f t="shared" si="3"/>
        <v/>
      </c>
    </row>
    <row r="2671" ht="15.75" customHeight="1">
      <c r="B2671" s="77">
        <f t="shared" si="1"/>
        <v>0</v>
      </c>
      <c r="C2671" s="67"/>
      <c r="D2671" s="78"/>
      <c r="E2671" s="101"/>
      <c r="F2671" s="108"/>
      <c r="G2671" s="120"/>
      <c r="H2671" s="101"/>
      <c r="I2671" s="93"/>
      <c r="J2671" s="91"/>
      <c r="L2671" s="94" t="str">
        <f t="shared" si="2"/>
        <v>No infirmation</v>
      </c>
      <c r="M2671" s="94" t="str">
        <f t="shared" si="3"/>
        <v/>
      </c>
    </row>
    <row r="2672" ht="15.75" customHeight="1">
      <c r="B2672" s="77">
        <f t="shared" si="1"/>
        <v>0</v>
      </c>
      <c r="C2672" s="67"/>
      <c r="D2672" s="78"/>
      <c r="E2672" s="101"/>
      <c r="F2672" s="108"/>
      <c r="G2672" s="120"/>
      <c r="H2672" s="101"/>
      <c r="I2672" s="93"/>
      <c r="J2672" s="91"/>
      <c r="L2672" s="94" t="str">
        <f t="shared" si="2"/>
        <v>No infirmation</v>
      </c>
      <c r="M2672" s="94" t="str">
        <f t="shared" si="3"/>
        <v/>
      </c>
    </row>
    <row r="2673" ht="15.75" customHeight="1">
      <c r="B2673" s="77">
        <f t="shared" si="1"/>
        <v>0</v>
      </c>
      <c r="C2673" s="67"/>
      <c r="D2673" s="78"/>
      <c r="E2673" s="101"/>
      <c r="F2673" s="108"/>
      <c r="G2673" s="120"/>
      <c r="H2673" s="101"/>
      <c r="I2673" s="93"/>
      <c r="J2673" s="91"/>
      <c r="L2673" s="94" t="str">
        <f t="shared" si="2"/>
        <v>No infirmation</v>
      </c>
      <c r="M2673" s="94" t="str">
        <f t="shared" si="3"/>
        <v/>
      </c>
    </row>
    <row r="2674" ht="15.75" customHeight="1">
      <c r="B2674" s="77">
        <f t="shared" si="1"/>
        <v>0</v>
      </c>
      <c r="C2674" s="67"/>
      <c r="D2674" s="78"/>
      <c r="E2674" s="101"/>
      <c r="F2674" s="108"/>
      <c r="G2674" s="120"/>
      <c r="H2674" s="101"/>
      <c r="I2674" s="93"/>
      <c r="J2674" s="91"/>
      <c r="L2674" s="94" t="str">
        <f t="shared" si="2"/>
        <v>No infirmation</v>
      </c>
      <c r="M2674" s="94" t="str">
        <f t="shared" si="3"/>
        <v/>
      </c>
    </row>
    <row r="2675" ht="15.75" customHeight="1">
      <c r="B2675" s="77">
        <f t="shared" si="1"/>
        <v>0</v>
      </c>
      <c r="C2675" s="67"/>
      <c r="D2675" s="78"/>
      <c r="E2675" s="101"/>
      <c r="F2675" s="108"/>
      <c r="G2675" s="120"/>
      <c r="H2675" s="101"/>
      <c r="I2675" s="93"/>
      <c r="J2675" s="91"/>
      <c r="L2675" s="94" t="str">
        <f t="shared" si="2"/>
        <v>No infirmation</v>
      </c>
      <c r="M2675" s="94" t="str">
        <f t="shared" si="3"/>
        <v/>
      </c>
    </row>
    <row r="2676" ht="15.75" customHeight="1">
      <c r="B2676" s="77">
        <f t="shared" si="1"/>
        <v>0</v>
      </c>
      <c r="C2676" s="67"/>
      <c r="D2676" s="78"/>
      <c r="E2676" s="101"/>
      <c r="F2676" s="108"/>
      <c r="G2676" s="120"/>
      <c r="H2676" s="101"/>
      <c r="I2676" s="93"/>
      <c r="J2676" s="91"/>
      <c r="L2676" s="94" t="str">
        <f t="shared" si="2"/>
        <v>No infirmation</v>
      </c>
      <c r="M2676" s="94" t="str">
        <f t="shared" si="3"/>
        <v/>
      </c>
    </row>
    <row r="2677" ht="15.75" customHeight="1">
      <c r="B2677" s="77">
        <f t="shared" si="1"/>
        <v>0</v>
      </c>
      <c r="C2677" s="67"/>
      <c r="D2677" s="78"/>
      <c r="E2677" s="101"/>
      <c r="F2677" s="108"/>
      <c r="G2677" s="120"/>
      <c r="H2677" s="101"/>
      <c r="I2677" s="93"/>
      <c r="J2677" s="91"/>
      <c r="L2677" s="94" t="str">
        <f t="shared" si="2"/>
        <v>No infirmation</v>
      </c>
      <c r="M2677" s="94" t="str">
        <f t="shared" si="3"/>
        <v/>
      </c>
    </row>
    <row r="2678" ht="15.75" customHeight="1">
      <c r="B2678" s="77">
        <f t="shared" si="1"/>
        <v>0</v>
      </c>
      <c r="C2678" s="67"/>
      <c r="D2678" s="78"/>
      <c r="E2678" s="101"/>
      <c r="F2678" s="108"/>
      <c r="G2678" s="120"/>
      <c r="H2678" s="101"/>
      <c r="I2678" s="93"/>
      <c r="J2678" s="91"/>
      <c r="L2678" s="94" t="str">
        <f t="shared" si="2"/>
        <v>No infirmation</v>
      </c>
      <c r="M2678" s="94" t="str">
        <f t="shared" si="3"/>
        <v/>
      </c>
    </row>
    <row r="2679" ht="15.75" customHeight="1">
      <c r="B2679" s="77">
        <f t="shared" si="1"/>
        <v>0</v>
      </c>
      <c r="C2679" s="67"/>
      <c r="D2679" s="78"/>
      <c r="E2679" s="101"/>
      <c r="F2679" s="108"/>
      <c r="G2679" s="120"/>
      <c r="H2679" s="101"/>
      <c r="I2679" s="93"/>
      <c r="J2679" s="91"/>
      <c r="L2679" s="94" t="str">
        <f t="shared" si="2"/>
        <v>No infirmation</v>
      </c>
      <c r="M2679" s="94" t="str">
        <f t="shared" si="3"/>
        <v/>
      </c>
    </row>
    <row r="2680" ht="15.75" customHeight="1">
      <c r="B2680" s="77">
        <f t="shared" si="1"/>
        <v>0</v>
      </c>
      <c r="C2680" s="67"/>
      <c r="D2680" s="78"/>
      <c r="E2680" s="101"/>
      <c r="F2680" s="108"/>
      <c r="G2680" s="120"/>
      <c r="H2680" s="101"/>
      <c r="I2680" s="93"/>
      <c r="J2680" s="91"/>
      <c r="L2680" s="94" t="str">
        <f t="shared" si="2"/>
        <v>No infirmation</v>
      </c>
      <c r="M2680" s="94" t="str">
        <f t="shared" si="3"/>
        <v/>
      </c>
    </row>
    <row r="2681" ht="15.75" customHeight="1">
      <c r="B2681" s="77">
        <f t="shared" si="1"/>
        <v>0</v>
      </c>
      <c r="C2681" s="67"/>
      <c r="D2681" s="78"/>
      <c r="E2681" s="101"/>
      <c r="F2681" s="108"/>
      <c r="G2681" s="120"/>
      <c r="H2681" s="101"/>
      <c r="I2681" s="93"/>
      <c r="J2681" s="91"/>
      <c r="L2681" s="94" t="str">
        <f t="shared" si="2"/>
        <v>No infirmation</v>
      </c>
      <c r="M2681" s="94" t="str">
        <f t="shared" si="3"/>
        <v/>
      </c>
    </row>
    <row r="2682" ht="15.75" customHeight="1">
      <c r="B2682" s="77">
        <f t="shared" si="1"/>
        <v>0</v>
      </c>
      <c r="C2682" s="67"/>
      <c r="D2682" s="78"/>
      <c r="E2682" s="101"/>
      <c r="F2682" s="108"/>
      <c r="G2682" s="120"/>
      <c r="H2682" s="101"/>
      <c r="I2682" s="93"/>
      <c r="J2682" s="91"/>
      <c r="L2682" s="94" t="str">
        <f t="shared" si="2"/>
        <v>No infirmation</v>
      </c>
      <c r="M2682" s="94" t="str">
        <f t="shared" si="3"/>
        <v/>
      </c>
    </row>
    <row r="2683" ht="15.75" customHeight="1">
      <c r="B2683" s="77">
        <f t="shared" si="1"/>
        <v>0</v>
      </c>
      <c r="C2683" s="67"/>
      <c r="D2683" s="78"/>
      <c r="E2683" s="101"/>
      <c r="F2683" s="108"/>
      <c r="G2683" s="120"/>
      <c r="H2683" s="101"/>
      <c r="I2683" s="93"/>
      <c r="J2683" s="91"/>
      <c r="L2683" s="94" t="str">
        <f t="shared" si="2"/>
        <v>No infirmation</v>
      </c>
      <c r="M2683" s="94" t="str">
        <f t="shared" si="3"/>
        <v/>
      </c>
    </row>
    <row r="2684" ht="15.75" customHeight="1">
      <c r="B2684" s="77">
        <f t="shared" si="1"/>
        <v>0</v>
      </c>
      <c r="C2684" s="67"/>
      <c r="D2684" s="78"/>
      <c r="E2684" s="101"/>
      <c r="F2684" s="108"/>
      <c r="G2684" s="120"/>
      <c r="H2684" s="101"/>
      <c r="I2684" s="93"/>
      <c r="J2684" s="91"/>
      <c r="L2684" s="94" t="str">
        <f t="shared" si="2"/>
        <v>No infirmation</v>
      </c>
      <c r="M2684" s="94" t="str">
        <f t="shared" si="3"/>
        <v/>
      </c>
    </row>
    <row r="2685" ht="15.75" customHeight="1">
      <c r="B2685" s="77">
        <f t="shared" si="1"/>
        <v>0</v>
      </c>
      <c r="C2685" s="67"/>
      <c r="D2685" s="78"/>
      <c r="E2685" s="101"/>
      <c r="F2685" s="108"/>
      <c r="G2685" s="120"/>
      <c r="H2685" s="101"/>
      <c r="I2685" s="93"/>
      <c r="J2685" s="91"/>
      <c r="L2685" s="94" t="str">
        <f t="shared" si="2"/>
        <v>No infirmation</v>
      </c>
      <c r="M2685" s="94" t="str">
        <f t="shared" si="3"/>
        <v/>
      </c>
    </row>
    <row r="2686" ht="15.75" customHeight="1">
      <c r="B2686" s="77">
        <f t="shared" si="1"/>
        <v>0</v>
      </c>
      <c r="C2686" s="67"/>
      <c r="D2686" s="78"/>
      <c r="E2686" s="101"/>
      <c r="F2686" s="108"/>
      <c r="G2686" s="120"/>
      <c r="H2686" s="101"/>
      <c r="I2686" s="93"/>
      <c r="J2686" s="91"/>
      <c r="L2686" s="94" t="str">
        <f t="shared" si="2"/>
        <v>No infirmation</v>
      </c>
      <c r="M2686" s="94" t="str">
        <f t="shared" si="3"/>
        <v/>
      </c>
    </row>
    <row r="2687" ht="15.75" customHeight="1">
      <c r="B2687" s="77">
        <f t="shared" si="1"/>
        <v>0</v>
      </c>
      <c r="C2687" s="67"/>
      <c r="D2687" s="78"/>
      <c r="E2687" s="101"/>
      <c r="F2687" s="108"/>
      <c r="G2687" s="120"/>
      <c r="H2687" s="101"/>
      <c r="I2687" s="93"/>
      <c r="J2687" s="91"/>
      <c r="L2687" s="94" t="str">
        <f t="shared" si="2"/>
        <v>No infirmation</v>
      </c>
      <c r="M2687" s="94" t="str">
        <f t="shared" si="3"/>
        <v/>
      </c>
    </row>
    <row r="2688" ht="15.75" customHeight="1">
      <c r="B2688" s="77">
        <f t="shared" si="1"/>
        <v>0</v>
      </c>
      <c r="C2688" s="67"/>
      <c r="D2688" s="78"/>
      <c r="E2688" s="101"/>
      <c r="F2688" s="108"/>
      <c r="G2688" s="120"/>
      <c r="H2688" s="101"/>
      <c r="I2688" s="93"/>
      <c r="J2688" s="91"/>
      <c r="L2688" s="94" t="str">
        <f t="shared" si="2"/>
        <v>No infirmation</v>
      </c>
      <c r="M2688" s="94" t="str">
        <f t="shared" si="3"/>
        <v/>
      </c>
    </row>
    <row r="2689" ht="15.75" customHeight="1">
      <c r="B2689" s="77">
        <f t="shared" si="1"/>
        <v>0</v>
      </c>
      <c r="C2689" s="67"/>
      <c r="D2689" s="78"/>
      <c r="E2689" s="101"/>
      <c r="F2689" s="108"/>
      <c r="G2689" s="120"/>
      <c r="H2689" s="101"/>
      <c r="I2689" s="93"/>
      <c r="J2689" s="91"/>
      <c r="L2689" s="94" t="str">
        <f t="shared" si="2"/>
        <v>No infirmation</v>
      </c>
      <c r="M2689" s="94" t="str">
        <f t="shared" si="3"/>
        <v/>
      </c>
    </row>
    <row r="2690" ht="15.75" customHeight="1">
      <c r="B2690" s="77">
        <f t="shared" si="1"/>
        <v>0</v>
      </c>
      <c r="C2690" s="67"/>
      <c r="D2690" s="78"/>
      <c r="E2690" s="101"/>
      <c r="F2690" s="108"/>
      <c r="G2690" s="120"/>
      <c r="H2690" s="101"/>
      <c r="I2690" s="93"/>
      <c r="J2690" s="91"/>
      <c r="L2690" s="94" t="str">
        <f t="shared" si="2"/>
        <v>No infirmation</v>
      </c>
      <c r="M2690" s="94" t="str">
        <f t="shared" si="3"/>
        <v/>
      </c>
    </row>
    <row r="2691" ht="15.75" customHeight="1">
      <c r="B2691" s="77">
        <f t="shared" si="1"/>
        <v>0</v>
      </c>
      <c r="C2691" s="67"/>
      <c r="D2691" s="78"/>
      <c r="E2691" s="101"/>
      <c r="F2691" s="108"/>
      <c r="G2691" s="120"/>
      <c r="H2691" s="101"/>
      <c r="I2691" s="93"/>
      <c r="J2691" s="91"/>
      <c r="L2691" s="94" t="str">
        <f t="shared" si="2"/>
        <v>No infirmation</v>
      </c>
      <c r="M2691" s="94" t="str">
        <f t="shared" si="3"/>
        <v/>
      </c>
    </row>
    <row r="2692" ht="15.75" customHeight="1">
      <c r="B2692" s="77">
        <f t="shared" si="1"/>
        <v>0</v>
      </c>
      <c r="C2692" s="67"/>
      <c r="D2692" s="78"/>
      <c r="E2692" s="101"/>
      <c r="F2692" s="108"/>
      <c r="G2692" s="120"/>
      <c r="H2692" s="101"/>
      <c r="I2692" s="93"/>
      <c r="J2692" s="91"/>
      <c r="L2692" s="94" t="str">
        <f t="shared" si="2"/>
        <v>No infirmation</v>
      </c>
      <c r="M2692" s="94" t="str">
        <f t="shared" si="3"/>
        <v/>
      </c>
    </row>
    <row r="2693" ht="15.75" customHeight="1">
      <c r="B2693" s="77">
        <f t="shared" si="1"/>
        <v>0</v>
      </c>
      <c r="C2693" s="67"/>
      <c r="D2693" s="78"/>
      <c r="E2693" s="101"/>
      <c r="F2693" s="108"/>
      <c r="G2693" s="120"/>
      <c r="H2693" s="101"/>
      <c r="I2693" s="93"/>
      <c r="J2693" s="91"/>
      <c r="L2693" s="94" t="str">
        <f t="shared" si="2"/>
        <v>No infirmation</v>
      </c>
      <c r="M2693" s="94" t="str">
        <f t="shared" si="3"/>
        <v/>
      </c>
    </row>
    <row r="2694" ht="15.75" customHeight="1">
      <c r="B2694" s="77">
        <f t="shared" si="1"/>
        <v>0</v>
      </c>
      <c r="C2694" s="67"/>
      <c r="D2694" s="78"/>
      <c r="E2694" s="101"/>
      <c r="F2694" s="108"/>
      <c r="G2694" s="120"/>
      <c r="H2694" s="101"/>
      <c r="I2694" s="93"/>
      <c r="J2694" s="91"/>
      <c r="L2694" s="94" t="str">
        <f t="shared" si="2"/>
        <v>No infirmation</v>
      </c>
      <c r="M2694" s="94" t="str">
        <f t="shared" si="3"/>
        <v/>
      </c>
    </row>
    <row r="2695" ht="15.75" customHeight="1">
      <c r="B2695" s="77">
        <f t="shared" si="1"/>
        <v>0</v>
      </c>
      <c r="C2695" s="67"/>
      <c r="D2695" s="78"/>
      <c r="E2695" s="101"/>
      <c r="F2695" s="108"/>
      <c r="G2695" s="120"/>
      <c r="H2695" s="101"/>
      <c r="I2695" s="93"/>
      <c r="J2695" s="91"/>
      <c r="L2695" s="94" t="str">
        <f t="shared" si="2"/>
        <v>No infirmation</v>
      </c>
      <c r="M2695" s="94" t="str">
        <f t="shared" si="3"/>
        <v/>
      </c>
    </row>
    <row r="2696" ht="15.75" customHeight="1">
      <c r="B2696" s="77">
        <f t="shared" si="1"/>
        <v>0</v>
      </c>
      <c r="C2696" s="67"/>
      <c r="D2696" s="78"/>
      <c r="E2696" s="101"/>
      <c r="F2696" s="108"/>
      <c r="G2696" s="120"/>
      <c r="H2696" s="101"/>
      <c r="I2696" s="93"/>
      <c r="J2696" s="91"/>
      <c r="L2696" s="94" t="str">
        <f t="shared" si="2"/>
        <v>No infirmation</v>
      </c>
      <c r="M2696" s="94" t="str">
        <f t="shared" si="3"/>
        <v/>
      </c>
    </row>
    <row r="2697" ht="15.75" customHeight="1">
      <c r="B2697" s="77">
        <f t="shared" si="1"/>
        <v>0</v>
      </c>
      <c r="C2697" s="67"/>
      <c r="D2697" s="78"/>
      <c r="E2697" s="101"/>
      <c r="F2697" s="108"/>
      <c r="G2697" s="120"/>
      <c r="H2697" s="101"/>
      <c r="I2697" s="93"/>
      <c r="J2697" s="91"/>
      <c r="L2697" s="94" t="str">
        <f t="shared" si="2"/>
        <v>No infirmation</v>
      </c>
      <c r="M2697" s="94" t="str">
        <f t="shared" si="3"/>
        <v/>
      </c>
    </row>
    <row r="2698" ht="15.75" customHeight="1">
      <c r="B2698" s="77">
        <f t="shared" si="1"/>
        <v>0</v>
      </c>
      <c r="C2698" s="67"/>
      <c r="D2698" s="78"/>
      <c r="E2698" s="101"/>
      <c r="F2698" s="108"/>
      <c r="G2698" s="120"/>
      <c r="H2698" s="101"/>
      <c r="I2698" s="93"/>
      <c r="J2698" s="91"/>
      <c r="L2698" s="94" t="str">
        <f t="shared" si="2"/>
        <v>No infirmation</v>
      </c>
      <c r="M2698" s="94" t="str">
        <f t="shared" si="3"/>
        <v/>
      </c>
    </row>
    <row r="2699" ht="15.75" customHeight="1">
      <c r="B2699" s="77">
        <f t="shared" si="1"/>
        <v>0</v>
      </c>
      <c r="C2699" s="67"/>
      <c r="D2699" s="78"/>
      <c r="E2699" s="101"/>
      <c r="F2699" s="108"/>
      <c r="G2699" s="120"/>
      <c r="H2699" s="101"/>
      <c r="I2699" s="93"/>
      <c r="J2699" s="91"/>
      <c r="L2699" s="94" t="str">
        <f t="shared" si="2"/>
        <v>No infirmation</v>
      </c>
      <c r="M2699" s="94" t="str">
        <f t="shared" si="3"/>
        <v/>
      </c>
    </row>
    <row r="2700" ht="15.75" customHeight="1">
      <c r="B2700" s="77">
        <f t="shared" si="1"/>
        <v>0</v>
      </c>
      <c r="C2700" s="67"/>
      <c r="D2700" s="78"/>
      <c r="E2700" s="101"/>
      <c r="F2700" s="108"/>
      <c r="G2700" s="120"/>
      <c r="H2700" s="101"/>
      <c r="I2700" s="93"/>
      <c r="J2700" s="91"/>
      <c r="L2700" s="94" t="str">
        <f t="shared" si="2"/>
        <v>No infirmation</v>
      </c>
      <c r="M2700" s="94" t="str">
        <f t="shared" si="3"/>
        <v/>
      </c>
    </row>
    <row r="2701" ht="15.75" customHeight="1">
      <c r="B2701" s="77">
        <f t="shared" si="1"/>
        <v>0</v>
      </c>
      <c r="C2701" s="67"/>
      <c r="D2701" s="78"/>
      <c r="E2701" s="101"/>
      <c r="F2701" s="108"/>
      <c r="G2701" s="120"/>
      <c r="H2701" s="101"/>
      <c r="I2701" s="93"/>
      <c r="J2701" s="91"/>
      <c r="L2701" s="94" t="str">
        <f t="shared" si="2"/>
        <v>No infirmation</v>
      </c>
      <c r="M2701" s="94" t="str">
        <f t="shared" si="3"/>
        <v/>
      </c>
    </row>
    <row r="2702" ht="15.75" customHeight="1">
      <c r="B2702" s="77">
        <f t="shared" si="1"/>
        <v>0</v>
      </c>
      <c r="C2702" s="67"/>
      <c r="D2702" s="78"/>
      <c r="E2702" s="101"/>
      <c r="F2702" s="108"/>
      <c r="G2702" s="120"/>
      <c r="H2702" s="101"/>
      <c r="I2702" s="93"/>
      <c r="J2702" s="91"/>
      <c r="L2702" s="94" t="str">
        <f t="shared" si="2"/>
        <v>No infirmation</v>
      </c>
      <c r="M2702" s="94" t="str">
        <f t="shared" si="3"/>
        <v/>
      </c>
    </row>
    <row r="2703" ht="15.75" customHeight="1">
      <c r="B2703" s="77">
        <f t="shared" si="1"/>
        <v>0</v>
      </c>
      <c r="C2703" s="67"/>
      <c r="D2703" s="78"/>
      <c r="E2703" s="101"/>
      <c r="F2703" s="108"/>
      <c r="G2703" s="120"/>
      <c r="H2703" s="101"/>
      <c r="I2703" s="93"/>
      <c r="J2703" s="91"/>
      <c r="L2703" s="94" t="str">
        <f t="shared" si="2"/>
        <v>No infirmation</v>
      </c>
      <c r="M2703" s="94" t="str">
        <f t="shared" si="3"/>
        <v/>
      </c>
    </row>
    <row r="2704" ht="15.75" customHeight="1">
      <c r="B2704" s="77">
        <f t="shared" si="1"/>
        <v>0</v>
      </c>
      <c r="C2704" s="67"/>
      <c r="D2704" s="78"/>
      <c r="E2704" s="101"/>
      <c r="F2704" s="108"/>
      <c r="G2704" s="120"/>
      <c r="H2704" s="101"/>
      <c r="I2704" s="93"/>
      <c r="J2704" s="91"/>
      <c r="L2704" s="94" t="str">
        <f t="shared" si="2"/>
        <v>No infirmation</v>
      </c>
      <c r="M2704" s="94" t="str">
        <f t="shared" si="3"/>
        <v/>
      </c>
    </row>
    <row r="2705" ht="15.75" customHeight="1">
      <c r="B2705" s="77">
        <f t="shared" si="1"/>
        <v>0</v>
      </c>
      <c r="C2705" s="67"/>
      <c r="D2705" s="78"/>
      <c r="E2705" s="101"/>
      <c r="F2705" s="108"/>
      <c r="G2705" s="120"/>
      <c r="H2705" s="101"/>
      <c r="I2705" s="93"/>
      <c r="J2705" s="91"/>
      <c r="L2705" s="94" t="str">
        <f t="shared" si="2"/>
        <v>No infirmation</v>
      </c>
      <c r="M2705" s="94" t="str">
        <f t="shared" si="3"/>
        <v/>
      </c>
    </row>
    <row r="2706" ht="15.75" customHeight="1">
      <c r="B2706" s="77">
        <f t="shared" si="1"/>
        <v>0</v>
      </c>
      <c r="C2706" s="67"/>
      <c r="D2706" s="78"/>
      <c r="E2706" s="101"/>
      <c r="F2706" s="108"/>
      <c r="G2706" s="120"/>
      <c r="H2706" s="101"/>
      <c r="I2706" s="93"/>
      <c r="J2706" s="91"/>
      <c r="L2706" s="94" t="str">
        <f t="shared" si="2"/>
        <v>No infirmation</v>
      </c>
      <c r="M2706" s="94" t="str">
        <f t="shared" si="3"/>
        <v/>
      </c>
    </row>
    <row r="2707" ht="15.75" customHeight="1">
      <c r="B2707" s="77">
        <f t="shared" si="1"/>
        <v>0</v>
      </c>
      <c r="C2707" s="67"/>
      <c r="D2707" s="78"/>
      <c r="E2707" s="101"/>
      <c r="F2707" s="108"/>
      <c r="G2707" s="120"/>
      <c r="H2707" s="101"/>
      <c r="I2707" s="93"/>
      <c r="J2707" s="91"/>
      <c r="L2707" s="94" t="str">
        <f t="shared" si="2"/>
        <v>No infirmation</v>
      </c>
      <c r="M2707" s="94" t="str">
        <f t="shared" si="3"/>
        <v/>
      </c>
    </row>
    <row r="2708" ht="15.75" customHeight="1">
      <c r="B2708" s="77">
        <f t="shared" si="1"/>
        <v>0</v>
      </c>
      <c r="C2708" s="67"/>
      <c r="D2708" s="78"/>
      <c r="E2708" s="101"/>
      <c r="F2708" s="108"/>
      <c r="G2708" s="120"/>
      <c r="H2708" s="101"/>
      <c r="I2708" s="93"/>
      <c r="J2708" s="91"/>
      <c r="L2708" s="94" t="str">
        <f t="shared" si="2"/>
        <v>No infirmation</v>
      </c>
      <c r="M2708" s="94" t="str">
        <f t="shared" si="3"/>
        <v/>
      </c>
    </row>
    <row r="2709" ht="15.75" customHeight="1">
      <c r="B2709" s="77">
        <f t="shared" si="1"/>
        <v>0</v>
      </c>
      <c r="C2709" s="67"/>
      <c r="D2709" s="78"/>
      <c r="E2709" s="101"/>
      <c r="F2709" s="108"/>
      <c r="G2709" s="120"/>
      <c r="H2709" s="101"/>
      <c r="I2709" s="93"/>
      <c r="J2709" s="91"/>
      <c r="L2709" s="94" t="str">
        <f t="shared" si="2"/>
        <v>No infirmation</v>
      </c>
      <c r="M2709" s="94" t="str">
        <f t="shared" si="3"/>
        <v/>
      </c>
    </row>
    <row r="2710" ht="15.75" customHeight="1">
      <c r="B2710" s="77">
        <f t="shared" si="1"/>
        <v>0</v>
      </c>
      <c r="C2710" s="67"/>
      <c r="D2710" s="78"/>
      <c r="E2710" s="101"/>
      <c r="F2710" s="108"/>
      <c r="G2710" s="120"/>
      <c r="H2710" s="101"/>
      <c r="I2710" s="93"/>
      <c r="J2710" s="91"/>
      <c r="L2710" s="94" t="str">
        <f t="shared" si="2"/>
        <v>No infirmation</v>
      </c>
      <c r="M2710" s="94" t="str">
        <f t="shared" si="3"/>
        <v/>
      </c>
    </row>
    <row r="2711" ht="15.75" customHeight="1">
      <c r="B2711" s="77">
        <f t="shared" si="1"/>
        <v>0</v>
      </c>
      <c r="C2711" s="67"/>
      <c r="D2711" s="78"/>
      <c r="E2711" s="101"/>
      <c r="F2711" s="108"/>
      <c r="G2711" s="120"/>
      <c r="H2711" s="101"/>
      <c r="I2711" s="93"/>
      <c r="J2711" s="91"/>
      <c r="L2711" s="94" t="str">
        <f t="shared" si="2"/>
        <v>No infirmation</v>
      </c>
      <c r="M2711" s="94" t="str">
        <f t="shared" si="3"/>
        <v/>
      </c>
    </row>
    <row r="2712" ht="15.75" customHeight="1">
      <c r="B2712" s="77">
        <f t="shared" si="1"/>
        <v>0</v>
      </c>
      <c r="C2712" s="67"/>
      <c r="D2712" s="78"/>
      <c r="E2712" s="101"/>
      <c r="F2712" s="108"/>
      <c r="G2712" s="120"/>
      <c r="H2712" s="101"/>
      <c r="I2712" s="93"/>
      <c r="J2712" s="91"/>
      <c r="L2712" s="94" t="str">
        <f t="shared" si="2"/>
        <v>No infirmation</v>
      </c>
      <c r="M2712" s="94" t="str">
        <f t="shared" si="3"/>
        <v/>
      </c>
    </row>
    <row r="2713" ht="15.75" customHeight="1">
      <c r="B2713" s="77">
        <f t="shared" si="1"/>
        <v>0</v>
      </c>
      <c r="C2713" s="67"/>
      <c r="D2713" s="78"/>
      <c r="E2713" s="101"/>
      <c r="F2713" s="108"/>
      <c r="G2713" s="120"/>
      <c r="H2713" s="101"/>
      <c r="I2713" s="93"/>
      <c r="J2713" s="91"/>
      <c r="L2713" s="94" t="str">
        <f t="shared" si="2"/>
        <v>No infirmation</v>
      </c>
      <c r="M2713" s="94" t="str">
        <f t="shared" si="3"/>
        <v/>
      </c>
    </row>
    <row r="2714" ht="15.75" customHeight="1">
      <c r="B2714" s="77">
        <f t="shared" si="1"/>
        <v>0</v>
      </c>
      <c r="C2714" s="67"/>
      <c r="D2714" s="78"/>
      <c r="E2714" s="101"/>
      <c r="F2714" s="108"/>
      <c r="G2714" s="120"/>
      <c r="H2714" s="101"/>
      <c r="I2714" s="93"/>
      <c r="J2714" s="91"/>
      <c r="L2714" s="94" t="str">
        <f t="shared" si="2"/>
        <v>No infirmation</v>
      </c>
      <c r="M2714" s="94" t="str">
        <f t="shared" si="3"/>
        <v/>
      </c>
    </row>
    <row r="2715" ht="15.75" customHeight="1">
      <c r="B2715" s="77">
        <f t="shared" si="1"/>
        <v>0</v>
      </c>
      <c r="C2715" s="67"/>
      <c r="D2715" s="78"/>
      <c r="E2715" s="101"/>
      <c r="F2715" s="108"/>
      <c r="G2715" s="120"/>
      <c r="H2715" s="101"/>
      <c r="I2715" s="93"/>
      <c r="J2715" s="91"/>
      <c r="L2715" s="94" t="str">
        <f t="shared" si="2"/>
        <v>No infirmation</v>
      </c>
      <c r="M2715" s="94" t="str">
        <f t="shared" si="3"/>
        <v/>
      </c>
    </row>
    <row r="2716" ht="15.75" customHeight="1">
      <c r="B2716" s="77">
        <f t="shared" si="1"/>
        <v>0</v>
      </c>
      <c r="C2716" s="67"/>
      <c r="D2716" s="78"/>
      <c r="E2716" s="101"/>
      <c r="F2716" s="108"/>
      <c r="G2716" s="120"/>
      <c r="H2716" s="101"/>
      <c r="I2716" s="93"/>
      <c r="J2716" s="91"/>
      <c r="L2716" s="94" t="str">
        <f t="shared" si="2"/>
        <v>No infirmation</v>
      </c>
      <c r="M2716" s="94" t="str">
        <f t="shared" si="3"/>
        <v/>
      </c>
    </row>
    <row r="2717" ht="15.75" customHeight="1">
      <c r="B2717" s="77">
        <f t="shared" si="1"/>
        <v>0</v>
      </c>
      <c r="C2717" s="67"/>
      <c r="D2717" s="78"/>
      <c r="E2717" s="101"/>
      <c r="F2717" s="108"/>
      <c r="G2717" s="120"/>
      <c r="H2717" s="101"/>
      <c r="I2717" s="93"/>
      <c r="J2717" s="91"/>
      <c r="L2717" s="94" t="str">
        <f t="shared" si="2"/>
        <v>No infirmation</v>
      </c>
      <c r="M2717" s="94" t="str">
        <f t="shared" si="3"/>
        <v/>
      </c>
    </row>
    <row r="2718" ht="15.75" customHeight="1">
      <c r="B2718" s="77">
        <f t="shared" si="1"/>
        <v>0</v>
      </c>
      <c r="C2718" s="67"/>
      <c r="D2718" s="78"/>
      <c r="E2718" s="101"/>
      <c r="F2718" s="108"/>
      <c r="G2718" s="120"/>
      <c r="H2718" s="101"/>
      <c r="I2718" s="93"/>
      <c r="J2718" s="91"/>
      <c r="L2718" s="94" t="str">
        <f t="shared" si="2"/>
        <v>No infirmation</v>
      </c>
      <c r="M2718" s="94" t="str">
        <f t="shared" si="3"/>
        <v/>
      </c>
    </row>
    <row r="2719" ht="15.75" customHeight="1">
      <c r="B2719" s="77">
        <f t="shared" si="1"/>
        <v>0</v>
      </c>
      <c r="C2719" s="67"/>
      <c r="D2719" s="78"/>
      <c r="E2719" s="101"/>
      <c r="F2719" s="108"/>
      <c r="G2719" s="120"/>
      <c r="H2719" s="101"/>
      <c r="I2719" s="93"/>
      <c r="J2719" s="91"/>
      <c r="L2719" s="94" t="str">
        <f t="shared" si="2"/>
        <v>No infirmation</v>
      </c>
      <c r="M2719" s="94" t="str">
        <f t="shared" si="3"/>
        <v/>
      </c>
    </row>
    <row r="2720" ht="15.75" customHeight="1">
      <c r="B2720" s="77">
        <f t="shared" si="1"/>
        <v>0</v>
      </c>
      <c r="C2720" s="67"/>
      <c r="D2720" s="78"/>
      <c r="E2720" s="101"/>
      <c r="F2720" s="108"/>
      <c r="G2720" s="120"/>
      <c r="H2720" s="101"/>
      <c r="I2720" s="93"/>
      <c r="J2720" s="91"/>
      <c r="L2720" s="94" t="str">
        <f t="shared" si="2"/>
        <v>No infirmation</v>
      </c>
      <c r="M2720" s="94" t="str">
        <f t="shared" si="3"/>
        <v/>
      </c>
    </row>
    <row r="2721" ht="15.75" customHeight="1">
      <c r="B2721" s="77">
        <f t="shared" si="1"/>
        <v>0</v>
      </c>
      <c r="C2721" s="67"/>
      <c r="D2721" s="78"/>
      <c r="E2721" s="101"/>
      <c r="F2721" s="108"/>
      <c r="G2721" s="120"/>
      <c r="H2721" s="101"/>
      <c r="I2721" s="93"/>
      <c r="J2721" s="91"/>
      <c r="L2721" s="94" t="str">
        <f t="shared" si="2"/>
        <v>No infirmation</v>
      </c>
      <c r="M2721" s="94" t="str">
        <f t="shared" si="3"/>
        <v/>
      </c>
    </row>
    <row r="2722" ht="15.75" customHeight="1">
      <c r="B2722" s="77">
        <f t="shared" si="1"/>
        <v>0</v>
      </c>
      <c r="C2722" s="67"/>
      <c r="D2722" s="78"/>
      <c r="E2722" s="101"/>
      <c r="F2722" s="108"/>
      <c r="G2722" s="120"/>
      <c r="H2722" s="101"/>
      <c r="I2722" s="93"/>
      <c r="J2722" s="91"/>
      <c r="L2722" s="94" t="str">
        <f t="shared" si="2"/>
        <v>No infirmation</v>
      </c>
      <c r="M2722" s="94" t="str">
        <f t="shared" si="3"/>
        <v/>
      </c>
    </row>
    <row r="2723" ht="15.75" customHeight="1">
      <c r="B2723" s="77">
        <f t="shared" si="1"/>
        <v>0</v>
      </c>
      <c r="C2723" s="67"/>
      <c r="D2723" s="78"/>
      <c r="E2723" s="101"/>
      <c r="F2723" s="108"/>
      <c r="G2723" s="120"/>
      <c r="H2723" s="101"/>
      <c r="I2723" s="93"/>
      <c r="J2723" s="91"/>
      <c r="L2723" s="94" t="str">
        <f t="shared" si="2"/>
        <v>No infirmation</v>
      </c>
      <c r="M2723" s="94" t="str">
        <f t="shared" si="3"/>
        <v/>
      </c>
    </row>
    <row r="2724" ht="15.75" customHeight="1">
      <c r="B2724" s="77">
        <f t="shared" si="1"/>
        <v>0</v>
      </c>
      <c r="C2724" s="67"/>
      <c r="D2724" s="78"/>
      <c r="E2724" s="101"/>
      <c r="F2724" s="108"/>
      <c r="G2724" s="120"/>
      <c r="H2724" s="101"/>
      <c r="I2724" s="93"/>
      <c r="J2724" s="91"/>
      <c r="L2724" s="94" t="str">
        <f t="shared" si="2"/>
        <v>No infirmation</v>
      </c>
      <c r="M2724" s="94" t="str">
        <f t="shared" si="3"/>
        <v/>
      </c>
    </row>
    <row r="2725" ht="15.75" customHeight="1">
      <c r="B2725" s="77">
        <f t="shared" si="1"/>
        <v>0</v>
      </c>
      <c r="C2725" s="67"/>
      <c r="D2725" s="78"/>
      <c r="E2725" s="101"/>
      <c r="F2725" s="108"/>
      <c r="G2725" s="120"/>
      <c r="H2725" s="101"/>
      <c r="I2725" s="93"/>
      <c r="J2725" s="91"/>
      <c r="L2725" s="94" t="str">
        <f t="shared" si="2"/>
        <v>No infirmation</v>
      </c>
      <c r="M2725" s="94" t="str">
        <f t="shared" si="3"/>
        <v/>
      </c>
    </row>
    <row r="2726" ht="15.75" customHeight="1">
      <c r="B2726" s="77">
        <f t="shared" si="1"/>
        <v>0</v>
      </c>
      <c r="C2726" s="67"/>
      <c r="D2726" s="78"/>
      <c r="E2726" s="101"/>
      <c r="F2726" s="108"/>
      <c r="G2726" s="120"/>
      <c r="H2726" s="101"/>
      <c r="I2726" s="93"/>
      <c r="J2726" s="91"/>
      <c r="L2726" s="94" t="str">
        <f t="shared" si="2"/>
        <v>No infirmation</v>
      </c>
      <c r="M2726" s="94" t="str">
        <f t="shared" si="3"/>
        <v/>
      </c>
    </row>
    <row r="2727" ht="15.75" customHeight="1">
      <c r="B2727" s="77">
        <f t="shared" si="1"/>
        <v>0</v>
      </c>
      <c r="C2727" s="67"/>
      <c r="D2727" s="78"/>
      <c r="E2727" s="101"/>
      <c r="F2727" s="108"/>
      <c r="G2727" s="120"/>
      <c r="H2727" s="101"/>
      <c r="I2727" s="93"/>
      <c r="J2727" s="91"/>
      <c r="L2727" s="94" t="str">
        <f t="shared" si="2"/>
        <v>No infirmation</v>
      </c>
      <c r="M2727" s="94" t="str">
        <f t="shared" si="3"/>
        <v/>
      </c>
    </row>
    <row r="2728" ht="15.75" customHeight="1">
      <c r="B2728" s="77">
        <f t="shared" si="1"/>
        <v>0</v>
      </c>
      <c r="C2728" s="67"/>
      <c r="D2728" s="78"/>
      <c r="E2728" s="101"/>
      <c r="F2728" s="108"/>
      <c r="G2728" s="120"/>
      <c r="H2728" s="101"/>
      <c r="I2728" s="93"/>
      <c r="J2728" s="91"/>
      <c r="L2728" s="94" t="str">
        <f t="shared" si="2"/>
        <v>No infirmation</v>
      </c>
      <c r="M2728" s="94" t="str">
        <f t="shared" si="3"/>
        <v/>
      </c>
    </row>
    <row r="2729" ht="15.75" customHeight="1">
      <c r="B2729" s="77">
        <f t="shared" si="1"/>
        <v>0</v>
      </c>
      <c r="C2729" s="67"/>
      <c r="D2729" s="78"/>
      <c r="E2729" s="101"/>
      <c r="F2729" s="108"/>
      <c r="G2729" s="120"/>
      <c r="H2729" s="101"/>
      <c r="I2729" s="93"/>
      <c r="J2729" s="91"/>
      <c r="L2729" s="94" t="str">
        <f t="shared" si="2"/>
        <v>No infirmation</v>
      </c>
      <c r="M2729" s="94" t="str">
        <f t="shared" si="3"/>
        <v/>
      </c>
    </row>
    <row r="2730" ht="15.75" customHeight="1">
      <c r="B2730" s="77">
        <f t="shared" si="1"/>
        <v>0</v>
      </c>
      <c r="C2730" s="67"/>
      <c r="D2730" s="78"/>
      <c r="E2730" s="101"/>
      <c r="F2730" s="108"/>
      <c r="G2730" s="120"/>
      <c r="H2730" s="101"/>
      <c r="I2730" s="93"/>
      <c r="J2730" s="91"/>
      <c r="L2730" s="94" t="str">
        <f t="shared" si="2"/>
        <v>No infirmation</v>
      </c>
      <c r="M2730" s="94" t="str">
        <f t="shared" si="3"/>
        <v/>
      </c>
    </row>
    <row r="2731" ht="15.75" customHeight="1">
      <c r="B2731" s="77">
        <f t="shared" si="1"/>
        <v>0</v>
      </c>
      <c r="C2731" s="67"/>
      <c r="D2731" s="78"/>
      <c r="E2731" s="101"/>
      <c r="F2731" s="108"/>
      <c r="G2731" s="120"/>
      <c r="H2731" s="101"/>
      <c r="I2731" s="93"/>
      <c r="J2731" s="91"/>
      <c r="L2731" s="94" t="str">
        <f t="shared" si="2"/>
        <v>No infirmation</v>
      </c>
      <c r="M2731" s="94" t="str">
        <f t="shared" si="3"/>
        <v/>
      </c>
    </row>
    <row r="2732" ht="15.75" customHeight="1">
      <c r="B2732" s="77">
        <f t="shared" si="1"/>
        <v>0</v>
      </c>
      <c r="C2732" s="67"/>
      <c r="D2732" s="78"/>
      <c r="E2732" s="101"/>
      <c r="F2732" s="108"/>
      <c r="G2732" s="120"/>
      <c r="H2732" s="101"/>
      <c r="I2732" s="93"/>
      <c r="J2732" s="91"/>
      <c r="L2732" s="94" t="str">
        <f t="shared" si="2"/>
        <v>No infirmation</v>
      </c>
      <c r="M2732" s="94" t="str">
        <f t="shared" si="3"/>
        <v/>
      </c>
    </row>
    <row r="2733" ht="15.75" customHeight="1">
      <c r="B2733" s="77">
        <f t="shared" si="1"/>
        <v>0</v>
      </c>
      <c r="C2733" s="67"/>
      <c r="D2733" s="78"/>
      <c r="E2733" s="101"/>
      <c r="F2733" s="108"/>
      <c r="G2733" s="120"/>
      <c r="H2733" s="101"/>
      <c r="I2733" s="93"/>
      <c r="J2733" s="91"/>
      <c r="L2733" s="94" t="str">
        <f t="shared" si="2"/>
        <v>No infirmation</v>
      </c>
      <c r="M2733" s="94" t="str">
        <f t="shared" si="3"/>
        <v/>
      </c>
    </row>
    <row r="2734" ht="15.75" customHeight="1">
      <c r="B2734" s="77">
        <f t="shared" si="1"/>
        <v>0</v>
      </c>
      <c r="C2734" s="67"/>
      <c r="D2734" s="78"/>
      <c r="E2734" s="101"/>
      <c r="F2734" s="108"/>
      <c r="G2734" s="120"/>
      <c r="H2734" s="101"/>
      <c r="I2734" s="93"/>
      <c r="J2734" s="91"/>
      <c r="L2734" s="94" t="str">
        <f t="shared" si="2"/>
        <v>No infirmation</v>
      </c>
      <c r="M2734" s="94" t="str">
        <f t="shared" si="3"/>
        <v/>
      </c>
    </row>
    <row r="2735" ht="15.75" customHeight="1">
      <c r="B2735" s="77">
        <f t="shared" si="1"/>
        <v>0</v>
      </c>
      <c r="C2735" s="67"/>
      <c r="D2735" s="78"/>
      <c r="E2735" s="101"/>
      <c r="F2735" s="108"/>
      <c r="G2735" s="120"/>
      <c r="H2735" s="101"/>
      <c r="I2735" s="93"/>
      <c r="J2735" s="91"/>
      <c r="L2735" s="94" t="str">
        <f t="shared" si="2"/>
        <v>No infirmation</v>
      </c>
      <c r="M2735" s="94" t="str">
        <f t="shared" si="3"/>
        <v/>
      </c>
    </row>
    <row r="2736" ht="15.75" customHeight="1">
      <c r="B2736" s="77">
        <f t="shared" si="1"/>
        <v>0</v>
      </c>
      <c r="C2736" s="67"/>
      <c r="D2736" s="78"/>
      <c r="E2736" s="101"/>
      <c r="F2736" s="108"/>
      <c r="G2736" s="120"/>
      <c r="H2736" s="101"/>
      <c r="I2736" s="93"/>
      <c r="J2736" s="91"/>
      <c r="L2736" s="94" t="str">
        <f t="shared" si="2"/>
        <v>No infirmation</v>
      </c>
      <c r="M2736" s="94" t="str">
        <f t="shared" si="3"/>
        <v/>
      </c>
    </row>
    <row r="2737" ht="15.75" customHeight="1">
      <c r="B2737" s="77">
        <f t="shared" si="1"/>
        <v>0</v>
      </c>
      <c r="C2737" s="67"/>
      <c r="D2737" s="78"/>
      <c r="E2737" s="101"/>
      <c r="F2737" s="108"/>
      <c r="G2737" s="120"/>
      <c r="H2737" s="101"/>
      <c r="I2737" s="93"/>
      <c r="J2737" s="91"/>
      <c r="L2737" s="94" t="str">
        <f t="shared" si="2"/>
        <v>No infirmation</v>
      </c>
      <c r="M2737" s="94" t="str">
        <f t="shared" si="3"/>
        <v/>
      </c>
    </row>
    <row r="2738" ht="15.75" customHeight="1">
      <c r="B2738" s="77">
        <f t="shared" si="1"/>
        <v>0</v>
      </c>
      <c r="C2738" s="67"/>
      <c r="D2738" s="78"/>
      <c r="E2738" s="101"/>
      <c r="F2738" s="108"/>
      <c r="G2738" s="120"/>
      <c r="H2738" s="101"/>
      <c r="I2738" s="93"/>
      <c r="J2738" s="91"/>
      <c r="L2738" s="94" t="str">
        <f t="shared" si="2"/>
        <v>No infirmation</v>
      </c>
      <c r="M2738" s="94" t="str">
        <f t="shared" si="3"/>
        <v/>
      </c>
    </row>
    <row r="2739" ht="15.75" customHeight="1">
      <c r="B2739" s="77">
        <f t="shared" si="1"/>
        <v>0</v>
      </c>
      <c r="C2739" s="67"/>
      <c r="D2739" s="78"/>
      <c r="E2739" s="101"/>
      <c r="F2739" s="108"/>
      <c r="G2739" s="120"/>
      <c r="H2739" s="101"/>
      <c r="I2739" s="93"/>
      <c r="J2739" s="91"/>
      <c r="L2739" s="94" t="str">
        <f t="shared" si="2"/>
        <v>No infirmation</v>
      </c>
      <c r="M2739" s="94" t="str">
        <f t="shared" si="3"/>
        <v/>
      </c>
    </row>
    <row r="2740" ht="15.75" customHeight="1">
      <c r="B2740" s="77">
        <f t="shared" si="1"/>
        <v>0</v>
      </c>
      <c r="C2740" s="67"/>
      <c r="D2740" s="78"/>
      <c r="E2740" s="101"/>
      <c r="F2740" s="108"/>
      <c r="G2740" s="120"/>
      <c r="H2740" s="101"/>
      <c r="I2740" s="93"/>
      <c r="J2740" s="91"/>
      <c r="L2740" s="94" t="str">
        <f t="shared" si="2"/>
        <v>No infirmation</v>
      </c>
      <c r="M2740" s="94" t="str">
        <f t="shared" si="3"/>
        <v/>
      </c>
    </row>
    <row r="2741" ht="15.75" customHeight="1">
      <c r="B2741" s="77">
        <f t="shared" si="1"/>
        <v>0</v>
      </c>
      <c r="C2741" s="67"/>
      <c r="D2741" s="78"/>
      <c r="E2741" s="101"/>
      <c r="F2741" s="108"/>
      <c r="G2741" s="120"/>
      <c r="H2741" s="101"/>
      <c r="I2741" s="93"/>
      <c r="J2741" s="91"/>
      <c r="L2741" s="94" t="str">
        <f t="shared" si="2"/>
        <v>No infirmation</v>
      </c>
      <c r="M2741" s="94" t="str">
        <f t="shared" si="3"/>
        <v/>
      </c>
    </row>
    <row r="2742" ht="15.75" customHeight="1">
      <c r="B2742" s="77">
        <f t="shared" si="1"/>
        <v>0</v>
      </c>
      <c r="C2742" s="67"/>
      <c r="D2742" s="78"/>
      <c r="E2742" s="101"/>
      <c r="F2742" s="108"/>
      <c r="G2742" s="120"/>
      <c r="H2742" s="101"/>
      <c r="I2742" s="93"/>
      <c r="J2742" s="91"/>
      <c r="L2742" s="94" t="str">
        <f t="shared" si="2"/>
        <v>No infirmation</v>
      </c>
      <c r="M2742" s="94" t="str">
        <f t="shared" si="3"/>
        <v/>
      </c>
    </row>
    <row r="2743" ht="15.75" customHeight="1">
      <c r="B2743" s="77">
        <f t="shared" si="1"/>
        <v>0</v>
      </c>
      <c r="C2743" s="67"/>
      <c r="D2743" s="78"/>
      <c r="E2743" s="101"/>
      <c r="F2743" s="108"/>
      <c r="G2743" s="120"/>
      <c r="H2743" s="101"/>
      <c r="I2743" s="93"/>
      <c r="J2743" s="91"/>
      <c r="L2743" s="94" t="str">
        <f t="shared" si="2"/>
        <v>No infirmation</v>
      </c>
      <c r="M2743" s="94" t="str">
        <f t="shared" si="3"/>
        <v/>
      </c>
    </row>
    <row r="2744" ht="15.75" customHeight="1">
      <c r="B2744" s="77">
        <f t="shared" si="1"/>
        <v>0</v>
      </c>
      <c r="C2744" s="67"/>
      <c r="D2744" s="78"/>
      <c r="E2744" s="101"/>
      <c r="F2744" s="108"/>
      <c r="G2744" s="120"/>
      <c r="H2744" s="101"/>
      <c r="I2744" s="93"/>
      <c r="J2744" s="91"/>
      <c r="L2744" s="94" t="str">
        <f t="shared" si="2"/>
        <v>No infirmation</v>
      </c>
      <c r="M2744" s="94" t="str">
        <f t="shared" si="3"/>
        <v/>
      </c>
    </row>
    <row r="2745" ht="15.75" customHeight="1">
      <c r="B2745" s="77">
        <f t="shared" si="1"/>
        <v>0</v>
      </c>
      <c r="C2745" s="67"/>
      <c r="D2745" s="78"/>
      <c r="E2745" s="101"/>
      <c r="F2745" s="108"/>
      <c r="G2745" s="120"/>
      <c r="H2745" s="101"/>
      <c r="I2745" s="93"/>
      <c r="J2745" s="91"/>
      <c r="L2745" s="94" t="str">
        <f t="shared" si="2"/>
        <v>No infirmation</v>
      </c>
      <c r="M2745" s="94" t="str">
        <f t="shared" si="3"/>
        <v/>
      </c>
    </row>
    <row r="2746" ht="15.75" customHeight="1">
      <c r="B2746" s="77">
        <f t="shared" si="1"/>
        <v>0</v>
      </c>
      <c r="C2746" s="67"/>
      <c r="D2746" s="78"/>
      <c r="E2746" s="101"/>
      <c r="F2746" s="108"/>
      <c r="G2746" s="120"/>
      <c r="H2746" s="101"/>
      <c r="I2746" s="93"/>
      <c r="J2746" s="91"/>
      <c r="L2746" s="94" t="str">
        <f t="shared" si="2"/>
        <v>No infirmation</v>
      </c>
      <c r="M2746" s="94" t="str">
        <f t="shared" si="3"/>
        <v/>
      </c>
    </row>
    <row r="2747" ht="15.75" customHeight="1">
      <c r="B2747" s="77">
        <f t="shared" si="1"/>
        <v>0</v>
      </c>
      <c r="C2747" s="67"/>
      <c r="D2747" s="78"/>
      <c r="E2747" s="101"/>
      <c r="F2747" s="108"/>
      <c r="G2747" s="120"/>
      <c r="H2747" s="101"/>
      <c r="I2747" s="93"/>
      <c r="J2747" s="91"/>
      <c r="L2747" s="94" t="str">
        <f t="shared" si="2"/>
        <v>No infirmation</v>
      </c>
      <c r="M2747" s="94" t="str">
        <f t="shared" si="3"/>
        <v/>
      </c>
    </row>
    <row r="2748" ht="15.75" customHeight="1">
      <c r="B2748" s="77">
        <f t="shared" si="1"/>
        <v>0</v>
      </c>
      <c r="C2748" s="67"/>
      <c r="D2748" s="78"/>
      <c r="E2748" s="101"/>
      <c r="F2748" s="108"/>
      <c r="G2748" s="120"/>
      <c r="H2748" s="101"/>
      <c r="I2748" s="93"/>
      <c r="J2748" s="91"/>
      <c r="L2748" s="94" t="str">
        <f t="shared" si="2"/>
        <v>No infirmation</v>
      </c>
      <c r="M2748" s="94" t="str">
        <f t="shared" si="3"/>
        <v/>
      </c>
    </row>
    <row r="2749" ht="15.75" customHeight="1">
      <c r="B2749" s="77">
        <f t="shared" si="1"/>
        <v>0</v>
      </c>
      <c r="C2749" s="67"/>
      <c r="D2749" s="78"/>
      <c r="E2749" s="101"/>
      <c r="F2749" s="108"/>
      <c r="G2749" s="120"/>
      <c r="H2749" s="101"/>
      <c r="I2749" s="93"/>
      <c r="J2749" s="91"/>
      <c r="L2749" s="94" t="str">
        <f t="shared" si="2"/>
        <v>No infirmation</v>
      </c>
      <c r="M2749" s="94" t="str">
        <f t="shared" si="3"/>
        <v/>
      </c>
    </row>
    <row r="2750" ht="15.75" customHeight="1">
      <c r="B2750" s="77">
        <f t="shared" si="1"/>
        <v>0</v>
      </c>
      <c r="C2750" s="67"/>
      <c r="D2750" s="78"/>
      <c r="E2750" s="101"/>
      <c r="F2750" s="108"/>
      <c r="G2750" s="120"/>
      <c r="H2750" s="101"/>
      <c r="I2750" s="93"/>
      <c r="J2750" s="91"/>
      <c r="L2750" s="94" t="str">
        <f t="shared" si="2"/>
        <v>No infirmation</v>
      </c>
      <c r="M2750" s="94" t="str">
        <f t="shared" si="3"/>
        <v/>
      </c>
    </row>
    <row r="2751" ht="15.75" customHeight="1">
      <c r="B2751" s="77">
        <f t="shared" si="1"/>
        <v>0</v>
      </c>
      <c r="C2751" s="67"/>
      <c r="D2751" s="78"/>
      <c r="E2751" s="101"/>
      <c r="F2751" s="108"/>
      <c r="G2751" s="120"/>
      <c r="H2751" s="101"/>
      <c r="I2751" s="93"/>
      <c r="J2751" s="91"/>
      <c r="L2751" s="94" t="str">
        <f t="shared" si="2"/>
        <v>No infirmation</v>
      </c>
      <c r="M2751" s="94" t="str">
        <f t="shared" si="3"/>
        <v/>
      </c>
    </row>
    <row r="2752" ht="15.75" customHeight="1">
      <c r="B2752" s="77">
        <f t="shared" si="1"/>
        <v>0</v>
      </c>
      <c r="C2752" s="67"/>
      <c r="D2752" s="78"/>
      <c r="E2752" s="101"/>
      <c r="F2752" s="108"/>
      <c r="G2752" s="120"/>
      <c r="H2752" s="101"/>
      <c r="I2752" s="93"/>
      <c r="J2752" s="91"/>
      <c r="L2752" s="94" t="str">
        <f t="shared" si="2"/>
        <v>No infirmation</v>
      </c>
      <c r="M2752" s="94" t="str">
        <f t="shared" si="3"/>
        <v/>
      </c>
    </row>
    <row r="2753" ht="15.75" customHeight="1">
      <c r="B2753" s="77">
        <f t="shared" si="1"/>
        <v>0</v>
      </c>
      <c r="C2753" s="67"/>
      <c r="D2753" s="78"/>
      <c r="E2753" s="101"/>
      <c r="F2753" s="108"/>
      <c r="G2753" s="120"/>
      <c r="H2753" s="101"/>
      <c r="I2753" s="93"/>
      <c r="J2753" s="91"/>
      <c r="L2753" s="94" t="str">
        <f t="shared" si="2"/>
        <v>No infirmation</v>
      </c>
      <c r="M2753" s="94" t="str">
        <f t="shared" si="3"/>
        <v/>
      </c>
    </row>
    <row r="2754" ht="15.75" customHeight="1">
      <c r="B2754" s="77">
        <f t="shared" si="1"/>
        <v>0</v>
      </c>
      <c r="C2754" s="67"/>
      <c r="D2754" s="78"/>
      <c r="E2754" s="101"/>
      <c r="F2754" s="108"/>
      <c r="G2754" s="120"/>
      <c r="H2754" s="101"/>
      <c r="I2754" s="93"/>
      <c r="J2754" s="91"/>
      <c r="L2754" s="94" t="str">
        <f t="shared" si="2"/>
        <v>No infirmation</v>
      </c>
      <c r="M2754" s="94" t="str">
        <f t="shared" si="3"/>
        <v/>
      </c>
    </row>
    <row r="2755" ht="15.75" customHeight="1">
      <c r="B2755" s="77">
        <f t="shared" si="1"/>
        <v>0</v>
      </c>
      <c r="C2755" s="67"/>
      <c r="D2755" s="78"/>
      <c r="E2755" s="101"/>
      <c r="F2755" s="108"/>
      <c r="G2755" s="120"/>
      <c r="H2755" s="101"/>
      <c r="I2755" s="93"/>
      <c r="J2755" s="91"/>
      <c r="L2755" s="94" t="str">
        <f t="shared" si="2"/>
        <v>No infirmation</v>
      </c>
      <c r="M2755" s="94" t="str">
        <f t="shared" si="3"/>
        <v/>
      </c>
    </row>
    <row r="2756" ht="15.75" customHeight="1">
      <c r="B2756" s="77">
        <f t="shared" si="1"/>
        <v>0</v>
      </c>
      <c r="C2756" s="67"/>
      <c r="D2756" s="78"/>
      <c r="E2756" s="101"/>
      <c r="F2756" s="108"/>
      <c r="G2756" s="120"/>
      <c r="H2756" s="101"/>
      <c r="I2756" s="93"/>
      <c r="J2756" s="91"/>
      <c r="L2756" s="94" t="str">
        <f t="shared" si="2"/>
        <v>No infirmation</v>
      </c>
      <c r="M2756" s="94" t="str">
        <f t="shared" si="3"/>
        <v/>
      </c>
    </row>
    <row r="2757" ht="15.75" customHeight="1">
      <c r="B2757" s="77">
        <f t="shared" si="1"/>
        <v>0</v>
      </c>
      <c r="C2757" s="67"/>
      <c r="D2757" s="78"/>
      <c r="E2757" s="101"/>
      <c r="F2757" s="108"/>
      <c r="G2757" s="120"/>
      <c r="H2757" s="101"/>
      <c r="I2757" s="93"/>
      <c r="J2757" s="91"/>
      <c r="L2757" s="94" t="str">
        <f t="shared" si="2"/>
        <v>No infirmation</v>
      </c>
      <c r="M2757" s="94" t="str">
        <f t="shared" si="3"/>
        <v/>
      </c>
    </row>
    <row r="2758" ht="15.75" customHeight="1">
      <c r="B2758" s="77">
        <f t="shared" si="1"/>
        <v>0</v>
      </c>
      <c r="C2758" s="67"/>
      <c r="D2758" s="78"/>
      <c r="E2758" s="101"/>
      <c r="F2758" s="108"/>
      <c r="G2758" s="120"/>
      <c r="H2758" s="101"/>
      <c r="I2758" s="93"/>
      <c r="J2758" s="91"/>
      <c r="L2758" s="94" t="str">
        <f t="shared" si="2"/>
        <v>No infirmation</v>
      </c>
      <c r="M2758" s="94" t="str">
        <f t="shared" si="3"/>
        <v/>
      </c>
    </row>
    <row r="2759" ht="15.75" customHeight="1">
      <c r="B2759" s="77">
        <f t="shared" si="1"/>
        <v>0</v>
      </c>
      <c r="C2759" s="67"/>
      <c r="D2759" s="78"/>
      <c r="E2759" s="101"/>
      <c r="F2759" s="108"/>
      <c r="G2759" s="120"/>
      <c r="H2759" s="101"/>
      <c r="I2759" s="93"/>
      <c r="J2759" s="91"/>
      <c r="L2759" s="94" t="str">
        <f t="shared" si="2"/>
        <v>No infirmation</v>
      </c>
      <c r="M2759" s="94" t="str">
        <f t="shared" si="3"/>
        <v/>
      </c>
    </row>
    <row r="2760" ht="15.75" customHeight="1">
      <c r="B2760" s="77">
        <f t="shared" si="1"/>
        <v>0</v>
      </c>
      <c r="C2760" s="67"/>
      <c r="D2760" s="78"/>
      <c r="E2760" s="101"/>
      <c r="F2760" s="108"/>
      <c r="G2760" s="120"/>
      <c r="H2760" s="101"/>
      <c r="I2760" s="93"/>
      <c r="J2760" s="91"/>
      <c r="L2760" s="94" t="str">
        <f t="shared" si="2"/>
        <v>No infirmation</v>
      </c>
      <c r="M2760" s="94" t="str">
        <f t="shared" si="3"/>
        <v/>
      </c>
    </row>
    <row r="2761" ht="15.75" customHeight="1">
      <c r="B2761" s="77">
        <f t="shared" si="1"/>
        <v>0</v>
      </c>
      <c r="C2761" s="67"/>
      <c r="D2761" s="78"/>
      <c r="E2761" s="101"/>
      <c r="F2761" s="108"/>
      <c r="G2761" s="120"/>
      <c r="H2761" s="101"/>
      <c r="I2761" s="93"/>
      <c r="J2761" s="91"/>
      <c r="L2761" s="94" t="str">
        <f t="shared" si="2"/>
        <v>No infirmation</v>
      </c>
      <c r="M2761" s="94" t="str">
        <f t="shared" si="3"/>
        <v/>
      </c>
    </row>
    <row r="2762" ht="15.75" customHeight="1">
      <c r="B2762" s="77">
        <f t="shared" si="1"/>
        <v>0</v>
      </c>
      <c r="C2762" s="67"/>
      <c r="D2762" s="78"/>
      <c r="E2762" s="101"/>
      <c r="F2762" s="108"/>
      <c r="G2762" s="120"/>
      <c r="H2762" s="101"/>
      <c r="I2762" s="93"/>
      <c r="J2762" s="91"/>
      <c r="L2762" s="94" t="str">
        <f t="shared" si="2"/>
        <v>No infirmation</v>
      </c>
      <c r="M2762" s="94" t="str">
        <f t="shared" si="3"/>
        <v/>
      </c>
    </row>
    <row r="2763" ht="15.75" customHeight="1">
      <c r="B2763" s="77">
        <f t="shared" si="1"/>
        <v>0</v>
      </c>
      <c r="C2763" s="67"/>
      <c r="D2763" s="78"/>
      <c r="E2763" s="101"/>
      <c r="F2763" s="108"/>
      <c r="G2763" s="120"/>
      <c r="H2763" s="101"/>
      <c r="I2763" s="93"/>
      <c r="J2763" s="91"/>
      <c r="L2763" s="94" t="str">
        <f t="shared" si="2"/>
        <v>No infirmation</v>
      </c>
      <c r="M2763" s="94" t="str">
        <f t="shared" si="3"/>
        <v/>
      </c>
    </row>
    <row r="2764" ht="15.75" customHeight="1">
      <c r="B2764" s="77">
        <f t="shared" si="1"/>
        <v>0</v>
      </c>
      <c r="C2764" s="67"/>
      <c r="D2764" s="78"/>
      <c r="E2764" s="101"/>
      <c r="F2764" s="108"/>
      <c r="G2764" s="120"/>
      <c r="H2764" s="101"/>
      <c r="I2764" s="93"/>
      <c r="J2764" s="91"/>
      <c r="L2764" s="94" t="str">
        <f t="shared" si="2"/>
        <v>No infirmation</v>
      </c>
      <c r="M2764" s="94" t="str">
        <f t="shared" si="3"/>
        <v/>
      </c>
    </row>
    <row r="2765" ht="15.75" customHeight="1">
      <c r="B2765" s="77">
        <f t="shared" si="1"/>
        <v>0</v>
      </c>
      <c r="C2765" s="67"/>
      <c r="D2765" s="78"/>
      <c r="E2765" s="101"/>
      <c r="F2765" s="108"/>
      <c r="G2765" s="120"/>
      <c r="H2765" s="101"/>
      <c r="I2765" s="93"/>
      <c r="J2765" s="91"/>
      <c r="L2765" s="94" t="str">
        <f t="shared" si="2"/>
        <v>No infirmation</v>
      </c>
      <c r="M2765" s="94" t="str">
        <f t="shared" si="3"/>
        <v/>
      </c>
    </row>
    <row r="2766" ht="15.75" customHeight="1">
      <c r="B2766" s="77">
        <f t="shared" si="1"/>
        <v>0</v>
      </c>
      <c r="C2766" s="67"/>
      <c r="D2766" s="78"/>
      <c r="E2766" s="101"/>
      <c r="F2766" s="108"/>
      <c r="G2766" s="120"/>
      <c r="H2766" s="101"/>
      <c r="I2766" s="93"/>
      <c r="J2766" s="91"/>
      <c r="L2766" s="94" t="str">
        <f t="shared" si="2"/>
        <v>No infirmation</v>
      </c>
      <c r="M2766" s="94" t="str">
        <f t="shared" si="3"/>
        <v/>
      </c>
    </row>
    <row r="2767" ht="15.75" customHeight="1">
      <c r="B2767" s="77">
        <f t="shared" si="1"/>
        <v>0</v>
      </c>
      <c r="C2767" s="67"/>
      <c r="D2767" s="78"/>
      <c r="E2767" s="101"/>
      <c r="F2767" s="108"/>
      <c r="G2767" s="120"/>
      <c r="H2767" s="101"/>
      <c r="I2767" s="93"/>
      <c r="J2767" s="91"/>
      <c r="L2767" s="94" t="str">
        <f t="shared" si="2"/>
        <v>No infirmation</v>
      </c>
      <c r="M2767" s="94" t="str">
        <f t="shared" si="3"/>
        <v/>
      </c>
    </row>
    <row r="2768" ht="15.75" customHeight="1">
      <c r="B2768" s="77">
        <f t="shared" si="1"/>
        <v>0</v>
      </c>
      <c r="C2768" s="67"/>
      <c r="D2768" s="78"/>
      <c r="E2768" s="101"/>
      <c r="F2768" s="108"/>
      <c r="G2768" s="120"/>
      <c r="H2768" s="101"/>
      <c r="I2768" s="93"/>
      <c r="J2768" s="91"/>
      <c r="L2768" s="94" t="str">
        <f t="shared" si="2"/>
        <v>No infirmation</v>
      </c>
      <c r="M2768" s="94" t="str">
        <f t="shared" si="3"/>
        <v/>
      </c>
    </row>
    <row r="2769" ht="15.75" customHeight="1">
      <c r="B2769" s="77">
        <f t="shared" si="1"/>
        <v>0</v>
      </c>
      <c r="C2769" s="67"/>
      <c r="D2769" s="78"/>
      <c r="E2769" s="101"/>
      <c r="F2769" s="108"/>
      <c r="G2769" s="120"/>
      <c r="H2769" s="101"/>
      <c r="I2769" s="93"/>
      <c r="J2769" s="91"/>
      <c r="L2769" s="94" t="str">
        <f t="shared" si="2"/>
        <v>No infirmation</v>
      </c>
      <c r="M2769" s="94" t="str">
        <f t="shared" si="3"/>
        <v/>
      </c>
    </row>
    <row r="2770" ht="15.75" customHeight="1">
      <c r="B2770" s="77">
        <f t="shared" si="1"/>
        <v>0</v>
      </c>
      <c r="C2770" s="67"/>
      <c r="D2770" s="78"/>
      <c r="E2770" s="101"/>
      <c r="F2770" s="108"/>
      <c r="G2770" s="120"/>
      <c r="H2770" s="101"/>
      <c r="I2770" s="93"/>
      <c r="J2770" s="91"/>
      <c r="L2770" s="94" t="str">
        <f t="shared" si="2"/>
        <v>No infirmation</v>
      </c>
      <c r="M2770" s="94" t="str">
        <f t="shared" si="3"/>
        <v/>
      </c>
    </row>
    <row r="2771" ht="15.75" customHeight="1">
      <c r="B2771" s="77">
        <f t="shared" si="1"/>
        <v>0</v>
      </c>
      <c r="C2771" s="67"/>
      <c r="D2771" s="78"/>
      <c r="E2771" s="101"/>
      <c r="F2771" s="108"/>
      <c r="G2771" s="120"/>
      <c r="H2771" s="101"/>
      <c r="I2771" s="93"/>
      <c r="J2771" s="91"/>
      <c r="L2771" s="94" t="str">
        <f t="shared" si="2"/>
        <v>No infirmation</v>
      </c>
      <c r="M2771" s="94" t="str">
        <f t="shared" si="3"/>
        <v/>
      </c>
    </row>
    <row r="2772" ht="15.75" customHeight="1">
      <c r="B2772" s="77">
        <f t="shared" si="1"/>
        <v>0</v>
      </c>
      <c r="C2772" s="67"/>
      <c r="D2772" s="78"/>
      <c r="E2772" s="101"/>
      <c r="F2772" s="108"/>
      <c r="G2772" s="120"/>
      <c r="H2772" s="101"/>
      <c r="I2772" s="93"/>
      <c r="J2772" s="91"/>
      <c r="L2772" s="94" t="str">
        <f t="shared" si="2"/>
        <v>No infirmation</v>
      </c>
      <c r="M2772" s="94" t="str">
        <f t="shared" si="3"/>
        <v/>
      </c>
    </row>
    <row r="2773" ht="15.75" customHeight="1">
      <c r="B2773" s="77">
        <f t="shared" si="1"/>
        <v>0</v>
      </c>
      <c r="C2773" s="67"/>
      <c r="D2773" s="78"/>
      <c r="E2773" s="101"/>
      <c r="F2773" s="108"/>
      <c r="G2773" s="120"/>
      <c r="H2773" s="101"/>
      <c r="I2773" s="93"/>
      <c r="J2773" s="91"/>
      <c r="L2773" s="94" t="str">
        <f t="shared" si="2"/>
        <v>No infirmation</v>
      </c>
      <c r="M2773" s="94" t="str">
        <f t="shared" si="3"/>
        <v/>
      </c>
    </row>
    <row r="2774" ht="15.75" customHeight="1">
      <c r="B2774" s="77">
        <f t="shared" si="1"/>
        <v>0</v>
      </c>
      <c r="C2774" s="67"/>
      <c r="D2774" s="78"/>
      <c r="E2774" s="101"/>
      <c r="F2774" s="108"/>
      <c r="G2774" s="120"/>
      <c r="H2774" s="101"/>
      <c r="I2774" s="93"/>
      <c r="J2774" s="91"/>
      <c r="L2774" s="94" t="str">
        <f t="shared" si="2"/>
        <v>No infirmation</v>
      </c>
      <c r="M2774" s="94" t="str">
        <f t="shared" si="3"/>
        <v/>
      </c>
    </row>
    <row r="2775" ht="15.75" customHeight="1">
      <c r="B2775" s="77">
        <f t="shared" si="1"/>
        <v>0</v>
      </c>
      <c r="C2775" s="67"/>
      <c r="D2775" s="78"/>
      <c r="E2775" s="101"/>
      <c r="F2775" s="108"/>
      <c r="G2775" s="120"/>
      <c r="H2775" s="101"/>
      <c r="I2775" s="93"/>
      <c r="J2775" s="91"/>
      <c r="L2775" s="94" t="str">
        <f t="shared" si="2"/>
        <v>No infirmation</v>
      </c>
      <c r="M2775" s="94" t="str">
        <f t="shared" si="3"/>
        <v/>
      </c>
    </row>
    <row r="2776" ht="15.75" customHeight="1">
      <c r="B2776" s="77">
        <f t="shared" si="1"/>
        <v>0</v>
      </c>
      <c r="C2776" s="67"/>
      <c r="D2776" s="78"/>
      <c r="E2776" s="101"/>
      <c r="F2776" s="108"/>
      <c r="G2776" s="120"/>
      <c r="H2776" s="101"/>
      <c r="I2776" s="93"/>
      <c r="J2776" s="91"/>
      <c r="L2776" s="94" t="str">
        <f t="shared" si="2"/>
        <v>No infirmation</v>
      </c>
      <c r="M2776" s="94" t="str">
        <f t="shared" si="3"/>
        <v/>
      </c>
    </row>
    <row r="2777" ht="15.75" customHeight="1">
      <c r="B2777" s="77">
        <f t="shared" si="1"/>
        <v>0</v>
      </c>
      <c r="C2777" s="67"/>
      <c r="D2777" s="78"/>
      <c r="E2777" s="101"/>
      <c r="F2777" s="108"/>
      <c r="G2777" s="120"/>
      <c r="H2777" s="101"/>
      <c r="I2777" s="93"/>
      <c r="J2777" s="91"/>
      <c r="L2777" s="94" t="str">
        <f t="shared" si="2"/>
        <v>No infirmation</v>
      </c>
      <c r="M2777" s="94" t="str">
        <f t="shared" si="3"/>
        <v/>
      </c>
    </row>
    <row r="2778" ht="15.75" customHeight="1">
      <c r="B2778" s="77">
        <f t="shared" si="1"/>
        <v>0</v>
      </c>
      <c r="C2778" s="67"/>
      <c r="D2778" s="78"/>
      <c r="E2778" s="101"/>
      <c r="F2778" s="108"/>
      <c r="G2778" s="120"/>
      <c r="H2778" s="101"/>
      <c r="I2778" s="93"/>
      <c r="J2778" s="91"/>
      <c r="L2778" s="94" t="str">
        <f t="shared" si="2"/>
        <v>No infirmation</v>
      </c>
      <c r="M2778" s="94" t="str">
        <f t="shared" si="3"/>
        <v/>
      </c>
    </row>
    <row r="2779" ht="15.75" customHeight="1">
      <c r="B2779" s="77">
        <f t="shared" si="1"/>
        <v>0</v>
      </c>
      <c r="C2779" s="67"/>
      <c r="D2779" s="78"/>
      <c r="E2779" s="101"/>
      <c r="F2779" s="108"/>
      <c r="G2779" s="120"/>
      <c r="H2779" s="101"/>
      <c r="I2779" s="93"/>
      <c r="J2779" s="91"/>
      <c r="L2779" s="94" t="str">
        <f t="shared" si="2"/>
        <v>No infirmation</v>
      </c>
      <c r="M2779" s="94" t="str">
        <f t="shared" si="3"/>
        <v/>
      </c>
    </row>
    <row r="2780" ht="15.75" customHeight="1">
      <c r="B2780" s="77">
        <f t="shared" si="1"/>
        <v>0</v>
      </c>
      <c r="C2780" s="67"/>
      <c r="D2780" s="78"/>
      <c r="E2780" s="101"/>
      <c r="F2780" s="108"/>
      <c r="G2780" s="120"/>
      <c r="H2780" s="101"/>
      <c r="I2780" s="93"/>
      <c r="J2780" s="91"/>
      <c r="L2780" s="94" t="str">
        <f t="shared" si="2"/>
        <v>No infirmation</v>
      </c>
      <c r="M2780" s="94" t="str">
        <f t="shared" si="3"/>
        <v/>
      </c>
    </row>
    <row r="2781" ht="15.75" customHeight="1">
      <c r="B2781" s="77">
        <f t="shared" si="1"/>
        <v>0</v>
      </c>
      <c r="C2781" s="67"/>
      <c r="D2781" s="78"/>
      <c r="E2781" s="101"/>
      <c r="F2781" s="108"/>
      <c r="G2781" s="120"/>
      <c r="H2781" s="101"/>
      <c r="I2781" s="93"/>
      <c r="J2781" s="91"/>
      <c r="L2781" s="94" t="str">
        <f t="shared" si="2"/>
        <v>No infirmation</v>
      </c>
      <c r="M2781" s="94" t="str">
        <f t="shared" si="3"/>
        <v/>
      </c>
    </row>
    <row r="2782" ht="15.75" customHeight="1">
      <c r="B2782" s="77">
        <f t="shared" si="1"/>
        <v>0</v>
      </c>
      <c r="C2782" s="67"/>
      <c r="D2782" s="78"/>
      <c r="E2782" s="101"/>
      <c r="F2782" s="108"/>
      <c r="G2782" s="120"/>
      <c r="H2782" s="101"/>
      <c r="I2782" s="93"/>
      <c r="J2782" s="91"/>
      <c r="L2782" s="94" t="str">
        <f t="shared" si="2"/>
        <v>No infirmation</v>
      </c>
      <c r="M2782" s="94" t="str">
        <f t="shared" si="3"/>
        <v/>
      </c>
    </row>
    <row r="2783" ht="15.75" customHeight="1">
      <c r="B2783" s="77">
        <f t="shared" si="1"/>
        <v>0</v>
      </c>
      <c r="C2783" s="67"/>
      <c r="D2783" s="78"/>
      <c r="E2783" s="101"/>
      <c r="F2783" s="108"/>
      <c r="G2783" s="120"/>
      <c r="H2783" s="101"/>
      <c r="I2783" s="93"/>
      <c r="J2783" s="91"/>
      <c r="L2783" s="94" t="str">
        <f t="shared" si="2"/>
        <v>No infirmation</v>
      </c>
      <c r="M2783" s="94" t="str">
        <f t="shared" si="3"/>
        <v/>
      </c>
    </row>
    <row r="2784" ht="15.75" customHeight="1">
      <c r="B2784" s="77">
        <f t="shared" si="1"/>
        <v>0</v>
      </c>
      <c r="C2784" s="67"/>
      <c r="D2784" s="78"/>
      <c r="E2784" s="101"/>
      <c r="F2784" s="108"/>
      <c r="G2784" s="120"/>
      <c r="H2784" s="101"/>
      <c r="I2784" s="93"/>
      <c r="J2784" s="91"/>
      <c r="L2784" s="94" t="str">
        <f t="shared" si="2"/>
        <v>No infirmation</v>
      </c>
      <c r="M2784" s="94" t="str">
        <f t="shared" si="3"/>
        <v/>
      </c>
    </row>
    <row r="2785" ht="15.75" customHeight="1">
      <c r="B2785" s="77">
        <f t="shared" si="1"/>
        <v>0</v>
      </c>
      <c r="C2785" s="67"/>
      <c r="D2785" s="78"/>
      <c r="E2785" s="101"/>
      <c r="F2785" s="108"/>
      <c r="G2785" s="120"/>
      <c r="H2785" s="101"/>
      <c r="I2785" s="93"/>
      <c r="J2785" s="91"/>
      <c r="L2785" s="94" t="str">
        <f t="shared" si="2"/>
        <v>No infirmation</v>
      </c>
      <c r="M2785" s="94" t="str">
        <f t="shared" si="3"/>
        <v/>
      </c>
    </row>
    <row r="2786" ht="15.75" customHeight="1">
      <c r="B2786" s="77">
        <f t="shared" si="1"/>
        <v>0</v>
      </c>
      <c r="C2786" s="67"/>
      <c r="D2786" s="78"/>
      <c r="E2786" s="101"/>
      <c r="F2786" s="108"/>
      <c r="G2786" s="120"/>
      <c r="H2786" s="101"/>
      <c r="I2786" s="93"/>
      <c r="J2786" s="91"/>
      <c r="L2786" s="94" t="str">
        <f t="shared" si="2"/>
        <v>No infirmation</v>
      </c>
      <c r="M2786" s="94" t="str">
        <f t="shared" si="3"/>
        <v/>
      </c>
    </row>
    <row r="2787" ht="15.75" customHeight="1">
      <c r="B2787" s="77">
        <f t="shared" si="1"/>
        <v>0</v>
      </c>
      <c r="C2787" s="67"/>
      <c r="D2787" s="78"/>
      <c r="E2787" s="101"/>
      <c r="F2787" s="108"/>
      <c r="G2787" s="120"/>
      <c r="H2787" s="101"/>
      <c r="I2787" s="93"/>
      <c r="J2787" s="91"/>
      <c r="L2787" s="94" t="str">
        <f t="shared" si="2"/>
        <v>No infirmation</v>
      </c>
      <c r="M2787" s="94" t="str">
        <f t="shared" si="3"/>
        <v/>
      </c>
    </row>
    <row r="2788" ht="15.75" customHeight="1">
      <c r="B2788" s="77">
        <f t="shared" si="1"/>
        <v>0</v>
      </c>
      <c r="C2788" s="67"/>
      <c r="D2788" s="78"/>
      <c r="E2788" s="101"/>
      <c r="F2788" s="108"/>
      <c r="G2788" s="120"/>
      <c r="H2788" s="101"/>
      <c r="I2788" s="93"/>
      <c r="J2788" s="91"/>
      <c r="L2788" s="94" t="str">
        <f t="shared" si="2"/>
        <v>No infirmation</v>
      </c>
      <c r="M2788" s="94" t="str">
        <f t="shared" si="3"/>
        <v/>
      </c>
    </row>
    <row r="2789" ht="15.75" customHeight="1">
      <c r="B2789" s="77">
        <f t="shared" si="1"/>
        <v>0</v>
      </c>
      <c r="C2789" s="67"/>
      <c r="D2789" s="78"/>
      <c r="E2789" s="101"/>
      <c r="F2789" s="108"/>
      <c r="G2789" s="120"/>
      <c r="H2789" s="101"/>
      <c r="I2789" s="93"/>
      <c r="J2789" s="91"/>
      <c r="L2789" s="94" t="str">
        <f t="shared" si="2"/>
        <v>No infirmation</v>
      </c>
      <c r="M2789" s="94" t="str">
        <f t="shared" si="3"/>
        <v/>
      </c>
    </row>
    <row r="2790" ht="15.75" customHeight="1">
      <c r="B2790" s="77">
        <f t="shared" si="1"/>
        <v>0</v>
      </c>
      <c r="C2790" s="67"/>
      <c r="D2790" s="78"/>
      <c r="E2790" s="101"/>
      <c r="F2790" s="108"/>
      <c r="G2790" s="120"/>
      <c r="H2790" s="101"/>
      <c r="I2790" s="93"/>
      <c r="J2790" s="91"/>
      <c r="L2790" s="94" t="str">
        <f t="shared" si="2"/>
        <v>No infirmation</v>
      </c>
      <c r="M2790" s="94" t="str">
        <f t="shared" si="3"/>
        <v/>
      </c>
    </row>
    <row r="2791" ht="15.75" customHeight="1">
      <c r="B2791" s="77">
        <f t="shared" si="1"/>
        <v>0</v>
      </c>
      <c r="C2791" s="67"/>
      <c r="D2791" s="78"/>
      <c r="E2791" s="101"/>
      <c r="F2791" s="108"/>
      <c r="G2791" s="120"/>
      <c r="H2791" s="101"/>
      <c r="I2791" s="93"/>
      <c r="J2791" s="91"/>
      <c r="L2791" s="94" t="str">
        <f t="shared" si="2"/>
        <v>No infirmation</v>
      </c>
      <c r="M2791" s="94" t="str">
        <f t="shared" si="3"/>
        <v/>
      </c>
    </row>
    <row r="2792" ht="15.75" customHeight="1">
      <c r="B2792" s="77">
        <f t="shared" si="1"/>
        <v>0</v>
      </c>
      <c r="C2792" s="67"/>
      <c r="D2792" s="78"/>
      <c r="E2792" s="101"/>
      <c r="F2792" s="108"/>
      <c r="G2792" s="120"/>
      <c r="H2792" s="101"/>
      <c r="I2792" s="93"/>
      <c r="J2792" s="91"/>
      <c r="L2792" s="94" t="str">
        <f t="shared" si="2"/>
        <v>No infirmation</v>
      </c>
      <c r="M2792" s="94" t="str">
        <f t="shared" si="3"/>
        <v/>
      </c>
    </row>
    <row r="2793" ht="15.75" customHeight="1">
      <c r="B2793" s="77">
        <f t="shared" si="1"/>
        <v>0</v>
      </c>
      <c r="C2793" s="67"/>
      <c r="D2793" s="78"/>
      <c r="E2793" s="101"/>
      <c r="F2793" s="108"/>
      <c r="G2793" s="120"/>
      <c r="H2793" s="101"/>
      <c r="I2793" s="93"/>
      <c r="J2793" s="91"/>
      <c r="L2793" s="94" t="str">
        <f t="shared" si="2"/>
        <v>No infirmation</v>
      </c>
      <c r="M2793" s="94" t="str">
        <f t="shared" si="3"/>
        <v/>
      </c>
    </row>
    <row r="2794" ht="15.75" customHeight="1">
      <c r="B2794" s="77">
        <f t="shared" si="1"/>
        <v>0</v>
      </c>
      <c r="C2794" s="67"/>
      <c r="D2794" s="78"/>
      <c r="E2794" s="101"/>
      <c r="F2794" s="108"/>
      <c r="G2794" s="120"/>
      <c r="H2794" s="101"/>
      <c r="I2794" s="93"/>
      <c r="J2794" s="91"/>
      <c r="L2794" s="94" t="str">
        <f t="shared" si="2"/>
        <v>No infirmation</v>
      </c>
      <c r="M2794" s="94" t="str">
        <f t="shared" si="3"/>
        <v/>
      </c>
    </row>
    <row r="2795" ht="15.75" customHeight="1">
      <c r="B2795" s="77">
        <f t="shared" si="1"/>
        <v>0</v>
      </c>
      <c r="C2795" s="67"/>
      <c r="D2795" s="78"/>
      <c r="E2795" s="101"/>
      <c r="F2795" s="108"/>
      <c r="G2795" s="120"/>
      <c r="H2795" s="101"/>
      <c r="I2795" s="93"/>
      <c r="J2795" s="91"/>
      <c r="L2795" s="94" t="str">
        <f t="shared" si="2"/>
        <v>No infirmation</v>
      </c>
      <c r="M2795" s="94" t="str">
        <f t="shared" si="3"/>
        <v/>
      </c>
    </row>
    <row r="2796" ht="15.75" customHeight="1">
      <c r="B2796" s="77">
        <f t="shared" si="1"/>
        <v>0</v>
      </c>
      <c r="C2796" s="67"/>
      <c r="D2796" s="78"/>
      <c r="E2796" s="101"/>
      <c r="F2796" s="108"/>
      <c r="G2796" s="120"/>
      <c r="H2796" s="101"/>
      <c r="I2796" s="93"/>
      <c r="J2796" s="91"/>
      <c r="L2796" s="94" t="str">
        <f t="shared" si="2"/>
        <v>No infirmation</v>
      </c>
      <c r="M2796" s="94" t="str">
        <f t="shared" si="3"/>
        <v/>
      </c>
    </row>
    <row r="2797" ht="15.75" customHeight="1">
      <c r="B2797" s="77">
        <f t="shared" si="1"/>
        <v>0</v>
      </c>
      <c r="C2797" s="67"/>
      <c r="D2797" s="78"/>
      <c r="E2797" s="101"/>
      <c r="F2797" s="108"/>
      <c r="G2797" s="120"/>
      <c r="H2797" s="101"/>
      <c r="I2797" s="93"/>
      <c r="J2797" s="91"/>
      <c r="L2797" s="94" t="str">
        <f t="shared" si="2"/>
        <v>No infirmation</v>
      </c>
      <c r="M2797" s="94" t="str">
        <f t="shared" si="3"/>
        <v/>
      </c>
    </row>
    <row r="2798" ht="15.75" customHeight="1">
      <c r="B2798" s="77">
        <f t="shared" si="1"/>
        <v>0</v>
      </c>
      <c r="C2798" s="67"/>
      <c r="D2798" s="78"/>
      <c r="E2798" s="101"/>
      <c r="F2798" s="108"/>
      <c r="G2798" s="120"/>
      <c r="H2798" s="101"/>
      <c r="I2798" s="93"/>
      <c r="J2798" s="91"/>
      <c r="L2798" s="94" t="str">
        <f t="shared" si="2"/>
        <v>No infirmation</v>
      </c>
      <c r="M2798" s="94" t="str">
        <f t="shared" si="3"/>
        <v/>
      </c>
    </row>
    <row r="2799" ht="15.75" customHeight="1">
      <c r="B2799" s="77">
        <f t="shared" si="1"/>
        <v>0</v>
      </c>
      <c r="C2799" s="67"/>
      <c r="D2799" s="78"/>
      <c r="E2799" s="101"/>
      <c r="F2799" s="108"/>
      <c r="G2799" s="120"/>
      <c r="H2799" s="101"/>
      <c r="I2799" s="93"/>
      <c r="J2799" s="91"/>
      <c r="L2799" s="94" t="str">
        <f t="shared" si="2"/>
        <v>No infirmation</v>
      </c>
      <c r="M2799" s="94" t="str">
        <f t="shared" si="3"/>
        <v/>
      </c>
    </row>
    <row r="2800" ht="15.75" customHeight="1">
      <c r="B2800" s="77">
        <f t="shared" si="1"/>
        <v>0</v>
      </c>
      <c r="C2800" s="67"/>
      <c r="D2800" s="78"/>
      <c r="E2800" s="101"/>
      <c r="F2800" s="108"/>
      <c r="G2800" s="120"/>
      <c r="H2800" s="101"/>
      <c r="I2800" s="93"/>
      <c r="J2800" s="91"/>
      <c r="L2800" s="94" t="str">
        <f t="shared" si="2"/>
        <v>No infirmation</v>
      </c>
      <c r="M2800" s="94" t="str">
        <f t="shared" si="3"/>
        <v/>
      </c>
    </row>
    <row r="2801" ht="15.75" customHeight="1">
      <c r="B2801" s="77">
        <f t="shared" si="1"/>
        <v>0</v>
      </c>
      <c r="C2801" s="67"/>
      <c r="D2801" s="78"/>
      <c r="E2801" s="101"/>
      <c r="F2801" s="108"/>
      <c r="G2801" s="120"/>
      <c r="H2801" s="101"/>
      <c r="I2801" s="93"/>
      <c r="J2801" s="91"/>
      <c r="L2801" s="94" t="str">
        <f t="shared" si="2"/>
        <v>No infirmation</v>
      </c>
      <c r="M2801" s="94" t="str">
        <f t="shared" si="3"/>
        <v/>
      </c>
    </row>
    <row r="2802" ht="15.75" customHeight="1">
      <c r="B2802" s="77">
        <f t="shared" si="1"/>
        <v>0</v>
      </c>
      <c r="C2802" s="67"/>
      <c r="D2802" s="78"/>
      <c r="E2802" s="101"/>
      <c r="F2802" s="108"/>
      <c r="G2802" s="120"/>
      <c r="H2802" s="101"/>
      <c r="I2802" s="93"/>
      <c r="J2802" s="91"/>
      <c r="L2802" s="94" t="str">
        <f t="shared" si="2"/>
        <v>No infirmation</v>
      </c>
      <c r="M2802" s="94" t="str">
        <f t="shared" si="3"/>
        <v/>
      </c>
    </row>
    <row r="2803" ht="15.75" customHeight="1">
      <c r="B2803" s="77">
        <f t="shared" si="1"/>
        <v>0</v>
      </c>
      <c r="C2803" s="67"/>
      <c r="D2803" s="78"/>
      <c r="E2803" s="101"/>
      <c r="F2803" s="108"/>
      <c r="G2803" s="120"/>
      <c r="H2803" s="101"/>
      <c r="I2803" s="93"/>
      <c r="J2803" s="91"/>
      <c r="L2803" s="94" t="str">
        <f t="shared" si="2"/>
        <v>No infirmation</v>
      </c>
      <c r="M2803" s="94" t="str">
        <f t="shared" si="3"/>
        <v/>
      </c>
    </row>
    <row r="2804" ht="15.75" customHeight="1">
      <c r="B2804" s="77">
        <f t="shared" si="1"/>
        <v>0</v>
      </c>
      <c r="C2804" s="67"/>
      <c r="D2804" s="78"/>
      <c r="E2804" s="101"/>
      <c r="F2804" s="108"/>
      <c r="G2804" s="120"/>
      <c r="H2804" s="101"/>
      <c r="I2804" s="93"/>
      <c r="J2804" s="91"/>
      <c r="L2804" s="94" t="str">
        <f t="shared" si="2"/>
        <v>No infirmation</v>
      </c>
      <c r="M2804" s="94" t="str">
        <f t="shared" si="3"/>
        <v/>
      </c>
    </row>
    <row r="2805" ht="15.75" customHeight="1">
      <c r="B2805" s="77">
        <f t="shared" si="1"/>
        <v>0</v>
      </c>
      <c r="C2805" s="67"/>
      <c r="D2805" s="78"/>
      <c r="E2805" s="101"/>
      <c r="F2805" s="108"/>
      <c r="G2805" s="120"/>
      <c r="H2805" s="101"/>
      <c r="I2805" s="93"/>
      <c r="J2805" s="91"/>
      <c r="L2805" s="94" t="str">
        <f t="shared" si="2"/>
        <v>No infirmation</v>
      </c>
      <c r="M2805" s="94" t="str">
        <f t="shared" si="3"/>
        <v/>
      </c>
    </row>
    <row r="2806" ht="15.75" customHeight="1">
      <c r="B2806" s="77">
        <f t="shared" si="1"/>
        <v>0</v>
      </c>
      <c r="C2806" s="67"/>
      <c r="D2806" s="78"/>
      <c r="E2806" s="101"/>
      <c r="F2806" s="108"/>
      <c r="G2806" s="120"/>
      <c r="H2806" s="101"/>
      <c r="I2806" s="93"/>
      <c r="J2806" s="91"/>
      <c r="L2806" s="94" t="str">
        <f t="shared" si="2"/>
        <v>No infirmation</v>
      </c>
      <c r="M2806" s="94" t="str">
        <f t="shared" si="3"/>
        <v/>
      </c>
    </row>
    <row r="2807" ht="15.75" customHeight="1">
      <c r="B2807" s="77">
        <f t="shared" si="1"/>
        <v>0</v>
      </c>
      <c r="C2807" s="67"/>
      <c r="D2807" s="78"/>
      <c r="E2807" s="101"/>
      <c r="F2807" s="108"/>
      <c r="G2807" s="120"/>
      <c r="H2807" s="101"/>
      <c r="I2807" s="93"/>
      <c r="J2807" s="91"/>
      <c r="L2807" s="94" t="str">
        <f t="shared" si="2"/>
        <v>No infirmation</v>
      </c>
      <c r="M2807" s="94" t="str">
        <f t="shared" si="3"/>
        <v/>
      </c>
    </row>
    <row r="2808" ht="15.75" customHeight="1">
      <c r="B2808" s="77">
        <f t="shared" si="1"/>
        <v>0</v>
      </c>
      <c r="C2808" s="67"/>
      <c r="D2808" s="78"/>
      <c r="E2808" s="101"/>
      <c r="F2808" s="108"/>
      <c r="G2808" s="120"/>
      <c r="H2808" s="101"/>
      <c r="I2808" s="93"/>
      <c r="J2808" s="91"/>
      <c r="L2808" s="94" t="str">
        <f t="shared" si="2"/>
        <v>No infirmation</v>
      </c>
      <c r="M2808" s="94" t="str">
        <f t="shared" si="3"/>
        <v/>
      </c>
    </row>
    <row r="2809" ht="15.75" customHeight="1">
      <c r="B2809" s="77">
        <f t="shared" si="1"/>
        <v>0</v>
      </c>
      <c r="C2809" s="67"/>
      <c r="D2809" s="78"/>
      <c r="E2809" s="101"/>
      <c r="F2809" s="108"/>
      <c r="G2809" s="120"/>
      <c r="H2809" s="101"/>
      <c r="I2809" s="93"/>
      <c r="J2809" s="91"/>
      <c r="L2809" s="94" t="str">
        <f t="shared" si="2"/>
        <v>No infirmation</v>
      </c>
      <c r="M2809" s="94" t="str">
        <f t="shared" si="3"/>
        <v/>
      </c>
    </row>
    <row r="2810" ht="15.75" customHeight="1">
      <c r="B2810" s="77">
        <f t="shared" si="1"/>
        <v>0</v>
      </c>
      <c r="C2810" s="67"/>
      <c r="D2810" s="78"/>
      <c r="E2810" s="101"/>
      <c r="F2810" s="108"/>
      <c r="G2810" s="120"/>
      <c r="H2810" s="101"/>
      <c r="I2810" s="93"/>
      <c r="J2810" s="91"/>
      <c r="L2810" s="94" t="str">
        <f t="shared" si="2"/>
        <v>No infirmation</v>
      </c>
      <c r="M2810" s="94" t="str">
        <f t="shared" si="3"/>
        <v/>
      </c>
    </row>
    <row r="2811" ht="15.75" customHeight="1">
      <c r="B2811" s="77">
        <f t="shared" si="1"/>
        <v>0</v>
      </c>
      <c r="C2811" s="67"/>
      <c r="D2811" s="78"/>
      <c r="E2811" s="101"/>
      <c r="F2811" s="108"/>
      <c r="G2811" s="120"/>
      <c r="H2811" s="101"/>
      <c r="I2811" s="93"/>
      <c r="J2811" s="91"/>
      <c r="L2811" s="94" t="str">
        <f t="shared" si="2"/>
        <v>No infirmation</v>
      </c>
      <c r="M2811" s="94" t="str">
        <f t="shared" si="3"/>
        <v/>
      </c>
    </row>
    <row r="2812" ht="15.75" customHeight="1">
      <c r="B2812" s="77">
        <f t="shared" si="1"/>
        <v>0</v>
      </c>
      <c r="C2812" s="67"/>
      <c r="D2812" s="78"/>
      <c r="E2812" s="101"/>
      <c r="F2812" s="108"/>
      <c r="G2812" s="120"/>
      <c r="H2812" s="101"/>
      <c r="I2812" s="93"/>
      <c r="J2812" s="91"/>
      <c r="L2812" s="94" t="str">
        <f t="shared" si="2"/>
        <v>No infirmation</v>
      </c>
      <c r="M2812" s="94" t="str">
        <f t="shared" si="3"/>
        <v/>
      </c>
    </row>
    <row r="2813" ht="15.75" customHeight="1">
      <c r="B2813" s="77">
        <f t="shared" si="1"/>
        <v>0</v>
      </c>
      <c r="C2813" s="67"/>
      <c r="D2813" s="78"/>
      <c r="E2813" s="101"/>
      <c r="F2813" s="108"/>
      <c r="G2813" s="120"/>
      <c r="H2813" s="101"/>
      <c r="I2813" s="93"/>
      <c r="J2813" s="91"/>
      <c r="L2813" s="94" t="str">
        <f t="shared" si="2"/>
        <v>No infirmation</v>
      </c>
      <c r="M2813" s="94" t="str">
        <f t="shared" si="3"/>
        <v/>
      </c>
    </row>
    <row r="2814" ht="15.75" customHeight="1">
      <c r="B2814" s="77">
        <f t="shared" si="1"/>
        <v>0</v>
      </c>
      <c r="C2814" s="67"/>
      <c r="D2814" s="78"/>
      <c r="E2814" s="101"/>
      <c r="F2814" s="108"/>
      <c r="G2814" s="120"/>
      <c r="H2814" s="101"/>
      <c r="I2814" s="93"/>
      <c r="J2814" s="91"/>
      <c r="L2814" s="94" t="str">
        <f t="shared" si="2"/>
        <v>No infirmation</v>
      </c>
      <c r="M2814" s="94" t="str">
        <f t="shared" si="3"/>
        <v/>
      </c>
    </row>
    <row r="2815" ht="15.75" customHeight="1">
      <c r="B2815" s="77">
        <f t="shared" si="1"/>
        <v>0</v>
      </c>
      <c r="C2815" s="67"/>
      <c r="D2815" s="78"/>
      <c r="E2815" s="101"/>
      <c r="F2815" s="108"/>
      <c r="G2815" s="120"/>
      <c r="H2815" s="101"/>
      <c r="I2815" s="93"/>
      <c r="J2815" s="91"/>
      <c r="L2815" s="94" t="str">
        <f t="shared" si="2"/>
        <v>No infirmation</v>
      </c>
      <c r="M2815" s="94" t="str">
        <f t="shared" si="3"/>
        <v/>
      </c>
    </row>
    <row r="2816" ht="15.75" customHeight="1">
      <c r="B2816" s="77">
        <f t="shared" si="1"/>
        <v>0</v>
      </c>
      <c r="C2816" s="67"/>
      <c r="D2816" s="78"/>
      <c r="E2816" s="101"/>
      <c r="F2816" s="108"/>
      <c r="G2816" s="120"/>
      <c r="H2816" s="101"/>
      <c r="I2816" s="93"/>
      <c r="J2816" s="91"/>
      <c r="L2816" s="94" t="str">
        <f t="shared" si="2"/>
        <v>No infirmation</v>
      </c>
      <c r="M2816" s="94" t="str">
        <f t="shared" si="3"/>
        <v/>
      </c>
    </row>
    <row r="2817" ht="15.75" customHeight="1">
      <c r="B2817" s="77">
        <f t="shared" si="1"/>
        <v>0</v>
      </c>
      <c r="C2817" s="67"/>
      <c r="D2817" s="78"/>
      <c r="E2817" s="101"/>
      <c r="F2817" s="108"/>
      <c r="G2817" s="120"/>
      <c r="H2817" s="101"/>
      <c r="I2817" s="93"/>
      <c r="J2817" s="91"/>
      <c r="L2817" s="94" t="str">
        <f t="shared" si="2"/>
        <v>No infirmation</v>
      </c>
      <c r="M2817" s="94" t="str">
        <f t="shared" si="3"/>
        <v/>
      </c>
    </row>
    <row r="2818" ht="15.75" customHeight="1">
      <c r="B2818" s="77">
        <f t="shared" si="1"/>
        <v>0</v>
      </c>
      <c r="C2818" s="67"/>
      <c r="D2818" s="78"/>
      <c r="E2818" s="101"/>
      <c r="F2818" s="108"/>
      <c r="G2818" s="120"/>
      <c r="H2818" s="101"/>
      <c r="I2818" s="93"/>
      <c r="J2818" s="91"/>
      <c r="L2818" s="94" t="str">
        <f t="shared" si="2"/>
        <v>No infirmation</v>
      </c>
      <c r="M2818" s="94" t="str">
        <f t="shared" si="3"/>
        <v/>
      </c>
    </row>
    <row r="2819" ht="15.75" customHeight="1">
      <c r="B2819" s="77">
        <f t="shared" si="1"/>
        <v>0</v>
      </c>
      <c r="C2819" s="67"/>
      <c r="D2819" s="78"/>
      <c r="E2819" s="101"/>
      <c r="F2819" s="108"/>
      <c r="G2819" s="120"/>
      <c r="H2819" s="101"/>
      <c r="I2819" s="93"/>
      <c r="J2819" s="91"/>
      <c r="L2819" s="94" t="str">
        <f t="shared" si="2"/>
        <v>No infirmation</v>
      </c>
      <c r="M2819" s="94" t="str">
        <f t="shared" si="3"/>
        <v/>
      </c>
    </row>
    <row r="2820" ht="15.75" customHeight="1">
      <c r="B2820" s="77">
        <f t="shared" si="1"/>
        <v>0</v>
      </c>
      <c r="C2820" s="67"/>
      <c r="D2820" s="78"/>
      <c r="E2820" s="101"/>
      <c r="F2820" s="108"/>
      <c r="G2820" s="120"/>
      <c r="H2820" s="101"/>
      <c r="I2820" s="93"/>
      <c r="J2820" s="91"/>
      <c r="L2820" s="94" t="str">
        <f t="shared" si="2"/>
        <v>No infirmation</v>
      </c>
      <c r="M2820" s="94" t="str">
        <f t="shared" si="3"/>
        <v/>
      </c>
    </row>
    <row r="2821" ht="15.75" customHeight="1">
      <c r="B2821" s="77">
        <f t="shared" si="1"/>
        <v>0</v>
      </c>
      <c r="C2821" s="67"/>
      <c r="D2821" s="78"/>
      <c r="E2821" s="101"/>
      <c r="F2821" s="108"/>
      <c r="G2821" s="120"/>
      <c r="H2821" s="101"/>
      <c r="I2821" s="93"/>
      <c r="J2821" s="91"/>
      <c r="L2821" s="94" t="str">
        <f t="shared" si="2"/>
        <v>No infirmation</v>
      </c>
      <c r="M2821" s="94" t="str">
        <f t="shared" si="3"/>
        <v/>
      </c>
    </row>
    <row r="2822" ht="15.75" customHeight="1">
      <c r="B2822" s="77">
        <f t="shared" si="1"/>
        <v>0</v>
      </c>
      <c r="C2822" s="67"/>
      <c r="D2822" s="78"/>
      <c r="E2822" s="101"/>
      <c r="F2822" s="108"/>
      <c r="G2822" s="120"/>
      <c r="H2822" s="101"/>
      <c r="I2822" s="93"/>
      <c r="J2822" s="91"/>
      <c r="L2822" s="94" t="str">
        <f t="shared" si="2"/>
        <v>No infirmation</v>
      </c>
      <c r="M2822" s="94" t="str">
        <f t="shared" si="3"/>
        <v/>
      </c>
    </row>
    <row r="2823" ht="15.75" customHeight="1">
      <c r="B2823" s="77">
        <f t="shared" si="1"/>
        <v>0</v>
      </c>
      <c r="C2823" s="67"/>
      <c r="D2823" s="78"/>
      <c r="E2823" s="101"/>
      <c r="F2823" s="108"/>
      <c r="G2823" s="120"/>
      <c r="H2823" s="101"/>
      <c r="I2823" s="93"/>
      <c r="J2823" s="91"/>
      <c r="L2823" s="94" t="str">
        <f t="shared" si="2"/>
        <v>No infirmation</v>
      </c>
      <c r="M2823" s="94" t="str">
        <f t="shared" si="3"/>
        <v/>
      </c>
    </row>
    <row r="2824" ht="15.75" customHeight="1">
      <c r="B2824" s="77">
        <f t="shared" si="1"/>
        <v>0</v>
      </c>
      <c r="C2824" s="67"/>
      <c r="D2824" s="78"/>
      <c r="E2824" s="101"/>
      <c r="F2824" s="108"/>
      <c r="G2824" s="120"/>
      <c r="H2824" s="101"/>
      <c r="I2824" s="93"/>
      <c r="J2824" s="91"/>
      <c r="L2824" s="94" t="str">
        <f t="shared" si="2"/>
        <v>No infirmation</v>
      </c>
      <c r="M2824" s="94" t="str">
        <f t="shared" si="3"/>
        <v/>
      </c>
    </row>
    <row r="2825" ht="15.75" customHeight="1">
      <c r="B2825" s="77">
        <f t="shared" si="1"/>
        <v>0</v>
      </c>
      <c r="C2825" s="67"/>
      <c r="D2825" s="78"/>
      <c r="E2825" s="101"/>
      <c r="F2825" s="108"/>
      <c r="G2825" s="120"/>
      <c r="H2825" s="101"/>
      <c r="I2825" s="93"/>
      <c r="J2825" s="91"/>
      <c r="L2825" s="94" t="str">
        <f t="shared" si="2"/>
        <v>No infirmation</v>
      </c>
      <c r="M2825" s="94" t="str">
        <f t="shared" si="3"/>
        <v/>
      </c>
    </row>
    <row r="2826" ht="15.75" customHeight="1">
      <c r="B2826" s="77">
        <f t="shared" si="1"/>
        <v>0</v>
      </c>
      <c r="C2826" s="67"/>
      <c r="D2826" s="78"/>
      <c r="E2826" s="101"/>
      <c r="F2826" s="108"/>
      <c r="G2826" s="120"/>
      <c r="H2826" s="101"/>
      <c r="I2826" s="93"/>
      <c r="J2826" s="91"/>
      <c r="L2826" s="94" t="str">
        <f t="shared" si="2"/>
        <v>No infirmation</v>
      </c>
      <c r="M2826" s="94" t="str">
        <f t="shared" si="3"/>
        <v/>
      </c>
    </row>
    <row r="2827" ht="15.75" customHeight="1">
      <c r="B2827" s="77">
        <f t="shared" si="1"/>
        <v>0</v>
      </c>
      <c r="C2827" s="67"/>
      <c r="D2827" s="78"/>
      <c r="E2827" s="101"/>
      <c r="F2827" s="108"/>
      <c r="G2827" s="120"/>
      <c r="H2827" s="101"/>
      <c r="I2827" s="93"/>
      <c r="J2827" s="91"/>
      <c r="L2827" s="94" t="str">
        <f t="shared" si="2"/>
        <v>No infirmation</v>
      </c>
      <c r="M2827" s="94" t="str">
        <f t="shared" si="3"/>
        <v/>
      </c>
    </row>
    <row r="2828" ht="15.75" customHeight="1">
      <c r="B2828" s="77">
        <f t="shared" si="1"/>
        <v>0</v>
      </c>
      <c r="C2828" s="67"/>
      <c r="D2828" s="78"/>
      <c r="E2828" s="101"/>
      <c r="F2828" s="108"/>
      <c r="G2828" s="120"/>
      <c r="H2828" s="101"/>
      <c r="I2828" s="93"/>
      <c r="J2828" s="91"/>
      <c r="L2828" s="94" t="str">
        <f t="shared" si="2"/>
        <v>No infirmation</v>
      </c>
      <c r="M2828" s="94" t="str">
        <f t="shared" si="3"/>
        <v/>
      </c>
    </row>
    <row r="2829" ht="15.75" customHeight="1">
      <c r="B2829" s="77">
        <f t="shared" si="1"/>
        <v>0</v>
      </c>
      <c r="C2829" s="67"/>
      <c r="D2829" s="78"/>
      <c r="E2829" s="101"/>
      <c r="F2829" s="108"/>
      <c r="G2829" s="120"/>
      <c r="H2829" s="101"/>
      <c r="I2829" s="93"/>
      <c r="J2829" s="91"/>
      <c r="L2829" s="94" t="str">
        <f t="shared" si="2"/>
        <v>No infirmation</v>
      </c>
      <c r="M2829" s="94" t="str">
        <f t="shared" si="3"/>
        <v/>
      </c>
    </row>
    <row r="2830" ht="15.75" customHeight="1">
      <c r="B2830" s="77">
        <f t="shared" si="1"/>
        <v>0</v>
      </c>
      <c r="C2830" s="67"/>
      <c r="D2830" s="78"/>
      <c r="E2830" s="101"/>
      <c r="F2830" s="108"/>
      <c r="G2830" s="120"/>
      <c r="H2830" s="101"/>
      <c r="I2830" s="93"/>
      <c r="J2830" s="91"/>
      <c r="L2830" s="94" t="str">
        <f t="shared" si="2"/>
        <v>No infirmation</v>
      </c>
      <c r="M2830" s="94" t="str">
        <f t="shared" si="3"/>
        <v/>
      </c>
    </row>
    <row r="2831" ht="15.75" customHeight="1">
      <c r="B2831" s="77">
        <f t="shared" si="1"/>
        <v>0</v>
      </c>
      <c r="C2831" s="67"/>
      <c r="D2831" s="78"/>
      <c r="E2831" s="101"/>
      <c r="F2831" s="108"/>
      <c r="G2831" s="120"/>
      <c r="H2831" s="101"/>
      <c r="I2831" s="93"/>
      <c r="J2831" s="91"/>
      <c r="L2831" s="94" t="str">
        <f t="shared" si="2"/>
        <v>No infirmation</v>
      </c>
      <c r="M2831" s="94" t="str">
        <f t="shared" si="3"/>
        <v/>
      </c>
    </row>
    <row r="2832" ht="15.75" customHeight="1">
      <c r="B2832" s="77">
        <f t="shared" si="1"/>
        <v>0</v>
      </c>
      <c r="C2832" s="67"/>
      <c r="D2832" s="78"/>
      <c r="E2832" s="101"/>
      <c r="F2832" s="108"/>
      <c r="G2832" s="120"/>
      <c r="H2832" s="101"/>
      <c r="I2832" s="93"/>
      <c r="J2832" s="91"/>
      <c r="L2832" s="94" t="str">
        <f t="shared" si="2"/>
        <v>No infirmation</v>
      </c>
      <c r="M2832" s="94" t="str">
        <f t="shared" si="3"/>
        <v/>
      </c>
    </row>
    <row r="2833" ht="15.75" customHeight="1">
      <c r="B2833" s="77">
        <f t="shared" si="1"/>
        <v>0</v>
      </c>
      <c r="C2833" s="67"/>
      <c r="D2833" s="78"/>
      <c r="E2833" s="101"/>
      <c r="F2833" s="108"/>
      <c r="G2833" s="120"/>
      <c r="H2833" s="101"/>
      <c r="I2833" s="93"/>
      <c r="J2833" s="91"/>
      <c r="L2833" s="94" t="str">
        <f t="shared" si="2"/>
        <v>No infirmation</v>
      </c>
      <c r="M2833" s="94" t="str">
        <f t="shared" si="3"/>
        <v/>
      </c>
    </row>
    <row r="2834" ht="15.75" customHeight="1">
      <c r="B2834" s="77">
        <f t="shared" si="1"/>
        <v>0</v>
      </c>
      <c r="C2834" s="67"/>
      <c r="D2834" s="78"/>
      <c r="E2834" s="101"/>
      <c r="F2834" s="108"/>
      <c r="G2834" s="120"/>
      <c r="H2834" s="101"/>
      <c r="I2834" s="93"/>
      <c r="J2834" s="91"/>
      <c r="L2834" s="94" t="str">
        <f t="shared" si="2"/>
        <v>No infirmation</v>
      </c>
      <c r="M2834" s="94" t="str">
        <f t="shared" si="3"/>
        <v/>
      </c>
    </row>
    <row r="2835" ht="15.75" customHeight="1">
      <c r="B2835" s="77">
        <f t="shared" si="1"/>
        <v>0</v>
      </c>
      <c r="C2835" s="67"/>
      <c r="D2835" s="78"/>
      <c r="E2835" s="101"/>
      <c r="F2835" s="108"/>
      <c r="G2835" s="120"/>
      <c r="H2835" s="101"/>
      <c r="I2835" s="93"/>
      <c r="J2835" s="91"/>
      <c r="L2835" s="94" t="str">
        <f t="shared" si="2"/>
        <v>No infirmation</v>
      </c>
      <c r="M2835" s="94" t="str">
        <f t="shared" si="3"/>
        <v/>
      </c>
    </row>
    <row r="2836" ht="15.75" customHeight="1">
      <c r="B2836" s="77">
        <f t="shared" si="1"/>
        <v>0</v>
      </c>
      <c r="C2836" s="67"/>
      <c r="D2836" s="78"/>
      <c r="E2836" s="101"/>
      <c r="F2836" s="108"/>
      <c r="G2836" s="120"/>
      <c r="H2836" s="101"/>
      <c r="I2836" s="93"/>
      <c r="J2836" s="91"/>
      <c r="L2836" s="94" t="str">
        <f t="shared" si="2"/>
        <v>No infirmation</v>
      </c>
      <c r="M2836" s="94" t="str">
        <f t="shared" si="3"/>
        <v/>
      </c>
    </row>
    <row r="2837" ht="15.75" customHeight="1">
      <c r="B2837" s="77">
        <f t="shared" si="1"/>
        <v>0</v>
      </c>
      <c r="C2837" s="67"/>
      <c r="D2837" s="78"/>
      <c r="E2837" s="101"/>
      <c r="F2837" s="108"/>
      <c r="G2837" s="120"/>
      <c r="H2837" s="101"/>
      <c r="I2837" s="93"/>
      <c r="J2837" s="91"/>
      <c r="L2837" s="94" t="str">
        <f t="shared" si="2"/>
        <v>No infirmation</v>
      </c>
      <c r="M2837" s="94" t="str">
        <f t="shared" si="3"/>
        <v/>
      </c>
    </row>
    <row r="2838" ht="15.75" customHeight="1">
      <c r="B2838" s="77">
        <f t="shared" si="1"/>
        <v>0</v>
      </c>
      <c r="C2838" s="67"/>
      <c r="D2838" s="78"/>
      <c r="E2838" s="101"/>
      <c r="F2838" s="108"/>
      <c r="G2838" s="120"/>
      <c r="H2838" s="101"/>
      <c r="I2838" s="93"/>
      <c r="J2838" s="91"/>
      <c r="L2838" s="94" t="str">
        <f t="shared" si="2"/>
        <v>No infirmation</v>
      </c>
      <c r="M2838" s="94" t="str">
        <f t="shared" si="3"/>
        <v/>
      </c>
    </row>
    <row r="2839" ht="15.75" customHeight="1">
      <c r="B2839" s="77">
        <f t="shared" si="1"/>
        <v>0</v>
      </c>
      <c r="C2839" s="67"/>
      <c r="D2839" s="78"/>
      <c r="E2839" s="101"/>
      <c r="F2839" s="108"/>
      <c r="G2839" s="120"/>
      <c r="H2839" s="101"/>
      <c r="I2839" s="93"/>
      <c r="J2839" s="91"/>
      <c r="L2839" s="94" t="str">
        <f t="shared" si="2"/>
        <v>No infirmation</v>
      </c>
      <c r="M2839" s="94" t="str">
        <f t="shared" si="3"/>
        <v/>
      </c>
    </row>
    <row r="2840" ht="15.75" customHeight="1">
      <c r="B2840" s="77">
        <f t="shared" si="1"/>
        <v>0</v>
      </c>
      <c r="C2840" s="67"/>
      <c r="D2840" s="78"/>
      <c r="E2840" s="101"/>
      <c r="F2840" s="108"/>
      <c r="G2840" s="120"/>
      <c r="H2840" s="101"/>
      <c r="I2840" s="93"/>
      <c r="J2840" s="91"/>
      <c r="L2840" s="94" t="str">
        <f t="shared" si="2"/>
        <v>No infirmation</v>
      </c>
      <c r="M2840" s="94" t="str">
        <f t="shared" si="3"/>
        <v/>
      </c>
    </row>
    <row r="2841" ht="15.75" customHeight="1">
      <c r="B2841" s="77">
        <f t="shared" si="1"/>
        <v>0</v>
      </c>
      <c r="C2841" s="67"/>
      <c r="D2841" s="78"/>
      <c r="E2841" s="101"/>
      <c r="F2841" s="108"/>
      <c r="G2841" s="120"/>
      <c r="H2841" s="101"/>
      <c r="I2841" s="93"/>
      <c r="J2841" s="91"/>
      <c r="L2841" s="94" t="str">
        <f t="shared" si="2"/>
        <v>No infirmation</v>
      </c>
      <c r="M2841" s="94" t="str">
        <f t="shared" si="3"/>
        <v/>
      </c>
    </row>
    <row r="2842" ht="15.75" customHeight="1">
      <c r="B2842" s="77">
        <f t="shared" si="1"/>
        <v>0</v>
      </c>
      <c r="C2842" s="67"/>
      <c r="D2842" s="78"/>
      <c r="E2842" s="101"/>
      <c r="F2842" s="108"/>
      <c r="G2842" s="120"/>
      <c r="H2842" s="101"/>
      <c r="I2842" s="93"/>
      <c r="J2842" s="91"/>
      <c r="L2842" s="94" t="str">
        <f t="shared" si="2"/>
        <v>No infirmation</v>
      </c>
      <c r="M2842" s="94" t="str">
        <f t="shared" si="3"/>
        <v/>
      </c>
    </row>
    <row r="2843" ht="15.75" customHeight="1">
      <c r="B2843" s="77">
        <f t="shared" si="1"/>
        <v>0</v>
      </c>
      <c r="C2843" s="67"/>
      <c r="D2843" s="78"/>
      <c r="E2843" s="101"/>
      <c r="F2843" s="108"/>
      <c r="G2843" s="120"/>
      <c r="H2843" s="101"/>
      <c r="I2843" s="93"/>
      <c r="J2843" s="91"/>
      <c r="L2843" s="94" t="str">
        <f t="shared" si="2"/>
        <v>No infirmation</v>
      </c>
      <c r="M2843" s="94" t="str">
        <f t="shared" si="3"/>
        <v/>
      </c>
    </row>
    <row r="2844" ht="15.75" customHeight="1">
      <c r="B2844" s="77">
        <f t="shared" si="1"/>
        <v>0</v>
      </c>
      <c r="C2844" s="67"/>
      <c r="D2844" s="78"/>
      <c r="E2844" s="101"/>
      <c r="F2844" s="108"/>
      <c r="G2844" s="120"/>
      <c r="H2844" s="101"/>
      <c r="I2844" s="93"/>
      <c r="J2844" s="91"/>
      <c r="L2844" s="94" t="str">
        <f t="shared" si="2"/>
        <v>No infirmation</v>
      </c>
      <c r="M2844" s="94" t="str">
        <f t="shared" si="3"/>
        <v/>
      </c>
    </row>
    <row r="2845" ht="15.75" customHeight="1">
      <c r="B2845" s="77">
        <f t="shared" si="1"/>
        <v>0</v>
      </c>
      <c r="C2845" s="67"/>
      <c r="D2845" s="78"/>
      <c r="E2845" s="101"/>
      <c r="F2845" s="108"/>
      <c r="G2845" s="120"/>
      <c r="H2845" s="101"/>
      <c r="I2845" s="93"/>
      <c r="J2845" s="91"/>
      <c r="L2845" s="94" t="str">
        <f t="shared" si="2"/>
        <v>No infirmation</v>
      </c>
      <c r="M2845" s="94" t="str">
        <f t="shared" si="3"/>
        <v/>
      </c>
    </row>
    <row r="2846" ht="15.75" customHeight="1">
      <c r="B2846" s="77">
        <f t="shared" si="1"/>
        <v>0</v>
      </c>
      <c r="C2846" s="67"/>
      <c r="D2846" s="78"/>
      <c r="E2846" s="101"/>
      <c r="F2846" s="108"/>
      <c r="G2846" s="120"/>
      <c r="H2846" s="101"/>
      <c r="I2846" s="93"/>
      <c r="J2846" s="91"/>
      <c r="L2846" s="94" t="str">
        <f t="shared" si="2"/>
        <v>No infirmation</v>
      </c>
      <c r="M2846" s="94" t="str">
        <f t="shared" si="3"/>
        <v/>
      </c>
    </row>
    <row r="2847" ht="15.75" customHeight="1">
      <c r="B2847" s="77">
        <f t="shared" si="1"/>
        <v>0</v>
      </c>
      <c r="C2847" s="67"/>
      <c r="D2847" s="78"/>
      <c r="E2847" s="101"/>
      <c r="F2847" s="108"/>
      <c r="G2847" s="120"/>
      <c r="H2847" s="101"/>
      <c r="I2847" s="93"/>
      <c r="J2847" s="91"/>
      <c r="L2847" s="94" t="str">
        <f t="shared" si="2"/>
        <v>No infirmation</v>
      </c>
      <c r="M2847" s="94" t="str">
        <f t="shared" si="3"/>
        <v/>
      </c>
    </row>
    <row r="2848" ht="15.75" customHeight="1">
      <c r="B2848" s="77">
        <f t="shared" si="1"/>
        <v>0</v>
      </c>
      <c r="C2848" s="67"/>
      <c r="D2848" s="78"/>
      <c r="E2848" s="101"/>
      <c r="F2848" s="108"/>
      <c r="G2848" s="120"/>
      <c r="H2848" s="101"/>
      <c r="I2848" s="93"/>
      <c r="J2848" s="91"/>
      <c r="L2848" s="94" t="str">
        <f t="shared" si="2"/>
        <v>No infirmation</v>
      </c>
      <c r="M2848" s="94" t="str">
        <f t="shared" si="3"/>
        <v/>
      </c>
    </row>
    <row r="2849" ht="15.75" customHeight="1">
      <c r="B2849" s="77">
        <f t="shared" si="1"/>
        <v>0</v>
      </c>
      <c r="C2849" s="67"/>
      <c r="D2849" s="78"/>
      <c r="E2849" s="101"/>
      <c r="F2849" s="108"/>
      <c r="G2849" s="120"/>
      <c r="H2849" s="101"/>
      <c r="I2849" s="93"/>
      <c r="J2849" s="91"/>
      <c r="L2849" s="94" t="str">
        <f t="shared" si="2"/>
        <v>No infirmation</v>
      </c>
      <c r="M2849" s="94" t="str">
        <f t="shared" si="3"/>
        <v/>
      </c>
    </row>
    <row r="2850" ht="15.75" customHeight="1">
      <c r="B2850" s="77">
        <f t="shared" si="1"/>
        <v>0</v>
      </c>
      <c r="C2850" s="67"/>
      <c r="D2850" s="78"/>
      <c r="E2850" s="101"/>
      <c r="F2850" s="108"/>
      <c r="G2850" s="120"/>
      <c r="H2850" s="101"/>
      <c r="I2850" s="93"/>
      <c r="J2850" s="91"/>
      <c r="L2850" s="94" t="str">
        <f t="shared" si="2"/>
        <v>No infirmation</v>
      </c>
      <c r="M2850" s="94" t="str">
        <f t="shared" si="3"/>
        <v/>
      </c>
    </row>
    <row r="2851" ht="15.75" customHeight="1">
      <c r="B2851" s="77">
        <f t="shared" si="1"/>
        <v>0</v>
      </c>
      <c r="C2851" s="67"/>
      <c r="D2851" s="78"/>
      <c r="E2851" s="101"/>
      <c r="F2851" s="108"/>
      <c r="G2851" s="120"/>
      <c r="H2851" s="101"/>
      <c r="I2851" s="93"/>
      <c r="J2851" s="91"/>
      <c r="L2851" s="94" t="str">
        <f t="shared" si="2"/>
        <v>No infirmation</v>
      </c>
      <c r="M2851" s="94" t="str">
        <f t="shared" si="3"/>
        <v/>
      </c>
    </row>
    <row r="2852" ht="15.75" customHeight="1">
      <c r="B2852" s="77">
        <f t="shared" si="1"/>
        <v>0</v>
      </c>
      <c r="C2852" s="67"/>
      <c r="D2852" s="78"/>
      <c r="E2852" s="101"/>
      <c r="F2852" s="108"/>
      <c r="G2852" s="120"/>
      <c r="H2852" s="101"/>
      <c r="I2852" s="93"/>
      <c r="J2852" s="91"/>
      <c r="L2852" s="94" t="str">
        <f t="shared" si="2"/>
        <v>No infirmation</v>
      </c>
      <c r="M2852" s="94" t="str">
        <f t="shared" si="3"/>
        <v/>
      </c>
    </row>
    <row r="2853" ht="15.75" customHeight="1">
      <c r="B2853" s="77">
        <f t="shared" si="1"/>
        <v>0</v>
      </c>
      <c r="C2853" s="67"/>
      <c r="D2853" s="78"/>
      <c r="E2853" s="101"/>
      <c r="F2853" s="108"/>
      <c r="G2853" s="120"/>
      <c r="H2853" s="101"/>
      <c r="I2853" s="93"/>
      <c r="J2853" s="91"/>
      <c r="L2853" s="94" t="str">
        <f t="shared" si="2"/>
        <v>No infirmation</v>
      </c>
      <c r="M2853" s="94" t="str">
        <f t="shared" si="3"/>
        <v/>
      </c>
    </row>
    <row r="2854" ht="15.75" customHeight="1">
      <c r="B2854" s="77">
        <f t="shared" si="1"/>
        <v>0</v>
      </c>
      <c r="C2854" s="67"/>
      <c r="D2854" s="78"/>
      <c r="E2854" s="101"/>
      <c r="F2854" s="108"/>
      <c r="G2854" s="120"/>
      <c r="H2854" s="101"/>
      <c r="I2854" s="93"/>
      <c r="J2854" s="91"/>
      <c r="L2854" s="94" t="str">
        <f t="shared" si="2"/>
        <v>No infirmation</v>
      </c>
      <c r="M2854" s="94" t="str">
        <f t="shared" si="3"/>
        <v/>
      </c>
    </row>
    <row r="2855" ht="15.75" customHeight="1">
      <c r="B2855" s="77">
        <f t="shared" si="1"/>
        <v>0</v>
      </c>
      <c r="C2855" s="67"/>
      <c r="D2855" s="78"/>
      <c r="E2855" s="101"/>
      <c r="F2855" s="108"/>
      <c r="G2855" s="120"/>
      <c r="H2855" s="101"/>
      <c r="I2855" s="93"/>
      <c r="J2855" s="91"/>
      <c r="L2855" s="94" t="str">
        <f t="shared" si="2"/>
        <v>No infirmation</v>
      </c>
      <c r="M2855" s="94" t="str">
        <f t="shared" si="3"/>
        <v/>
      </c>
    </row>
    <row r="2856" ht="15.75" customHeight="1">
      <c r="B2856" s="77">
        <f t="shared" si="1"/>
        <v>0</v>
      </c>
      <c r="C2856" s="67"/>
      <c r="D2856" s="78"/>
      <c r="E2856" s="101"/>
      <c r="F2856" s="108"/>
      <c r="G2856" s="120"/>
      <c r="H2856" s="101"/>
      <c r="I2856" s="93"/>
      <c r="J2856" s="91"/>
      <c r="L2856" s="94" t="str">
        <f t="shared" si="2"/>
        <v>No infirmation</v>
      </c>
      <c r="M2856" s="94" t="str">
        <f t="shared" si="3"/>
        <v/>
      </c>
    </row>
    <row r="2857" ht="15.75" customHeight="1">
      <c r="B2857" s="77">
        <f t="shared" si="1"/>
        <v>0</v>
      </c>
      <c r="C2857" s="67"/>
      <c r="D2857" s="78"/>
      <c r="E2857" s="101"/>
      <c r="F2857" s="108"/>
      <c r="G2857" s="120"/>
      <c r="H2857" s="101"/>
      <c r="I2857" s="93"/>
      <c r="J2857" s="91"/>
      <c r="L2857" s="94" t="str">
        <f t="shared" si="2"/>
        <v>No infirmation</v>
      </c>
      <c r="M2857" s="94" t="str">
        <f t="shared" si="3"/>
        <v/>
      </c>
    </row>
    <row r="2858" ht="15.75" customHeight="1">
      <c r="B2858" s="77">
        <f t="shared" si="1"/>
        <v>0</v>
      </c>
      <c r="C2858" s="67"/>
      <c r="D2858" s="78"/>
      <c r="E2858" s="101"/>
      <c r="F2858" s="108"/>
      <c r="G2858" s="120"/>
      <c r="H2858" s="101"/>
      <c r="I2858" s="93"/>
      <c r="J2858" s="91"/>
      <c r="L2858" s="94" t="str">
        <f t="shared" si="2"/>
        <v>No infirmation</v>
      </c>
      <c r="M2858" s="94" t="str">
        <f t="shared" si="3"/>
        <v/>
      </c>
    </row>
    <row r="2859" ht="15.75" customHeight="1">
      <c r="B2859" s="77">
        <f t="shared" si="1"/>
        <v>0</v>
      </c>
      <c r="C2859" s="67"/>
      <c r="D2859" s="78"/>
      <c r="E2859" s="101"/>
      <c r="F2859" s="108"/>
      <c r="G2859" s="120"/>
      <c r="H2859" s="101"/>
      <c r="I2859" s="93"/>
      <c r="J2859" s="91"/>
      <c r="L2859" s="94" t="str">
        <f t="shared" si="2"/>
        <v>No infirmation</v>
      </c>
      <c r="M2859" s="94" t="str">
        <f t="shared" si="3"/>
        <v/>
      </c>
    </row>
    <row r="2860" ht="15.75" customHeight="1">
      <c r="B2860" s="77">
        <f t="shared" si="1"/>
        <v>0</v>
      </c>
      <c r="C2860" s="67"/>
      <c r="D2860" s="78"/>
      <c r="E2860" s="101"/>
      <c r="F2860" s="108"/>
      <c r="G2860" s="120"/>
      <c r="H2860" s="101"/>
      <c r="I2860" s="93"/>
      <c r="J2860" s="91"/>
      <c r="L2860" s="94" t="str">
        <f t="shared" si="2"/>
        <v>No infirmation</v>
      </c>
      <c r="M2860" s="94" t="str">
        <f t="shared" si="3"/>
        <v/>
      </c>
    </row>
    <row r="2861" ht="15.75" customHeight="1">
      <c r="B2861" s="77">
        <f t="shared" si="1"/>
        <v>0</v>
      </c>
      <c r="C2861" s="67"/>
      <c r="D2861" s="78"/>
      <c r="E2861" s="101"/>
      <c r="F2861" s="108"/>
      <c r="G2861" s="120"/>
      <c r="H2861" s="101"/>
      <c r="I2861" s="93"/>
      <c r="J2861" s="91"/>
      <c r="L2861" s="94" t="str">
        <f t="shared" si="2"/>
        <v>No infirmation</v>
      </c>
      <c r="M2861" s="94" t="str">
        <f t="shared" si="3"/>
        <v/>
      </c>
    </row>
    <row r="2862" ht="15.75" customHeight="1">
      <c r="B2862" s="77">
        <f t="shared" si="1"/>
        <v>0</v>
      </c>
      <c r="C2862" s="67"/>
      <c r="D2862" s="78"/>
      <c r="E2862" s="101"/>
      <c r="F2862" s="108"/>
      <c r="G2862" s="120"/>
      <c r="H2862" s="101"/>
      <c r="I2862" s="93"/>
      <c r="J2862" s="91"/>
      <c r="L2862" s="94" t="str">
        <f t="shared" si="2"/>
        <v>No infirmation</v>
      </c>
      <c r="M2862" s="94" t="str">
        <f t="shared" si="3"/>
        <v/>
      </c>
    </row>
    <row r="2863" ht="15.75" customHeight="1">
      <c r="B2863" s="77">
        <f t="shared" si="1"/>
        <v>0</v>
      </c>
      <c r="C2863" s="67"/>
      <c r="D2863" s="78"/>
      <c r="E2863" s="101"/>
      <c r="F2863" s="108"/>
      <c r="G2863" s="120"/>
      <c r="H2863" s="101"/>
      <c r="I2863" s="93"/>
      <c r="J2863" s="91"/>
      <c r="L2863" s="94" t="str">
        <f t="shared" si="2"/>
        <v>No infirmation</v>
      </c>
      <c r="M2863" s="94" t="str">
        <f t="shared" si="3"/>
        <v/>
      </c>
    </row>
    <row r="2864" ht="15.75" customHeight="1">
      <c r="B2864" s="77">
        <f t="shared" si="1"/>
        <v>0</v>
      </c>
      <c r="C2864" s="67"/>
      <c r="D2864" s="78"/>
      <c r="E2864" s="101"/>
      <c r="F2864" s="108"/>
      <c r="G2864" s="120"/>
      <c r="H2864" s="101"/>
      <c r="I2864" s="93"/>
      <c r="J2864" s="91"/>
      <c r="L2864" s="94" t="str">
        <f t="shared" si="2"/>
        <v>No infirmation</v>
      </c>
      <c r="M2864" s="94" t="str">
        <f t="shared" si="3"/>
        <v/>
      </c>
    </row>
    <row r="2865" ht="15.75" customHeight="1">
      <c r="B2865" s="77">
        <f t="shared" si="1"/>
        <v>0</v>
      </c>
      <c r="C2865" s="67"/>
      <c r="D2865" s="78"/>
      <c r="E2865" s="101"/>
      <c r="F2865" s="108"/>
      <c r="G2865" s="120"/>
      <c r="H2865" s="101"/>
      <c r="I2865" s="93"/>
      <c r="J2865" s="91"/>
      <c r="L2865" s="94" t="str">
        <f t="shared" si="2"/>
        <v>No infirmation</v>
      </c>
      <c r="M2865" s="94" t="str">
        <f t="shared" si="3"/>
        <v/>
      </c>
    </row>
    <row r="2866" ht="15.75" customHeight="1">
      <c r="B2866" s="77">
        <f t="shared" si="1"/>
        <v>0</v>
      </c>
      <c r="C2866" s="67"/>
      <c r="D2866" s="78"/>
      <c r="E2866" s="101"/>
      <c r="F2866" s="108"/>
      <c r="G2866" s="120"/>
      <c r="H2866" s="101"/>
      <c r="I2866" s="93"/>
      <c r="J2866" s="91"/>
      <c r="L2866" s="94" t="str">
        <f t="shared" si="2"/>
        <v>No infirmation</v>
      </c>
      <c r="M2866" s="94" t="str">
        <f t="shared" si="3"/>
        <v/>
      </c>
    </row>
    <row r="2867" ht="15.75" customHeight="1">
      <c r="B2867" s="77">
        <f t="shared" si="1"/>
        <v>0</v>
      </c>
      <c r="C2867" s="67"/>
      <c r="D2867" s="78"/>
      <c r="E2867" s="101"/>
      <c r="F2867" s="108"/>
      <c r="G2867" s="120"/>
      <c r="H2867" s="101"/>
      <c r="I2867" s="93"/>
      <c r="J2867" s="91"/>
      <c r="L2867" s="94" t="str">
        <f t="shared" si="2"/>
        <v>No infirmation</v>
      </c>
      <c r="M2867" s="94" t="str">
        <f t="shared" si="3"/>
        <v/>
      </c>
    </row>
    <row r="2868" ht="15.75" customHeight="1">
      <c r="B2868" s="77">
        <f t="shared" si="1"/>
        <v>0</v>
      </c>
      <c r="C2868" s="67"/>
      <c r="D2868" s="78"/>
      <c r="E2868" s="101"/>
      <c r="F2868" s="108"/>
      <c r="G2868" s="120"/>
      <c r="H2868" s="101"/>
      <c r="I2868" s="93"/>
      <c r="J2868" s="91"/>
      <c r="L2868" s="94" t="str">
        <f t="shared" si="2"/>
        <v>No infirmation</v>
      </c>
      <c r="M2868" s="94" t="str">
        <f t="shared" si="3"/>
        <v/>
      </c>
    </row>
    <row r="2869" ht="15.75" customHeight="1">
      <c r="B2869" s="77">
        <f t="shared" si="1"/>
        <v>0</v>
      </c>
      <c r="C2869" s="67"/>
      <c r="D2869" s="78"/>
      <c r="E2869" s="101"/>
      <c r="F2869" s="108"/>
      <c r="G2869" s="120"/>
      <c r="H2869" s="101"/>
      <c r="I2869" s="93"/>
      <c r="J2869" s="91"/>
      <c r="L2869" s="94" t="str">
        <f t="shared" si="2"/>
        <v>No infirmation</v>
      </c>
      <c r="M2869" s="94" t="str">
        <f t="shared" si="3"/>
        <v/>
      </c>
    </row>
    <row r="2870" ht="15.75" customHeight="1">
      <c r="B2870" s="77">
        <f t="shared" si="1"/>
        <v>0</v>
      </c>
      <c r="C2870" s="67"/>
      <c r="D2870" s="78"/>
      <c r="E2870" s="101"/>
      <c r="F2870" s="108"/>
      <c r="G2870" s="120"/>
      <c r="H2870" s="101"/>
      <c r="I2870" s="93"/>
      <c r="J2870" s="91"/>
      <c r="L2870" s="94" t="str">
        <f t="shared" si="2"/>
        <v>No infirmation</v>
      </c>
      <c r="M2870" s="94" t="str">
        <f t="shared" si="3"/>
        <v/>
      </c>
    </row>
    <row r="2871" ht="15.75" customHeight="1">
      <c r="B2871" s="77">
        <f t="shared" si="1"/>
        <v>0</v>
      </c>
      <c r="C2871" s="67"/>
      <c r="D2871" s="78"/>
      <c r="E2871" s="101"/>
      <c r="F2871" s="108"/>
      <c r="G2871" s="120"/>
      <c r="H2871" s="101"/>
      <c r="I2871" s="93"/>
      <c r="J2871" s="91"/>
      <c r="L2871" s="94" t="str">
        <f t="shared" si="2"/>
        <v>No infirmation</v>
      </c>
      <c r="M2871" s="94" t="str">
        <f t="shared" si="3"/>
        <v/>
      </c>
    </row>
    <row r="2872" ht="15.75" customHeight="1">
      <c r="B2872" s="77">
        <f t="shared" si="1"/>
        <v>0</v>
      </c>
      <c r="C2872" s="67"/>
      <c r="D2872" s="78"/>
      <c r="E2872" s="101"/>
      <c r="F2872" s="108"/>
      <c r="G2872" s="120"/>
      <c r="H2872" s="101"/>
      <c r="I2872" s="93"/>
      <c r="J2872" s="91"/>
      <c r="L2872" s="94" t="str">
        <f t="shared" si="2"/>
        <v>No infirmation</v>
      </c>
      <c r="M2872" s="94" t="str">
        <f t="shared" si="3"/>
        <v/>
      </c>
    </row>
    <row r="2873" ht="15.75" customHeight="1">
      <c r="B2873" s="77">
        <f t="shared" si="1"/>
        <v>0</v>
      </c>
      <c r="C2873" s="67"/>
      <c r="D2873" s="78"/>
      <c r="E2873" s="101"/>
      <c r="F2873" s="108"/>
      <c r="G2873" s="120"/>
      <c r="H2873" s="101"/>
      <c r="I2873" s="93"/>
      <c r="J2873" s="91"/>
      <c r="L2873" s="94" t="str">
        <f t="shared" si="2"/>
        <v>No infirmation</v>
      </c>
      <c r="M2873" s="94" t="str">
        <f t="shared" si="3"/>
        <v/>
      </c>
    </row>
    <row r="2874" ht="15.75" customHeight="1">
      <c r="B2874" s="77">
        <f t="shared" si="1"/>
        <v>0</v>
      </c>
      <c r="C2874" s="67"/>
      <c r="D2874" s="78"/>
      <c r="E2874" s="101"/>
      <c r="F2874" s="108"/>
      <c r="G2874" s="120"/>
      <c r="H2874" s="101"/>
      <c r="I2874" s="93"/>
      <c r="J2874" s="91"/>
      <c r="L2874" s="94" t="str">
        <f t="shared" si="2"/>
        <v>No infirmation</v>
      </c>
      <c r="M2874" s="94" t="str">
        <f t="shared" si="3"/>
        <v/>
      </c>
    </row>
    <row r="2875" ht="15.75" customHeight="1">
      <c r="B2875" s="77">
        <f t="shared" si="1"/>
        <v>0</v>
      </c>
      <c r="C2875" s="67"/>
      <c r="D2875" s="78"/>
      <c r="E2875" s="101"/>
      <c r="F2875" s="108"/>
      <c r="G2875" s="120"/>
      <c r="H2875" s="101"/>
      <c r="I2875" s="93"/>
      <c r="J2875" s="91"/>
      <c r="L2875" s="94" t="str">
        <f t="shared" si="2"/>
        <v>No infirmation</v>
      </c>
      <c r="M2875" s="94" t="str">
        <f t="shared" si="3"/>
        <v/>
      </c>
    </row>
    <row r="2876" ht="15.75" customHeight="1">
      <c r="B2876" s="77">
        <f t="shared" si="1"/>
        <v>0</v>
      </c>
      <c r="C2876" s="67"/>
      <c r="D2876" s="78"/>
      <c r="E2876" s="101"/>
      <c r="F2876" s="108"/>
      <c r="G2876" s="120"/>
      <c r="H2876" s="101"/>
      <c r="I2876" s="93"/>
      <c r="J2876" s="91"/>
      <c r="L2876" s="94" t="str">
        <f t="shared" si="2"/>
        <v>No infirmation</v>
      </c>
      <c r="M2876" s="94" t="str">
        <f t="shared" si="3"/>
        <v/>
      </c>
    </row>
    <row r="2877" ht="15.75" customHeight="1">
      <c r="B2877" s="77">
        <f t="shared" si="1"/>
        <v>0</v>
      </c>
      <c r="C2877" s="67"/>
      <c r="D2877" s="78"/>
      <c r="E2877" s="101"/>
      <c r="F2877" s="108"/>
      <c r="G2877" s="120"/>
      <c r="H2877" s="101"/>
      <c r="I2877" s="93"/>
      <c r="J2877" s="91"/>
      <c r="L2877" s="94" t="str">
        <f t="shared" si="2"/>
        <v>No infirmation</v>
      </c>
      <c r="M2877" s="94" t="str">
        <f t="shared" si="3"/>
        <v/>
      </c>
    </row>
    <row r="2878" ht="15.75" customHeight="1">
      <c r="B2878" s="77">
        <f t="shared" si="1"/>
        <v>0</v>
      </c>
      <c r="C2878" s="67"/>
      <c r="D2878" s="78"/>
      <c r="E2878" s="101"/>
      <c r="F2878" s="108"/>
      <c r="G2878" s="120"/>
      <c r="H2878" s="101"/>
      <c r="I2878" s="93"/>
      <c r="J2878" s="91"/>
      <c r="L2878" s="94" t="str">
        <f t="shared" si="2"/>
        <v>No infirmation</v>
      </c>
      <c r="M2878" s="94" t="str">
        <f t="shared" si="3"/>
        <v/>
      </c>
    </row>
    <row r="2879" ht="15.75" customHeight="1">
      <c r="B2879" s="77">
        <f t="shared" si="1"/>
        <v>0</v>
      </c>
      <c r="C2879" s="67"/>
      <c r="D2879" s="78"/>
      <c r="E2879" s="101"/>
      <c r="F2879" s="108"/>
      <c r="G2879" s="120"/>
      <c r="H2879" s="101"/>
      <c r="I2879" s="93"/>
      <c r="J2879" s="91"/>
      <c r="L2879" s="94" t="str">
        <f t="shared" si="2"/>
        <v>No infirmation</v>
      </c>
      <c r="M2879" s="94" t="str">
        <f t="shared" si="3"/>
        <v/>
      </c>
    </row>
    <row r="2880" ht="15.75" customHeight="1">
      <c r="B2880" s="77">
        <f t="shared" si="1"/>
        <v>0</v>
      </c>
      <c r="C2880" s="67"/>
      <c r="D2880" s="78"/>
      <c r="E2880" s="101"/>
      <c r="F2880" s="108"/>
      <c r="G2880" s="120"/>
      <c r="H2880" s="101"/>
      <c r="I2880" s="93"/>
      <c r="J2880" s="91"/>
      <c r="L2880" s="94" t="str">
        <f t="shared" si="2"/>
        <v>No infirmation</v>
      </c>
      <c r="M2880" s="94" t="str">
        <f t="shared" si="3"/>
        <v/>
      </c>
    </row>
    <row r="2881" ht="15.75" customHeight="1">
      <c r="B2881" s="77">
        <f t="shared" si="1"/>
        <v>0</v>
      </c>
      <c r="C2881" s="67"/>
      <c r="D2881" s="78"/>
      <c r="E2881" s="101"/>
      <c r="F2881" s="108"/>
      <c r="G2881" s="120"/>
      <c r="H2881" s="101"/>
      <c r="I2881" s="93"/>
      <c r="J2881" s="91"/>
      <c r="L2881" s="94" t="str">
        <f t="shared" si="2"/>
        <v>No infirmation</v>
      </c>
      <c r="M2881" s="94" t="str">
        <f t="shared" si="3"/>
        <v/>
      </c>
    </row>
    <row r="2882" ht="15.75" customHeight="1">
      <c r="B2882" s="77">
        <f t="shared" si="1"/>
        <v>0</v>
      </c>
      <c r="C2882" s="67"/>
      <c r="D2882" s="78"/>
      <c r="E2882" s="101"/>
      <c r="F2882" s="108"/>
      <c r="G2882" s="120"/>
      <c r="H2882" s="101"/>
      <c r="I2882" s="93"/>
      <c r="J2882" s="91"/>
      <c r="L2882" s="94" t="str">
        <f t="shared" si="2"/>
        <v>No infirmation</v>
      </c>
      <c r="M2882" s="94" t="str">
        <f t="shared" si="3"/>
        <v/>
      </c>
    </row>
    <row r="2883" ht="15.75" customHeight="1">
      <c r="B2883" s="77">
        <f t="shared" si="1"/>
        <v>0</v>
      </c>
      <c r="C2883" s="67"/>
      <c r="D2883" s="78"/>
      <c r="E2883" s="101"/>
      <c r="F2883" s="108"/>
      <c r="G2883" s="120"/>
      <c r="H2883" s="101"/>
      <c r="I2883" s="93"/>
      <c r="J2883" s="91"/>
      <c r="L2883" s="94" t="str">
        <f t="shared" si="2"/>
        <v>No infirmation</v>
      </c>
      <c r="M2883" s="94" t="str">
        <f t="shared" si="3"/>
        <v/>
      </c>
    </row>
    <row r="2884" ht="15.75" customHeight="1">
      <c r="B2884" s="77">
        <f t="shared" si="1"/>
        <v>0</v>
      </c>
      <c r="C2884" s="67"/>
      <c r="D2884" s="78"/>
      <c r="E2884" s="101"/>
      <c r="F2884" s="108"/>
      <c r="G2884" s="120"/>
      <c r="H2884" s="101"/>
      <c r="I2884" s="93"/>
      <c r="J2884" s="91"/>
      <c r="L2884" s="94" t="str">
        <f t="shared" si="2"/>
        <v>No infirmation</v>
      </c>
      <c r="M2884" s="94" t="str">
        <f t="shared" si="3"/>
        <v/>
      </c>
    </row>
    <row r="2885" ht="15.75" customHeight="1">
      <c r="B2885" s="77">
        <f t="shared" si="1"/>
        <v>0</v>
      </c>
      <c r="C2885" s="67"/>
      <c r="D2885" s="78"/>
      <c r="E2885" s="101"/>
      <c r="F2885" s="108"/>
      <c r="G2885" s="120"/>
      <c r="H2885" s="101"/>
      <c r="I2885" s="93"/>
      <c r="J2885" s="91"/>
      <c r="L2885" s="94" t="str">
        <f t="shared" si="2"/>
        <v>No infirmation</v>
      </c>
      <c r="M2885" s="94" t="str">
        <f t="shared" si="3"/>
        <v/>
      </c>
    </row>
    <row r="2886" ht="15.75" customHeight="1">
      <c r="B2886" s="77">
        <f t="shared" si="1"/>
        <v>0</v>
      </c>
      <c r="C2886" s="67"/>
      <c r="D2886" s="78"/>
      <c r="E2886" s="101"/>
      <c r="F2886" s="108"/>
      <c r="G2886" s="120"/>
      <c r="H2886" s="101"/>
      <c r="I2886" s="93"/>
      <c r="J2886" s="91"/>
      <c r="L2886" s="94" t="str">
        <f t="shared" si="2"/>
        <v>No infirmation</v>
      </c>
      <c r="M2886" s="94" t="str">
        <f t="shared" si="3"/>
        <v/>
      </c>
    </row>
    <row r="2887" ht="15.75" customHeight="1">
      <c r="B2887" s="77">
        <f t="shared" si="1"/>
        <v>0</v>
      </c>
      <c r="C2887" s="67"/>
      <c r="D2887" s="78"/>
      <c r="E2887" s="101"/>
      <c r="F2887" s="108"/>
      <c r="G2887" s="120"/>
      <c r="H2887" s="101"/>
      <c r="I2887" s="93"/>
      <c r="J2887" s="91"/>
      <c r="L2887" s="94" t="str">
        <f t="shared" si="2"/>
        <v>No infirmation</v>
      </c>
      <c r="M2887" s="94" t="str">
        <f t="shared" si="3"/>
        <v/>
      </c>
    </row>
    <row r="2888" ht="15.75" customHeight="1">
      <c r="B2888" s="77">
        <f t="shared" si="1"/>
        <v>0</v>
      </c>
      <c r="C2888" s="67"/>
      <c r="D2888" s="78"/>
      <c r="E2888" s="101"/>
      <c r="F2888" s="108"/>
      <c r="G2888" s="120"/>
      <c r="H2888" s="101"/>
      <c r="I2888" s="93"/>
      <c r="J2888" s="91"/>
      <c r="L2888" s="94" t="str">
        <f t="shared" si="2"/>
        <v>No infirmation</v>
      </c>
      <c r="M2888" s="94" t="str">
        <f t="shared" si="3"/>
        <v/>
      </c>
    </row>
    <row r="2889" ht="15.75" customHeight="1">
      <c r="B2889" s="77">
        <f t="shared" si="1"/>
        <v>0</v>
      </c>
      <c r="C2889" s="67"/>
      <c r="D2889" s="78"/>
      <c r="E2889" s="101"/>
      <c r="F2889" s="108"/>
      <c r="G2889" s="120"/>
      <c r="H2889" s="101"/>
      <c r="I2889" s="93"/>
      <c r="J2889" s="91"/>
      <c r="L2889" s="94" t="str">
        <f t="shared" si="2"/>
        <v>No infirmation</v>
      </c>
      <c r="M2889" s="94" t="str">
        <f t="shared" si="3"/>
        <v/>
      </c>
    </row>
    <row r="2890" ht="15.75" customHeight="1">
      <c r="B2890" s="77">
        <f t="shared" si="1"/>
        <v>0</v>
      </c>
      <c r="C2890" s="67"/>
      <c r="D2890" s="78"/>
      <c r="E2890" s="101"/>
      <c r="F2890" s="108"/>
      <c r="G2890" s="120"/>
      <c r="H2890" s="101"/>
      <c r="I2890" s="93"/>
      <c r="J2890" s="91"/>
      <c r="L2890" s="94" t="str">
        <f t="shared" si="2"/>
        <v>No infirmation</v>
      </c>
      <c r="M2890" s="94" t="str">
        <f t="shared" si="3"/>
        <v/>
      </c>
    </row>
    <row r="2891" ht="15.75" customHeight="1">
      <c r="B2891" s="77">
        <f t="shared" si="1"/>
        <v>0</v>
      </c>
      <c r="C2891" s="67"/>
      <c r="D2891" s="78"/>
      <c r="E2891" s="101"/>
      <c r="F2891" s="108"/>
      <c r="G2891" s="120"/>
      <c r="H2891" s="101"/>
      <c r="I2891" s="93"/>
      <c r="J2891" s="91"/>
      <c r="L2891" s="94" t="str">
        <f t="shared" si="2"/>
        <v>No infirmation</v>
      </c>
      <c r="M2891" s="94" t="str">
        <f t="shared" si="3"/>
        <v/>
      </c>
    </row>
    <row r="2892" ht="15.75" customHeight="1">
      <c r="B2892" s="77">
        <f t="shared" si="1"/>
        <v>0</v>
      </c>
      <c r="C2892" s="67"/>
      <c r="D2892" s="78"/>
      <c r="E2892" s="101"/>
      <c r="F2892" s="108"/>
      <c r="G2892" s="120"/>
      <c r="H2892" s="101"/>
      <c r="I2892" s="93"/>
      <c r="J2892" s="91"/>
      <c r="L2892" s="94" t="str">
        <f t="shared" si="2"/>
        <v>No infirmation</v>
      </c>
      <c r="M2892" s="94" t="str">
        <f t="shared" si="3"/>
        <v/>
      </c>
    </row>
    <row r="2893" ht="15.75" customHeight="1">
      <c r="B2893" s="77">
        <f t="shared" si="1"/>
        <v>0</v>
      </c>
      <c r="C2893" s="67"/>
      <c r="D2893" s="78"/>
      <c r="E2893" s="101"/>
      <c r="F2893" s="108"/>
      <c r="G2893" s="120"/>
      <c r="H2893" s="101"/>
      <c r="I2893" s="93"/>
      <c r="J2893" s="91"/>
      <c r="L2893" s="94" t="str">
        <f t="shared" si="2"/>
        <v>No infirmation</v>
      </c>
      <c r="M2893" s="94" t="str">
        <f t="shared" si="3"/>
        <v/>
      </c>
    </row>
    <row r="2894" ht="15.75" customHeight="1">
      <c r="B2894" s="77">
        <f t="shared" si="1"/>
        <v>0</v>
      </c>
      <c r="C2894" s="67"/>
      <c r="D2894" s="78"/>
      <c r="E2894" s="101"/>
      <c r="F2894" s="108"/>
      <c r="G2894" s="120"/>
      <c r="H2894" s="101"/>
      <c r="I2894" s="93"/>
      <c r="J2894" s="91"/>
      <c r="L2894" s="94" t="str">
        <f t="shared" si="2"/>
        <v>No infirmation</v>
      </c>
      <c r="M2894" s="94" t="str">
        <f t="shared" si="3"/>
        <v/>
      </c>
    </row>
    <row r="2895" ht="15.75" customHeight="1">
      <c r="B2895" s="77">
        <f t="shared" si="1"/>
        <v>0</v>
      </c>
      <c r="C2895" s="67"/>
      <c r="D2895" s="78"/>
      <c r="E2895" s="101"/>
      <c r="F2895" s="108"/>
      <c r="G2895" s="120"/>
      <c r="H2895" s="101"/>
      <c r="I2895" s="93"/>
      <c r="J2895" s="91"/>
      <c r="L2895" s="94" t="str">
        <f t="shared" si="2"/>
        <v>No infirmation</v>
      </c>
      <c r="M2895" s="94" t="str">
        <f t="shared" si="3"/>
        <v/>
      </c>
    </row>
    <row r="2896" ht="15.75" customHeight="1">
      <c r="B2896" s="77">
        <f t="shared" si="1"/>
        <v>0</v>
      </c>
      <c r="C2896" s="67"/>
      <c r="D2896" s="78"/>
      <c r="E2896" s="101"/>
      <c r="F2896" s="108"/>
      <c r="G2896" s="120"/>
      <c r="H2896" s="101"/>
      <c r="I2896" s="93"/>
      <c r="J2896" s="91"/>
      <c r="L2896" s="94" t="str">
        <f t="shared" si="2"/>
        <v>No infirmation</v>
      </c>
      <c r="M2896" s="94" t="str">
        <f t="shared" si="3"/>
        <v/>
      </c>
    </row>
    <row r="2897" ht="15.75" customHeight="1">
      <c r="B2897" s="77">
        <f t="shared" si="1"/>
        <v>0</v>
      </c>
      <c r="C2897" s="67"/>
      <c r="D2897" s="78"/>
      <c r="E2897" s="101"/>
      <c r="F2897" s="108"/>
      <c r="G2897" s="120"/>
      <c r="H2897" s="101"/>
      <c r="I2897" s="93"/>
      <c r="J2897" s="91"/>
      <c r="L2897" s="94" t="str">
        <f t="shared" si="2"/>
        <v>No infirmation</v>
      </c>
      <c r="M2897" s="94" t="str">
        <f t="shared" si="3"/>
        <v/>
      </c>
    </row>
    <row r="2898" ht="15.75" customHeight="1">
      <c r="B2898" s="77">
        <f t="shared" si="1"/>
        <v>0</v>
      </c>
      <c r="C2898" s="67"/>
      <c r="D2898" s="78"/>
      <c r="E2898" s="101"/>
      <c r="F2898" s="108"/>
      <c r="G2898" s="120"/>
      <c r="H2898" s="101"/>
      <c r="I2898" s="93"/>
      <c r="J2898" s="91"/>
      <c r="L2898" s="94" t="str">
        <f t="shared" si="2"/>
        <v>No infirmation</v>
      </c>
      <c r="M2898" s="94" t="str">
        <f t="shared" si="3"/>
        <v/>
      </c>
    </row>
    <row r="2899" ht="15.75" customHeight="1">
      <c r="B2899" s="77">
        <f t="shared" si="1"/>
        <v>0</v>
      </c>
      <c r="C2899" s="67"/>
      <c r="D2899" s="78"/>
      <c r="E2899" s="101"/>
      <c r="F2899" s="108"/>
      <c r="G2899" s="120"/>
      <c r="H2899" s="101"/>
      <c r="I2899" s="93"/>
      <c r="J2899" s="91"/>
      <c r="L2899" s="94" t="str">
        <f t="shared" si="2"/>
        <v>No infirmation</v>
      </c>
      <c r="M2899" s="94" t="str">
        <f t="shared" si="3"/>
        <v/>
      </c>
    </row>
    <row r="2900" ht="15.75" customHeight="1">
      <c r="B2900" s="77">
        <f t="shared" si="1"/>
        <v>0</v>
      </c>
      <c r="C2900" s="67"/>
      <c r="D2900" s="78"/>
      <c r="E2900" s="101"/>
      <c r="F2900" s="108"/>
      <c r="G2900" s="120"/>
      <c r="H2900" s="101"/>
      <c r="I2900" s="93"/>
      <c r="J2900" s="91"/>
      <c r="L2900" s="94" t="str">
        <f t="shared" si="2"/>
        <v>No infirmation</v>
      </c>
      <c r="M2900" s="94" t="str">
        <f t="shared" si="3"/>
        <v/>
      </c>
    </row>
    <row r="2901" ht="15.75" customHeight="1">
      <c r="B2901" s="77">
        <f t="shared" si="1"/>
        <v>0</v>
      </c>
      <c r="C2901" s="67"/>
      <c r="D2901" s="78"/>
      <c r="E2901" s="101"/>
      <c r="F2901" s="108"/>
      <c r="G2901" s="120"/>
      <c r="H2901" s="101"/>
      <c r="I2901" s="93"/>
      <c r="J2901" s="91"/>
      <c r="L2901" s="94" t="str">
        <f t="shared" si="2"/>
        <v>No infirmation</v>
      </c>
      <c r="M2901" s="94" t="str">
        <f t="shared" si="3"/>
        <v/>
      </c>
    </row>
    <row r="2902" ht="15.75" customHeight="1">
      <c r="B2902" s="77">
        <f t="shared" si="1"/>
        <v>0</v>
      </c>
      <c r="C2902" s="67"/>
      <c r="D2902" s="78"/>
      <c r="E2902" s="101"/>
      <c r="F2902" s="108"/>
      <c r="G2902" s="120"/>
      <c r="H2902" s="101"/>
      <c r="I2902" s="93"/>
      <c r="J2902" s="91"/>
      <c r="L2902" s="94" t="str">
        <f t="shared" si="2"/>
        <v>No infirmation</v>
      </c>
      <c r="M2902" s="94" t="str">
        <f t="shared" si="3"/>
        <v/>
      </c>
    </row>
    <row r="2903" ht="15.75" customHeight="1">
      <c r="B2903" s="77">
        <f t="shared" si="1"/>
        <v>0</v>
      </c>
      <c r="C2903" s="67"/>
      <c r="D2903" s="78"/>
      <c r="E2903" s="101"/>
      <c r="F2903" s="108"/>
      <c r="G2903" s="120"/>
      <c r="H2903" s="101"/>
      <c r="I2903" s="93"/>
      <c r="J2903" s="91"/>
      <c r="L2903" s="94" t="str">
        <f t="shared" si="2"/>
        <v>No infirmation</v>
      </c>
      <c r="M2903" s="94" t="str">
        <f t="shared" si="3"/>
        <v/>
      </c>
    </row>
    <row r="2904" ht="15.75" customHeight="1">
      <c r="B2904" s="77">
        <f t="shared" si="1"/>
        <v>0</v>
      </c>
      <c r="C2904" s="67"/>
      <c r="D2904" s="78"/>
      <c r="E2904" s="101"/>
      <c r="F2904" s="108"/>
      <c r="G2904" s="120"/>
      <c r="H2904" s="101"/>
      <c r="I2904" s="93"/>
      <c r="J2904" s="91"/>
      <c r="L2904" s="94" t="str">
        <f t="shared" si="2"/>
        <v>No infirmation</v>
      </c>
      <c r="M2904" s="94" t="str">
        <f t="shared" si="3"/>
        <v/>
      </c>
    </row>
    <row r="2905" ht="15.75" customHeight="1">
      <c r="B2905" s="77">
        <f t="shared" si="1"/>
        <v>0</v>
      </c>
      <c r="C2905" s="67"/>
      <c r="D2905" s="78"/>
      <c r="E2905" s="101"/>
      <c r="F2905" s="108"/>
      <c r="G2905" s="120"/>
      <c r="H2905" s="101"/>
      <c r="I2905" s="93"/>
      <c r="J2905" s="91"/>
      <c r="L2905" s="94" t="str">
        <f t="shared" si="2"/>
        <v>No infirmation</v>
      </c>
      <c r="M2905" s="94" t="str">
        <f t="shared" si="3"/>
        <v/>
      </c>
    </row>
    <row r="2906" ht="15.75" customHeight="1">
      <c r="B2906" s="77">
        <f t="shared" si="1"/>
        <v>0</v>
      </c>
      <c r="C2906" s="67"/>
      <c r="D2906" s="78"/>
      <c r="E2906" s="101"/>
      <c r="F2906" s="108"/>
      <c r="G2906" s="120"/>
      <c r="H2906" s="101"/>
      <c r="I2906" s="93"/>
      <c r="J2906" s="91"/>
      <c r="L2906" s="94" t="str">
        <f t="shared" si="2"/>
        <v>No infirmation</v>
      </c>
      <c r="M2906" s="94" t="str">
        <f t="shared" si="3"/>
        <v/>
      </c>
    </row>
    <row r="2907" ht="15.75" customHeight="1">
      <c r="B2907" s="77">
        <f t="shared" si="1"/>
        <v>0</v>
      </c>
      <c r="C2907" s="67"/>
      <c r="D2907" s="78"/>
      <c r="E2907" s="101"/>
      <c r="F2907" s="108"/>
      <c r="G2907" s="120"/>
      <c r="H2907" s="101"/>
      <c r="I2907" s="93"/>
      <c r="J2907" s="91"/>
      <c r="L2907" s="94" t="str">
        <f t="shared" si="2"/>
        <v>No infirmation</v>
      </c>
      <c r="M2907" s="94" t="str">
        <f t="shared" si="3"/>
        <v/>
      </c>
    </row>
    <row r="2908" ht="15.75" customHeight="1">
      <c r="B2908" s="77">
        <f t="shared" si="1"/>
        <v>0</v>
      </c>
      <c r="C2908" s="67"/>
      <c r="D2908" s="78"/>
      <c r="E2908" s="101"/>
      <c r="F2908" s="108"/>
      <c r="G2908" s="120"/>
      <c r="H2908" s="101"/>
      <c r="I2908" s="93"/>
      <c r="J2908" s="91"/>
      <c r="L2908" s="94" t="str">
        <f t="shared" si="2"/>
        <v>No infirmation</v>
      </c>
      <c r="M2908" s="94" t="str">
        <f t="shared" si="3"/>
        <v/>
      </c>
    </row>
    <row r="2909" ht="15.75" customHeight="1">
      <c r="B2909" s="77">
        <f t="shared" si="1"/>
        <v>0</v>
      </c>
      <c r="C2909" s="67"/>
      <c r="D2909" s="78"/>
      <c r="E2909" s="101"/>
      <c r="F2909" s="108"/>
      <c r="G2909" s="120"/>
      <c r="H2909" s="101"/>
      <c r="I2909" s="93"/>
      <c r="J2909" s="91"/>
      <c r="L2909" s="94" t="str">
        <f t="shared" si="2"/>
        <v>No infirmation</v>
      </c>
      <c r="M2909" s="94" t="str">
        <f t="shared" si="3"/>
        <v/>
      </c>
    </row>
    <row r="2910" ht="15.75" customHeight="1">
      <c r="B2910" s="77">
        <f t="shared" si="1"/>
        <v>0</v>
      </c>
      <c r="C2910" s="67"/>
      <c r="D2910" s="78"/>
      <c r="E2910" s="101"/>
      <c r="F2910" s="108"/>
      <c r="G2910" s="120"/>
      <c r="H2910" s="101"/>
      <c r="I2910" s="93"/>
      <c r="J2910" s="91"/>
      <c r="L2910" s="94" t="str">
        <f t="shared" si="2"/>
        <v>No infirmation</v>
      </c>
      <c r="M2910" s="94" t="str">
        <f t="shared" si="3"/>
        <v/>
      </c>
    </row>
    <row r="2911" ht="15.75" customHeight="1">
      <c r="B2911" s="77">
        <f t="shared" si="1"/>
        <v>0</v>
      </c>
      <c r="C2911" s="67"/>
      <c r="D2911" s="78"/>
      <c r="E2911" s="101"/>
      <c r="F2911" s="108"/>
      <c r="G2911" s="120"/>
      <c r="H2911" s="101"/>
      <c r="I2911" s="93"/>
      <c r="J2911" s="91"/>
      <c r="L2911" s="94" t="str">
        <f t="shared" si="2"/>
        <v>No infirmation</v>
      </c>
      <c r="M2911" s="94" t="str">
        <f t="shared" si="3"/>
        <v/>
      </c>
    </row>
    <row r="2912" ht="15.75" customHeight="1">
      <c r="B2912" s="77">
        <f t="shared" si="1"/>
        <v>0</v>
      </c>
      <c r="C2912" s="67"/>
      <c r="D2912" s="78"/>
      <c r="E2912" s="101"/>
      <c r="F2912" s="108"/>
      <c r="G2912" s="120"/>
      <c r="H2912" s="101"/>
      <c r="I2912" s="93"/>
      <c r="J2912" s="91"/>
      <c r="L2912" s="94" t="str">
        <f t="shared" si="2"/>
        <v>No infirmation</v>
      </c>
      <c r="M2912" s="94" t="str">
        <f t="shared" si="3"/>
        <v/>
      </c>
    </row>
    <row r="2913" ht="15.75" customHeight="1">
      <c r="B2913" s="77">
        <f t="shared" si="1"/>
        <v>0</v>
      </c>
      <c r="C2913" s="67"/>
      <c r="D2913" s="78"/>
      <c r="E2913" s="101"/>
      <c r="F2913" s="108"/>
      <c r="G2913" s="120"/>
      <c r="H2913" s="101"/>
      <c r="I2913" s="93"/>
      <c r="J2913" s="91"/>
      <c r="L2913" s="94" t="str">
        <f t="shared" si="2"/>
        <v>No infirmation</v>
      </c>
      <c r="M2913" s="94" t="str">
        <f t="shared" si="3"/>
        <v/>
      </c>
    </row>
    <row r="2914" ht="15.75" customHeight="1">
      <c r="B2914" s="77">
        <f t="shared" si="1"/>
        <v>0</v>
      </c>
      <c r="C2914" s="67"/>
      <c r="D2914" s="78"/>
      <c r="E2914" s="101"/>
      <c r="F2914" s="108"/>
      <c r="G2914" s="120"/>
      <c r="H2914" s="101"/>
      <c r="I2914" s="93"/>
      <c r="J2914" s="91"/>
      <c r="L2914" s="94" t="str">
        <f t="shared" si="2"/>
        <v>No infirmation</v>
      </c>
      <c r="M2914" s="94" t="str">
        <f t="shared" si="3"/>
        <v/>
      </c>
    </row>
    <row r="2915" ht="15.75" customHeight="1">
      <c r="B2915" s="77">
        <f t="shared" si="1"/>
        <v>0</v>
      </c>
      <c r="C2915" s="67"/>
      <c r="D2915" s="78"/>
      <c r="E2915" s="101"/>
      <c r="F2915" s="108"/>
      <c r="G2915" s="120"/>
      <c r="H2915" s="101"/>
      <c r="I2915" s="93"/>
      <c r="J2915" s="91"/>
      <c r="L2915" s="94" t="str">
        <f t="shared" si="2"/>
        <v>No infirmation</v>
      </c>
      <c r="M2915" s="94" t="str">
        <f t="shared" si="3"/>
        <v/>
      </c>
    </row>
    <row r="2916" ht="15.75" customHeight="1">
      <c r="B2916" s="77">
        <f t="shared" si="1"/>
        <v>0</v>
      </c>
      <c r="C2916" s="67"/>
      <c r="D2916" s="78"/>
      <c r="E2916" s="101"/>
      <c r="F2916" s="108"/>
      <c r="G2916" s="120"/>
      <c r="H2916" s="101"/>
      <c r="I2916" s="93"/>
      <c r="J2916" s="91"/>
      <c r="L2916" s="94" t="str">
        <f t="shared" si="2"/>
        <v>No infirmation</v>
      </c>
      <c r="M2916" s="94" t="str">
        <f t="shared" si="3"/>
        <v/>
      </c>
    </row>
    <row r="2917" ht="15.75" customHeight="1">
      <c r="B2917" s="77">
        <f t="shared" si="1"/>
        <v>0</v>
      </c>
      <c r="C2917" s="67"/>
      <c r="D2917" s="78"/>
      <c r="E2917" s="101"/>
      <c r="F2917" s="108"/>
      <c r="G2917" s="120"/>
      <c r="H2917" s="101"/>
      <c r="I2917" s="93"/>
      <c r="J2917" s="91"/>
      <c r="L2917" s="94" t="str">
        <f t="shared" si="2"/>
        <v>No infirmation</v>
      </c>
      <c r="M2917" s="94" t="str">
        <f t="shared" si="3"/>
        <v/>
      </c>
    </row>
    <row r="2918" ht="15.75" customHeight="1">
      <c r="B2918" s="77">
        <f t="shared" si="1"/>
        <v>0</v>
      </c>
      <c r="C2918" s="67"/>
      <c r="D2918" s="78"/>
      <c r="E2918" s="101"/>
      <c r="F2918" s="108"/>
      <c r="G2918" s="120"/>
      <c r="H2918" s="101"/>
      <c r="I2918" s="93"/>
      <c r="J2918" s="91"/>
      <c r="L2918" s="94" t="str">
        <f t="shared" si="2"/>
        <v>No infirmation</v>
      </c>
      <c r="M2918" s="94" t="str">
        <f t="shared" si="3"/>
        <v/>
      </c>
    </row>
    <row r="2919" ht="15.75" customHeight="1">
      <c r="B2919" s="77">
        <f t="shared" si="1"/>
        <v>0</v>
      </c>
      <c r="C2919" s="67"/>
      <c r="D2919" s="78"/>
      <c r="E2919" s="101"/>
      <c r="F2919" s="108"/>
      <c r="G2919" s="120"/>
      <c r="H2919" s="101"/>
      <c r="I2919" s="93"/>
      <c r="J2919" s="91"/>
      <c r="L2919" s="94" t="str">
        <f t="shared" si="2"/>
        <v>No infirmation</v>
      </c>
      <c r="M2919" s="94" t="str">
        <f t="shared" si="3"/>
        <v/>
      </c>
    </row>
    <row r="2920" ht="15.75" customHeight="1">
      <c r="B2920" s="77">
        <f t="shared" si="1"/>
        <v>0</v>
      </c>
      <c r="C2920" s="67"/>
      <c r="D2920" s="78"/>
      <c r="E2920" s="101"/>
      <c r="F2920" s="108"/>
      <c r="G2920" s="120"/>
      <c r="H2920" s="101"/>
      <c r="I2920" s="93"/>
      <c r="J2920" s="91"/>
      <c r="L2920" s="94" t="str">
        <f t="shared" si="2"/>
        <v>No infirmation</v>
      </c>
      <c r="M2920" s="94" t="str">
        <f t="shared" si="3"/>
        <v/>
      </c>
    </row>
    <row r="2921" ht="15.75" customHeight="1">
      <c r="B2921" s="77">
        <f t="shared" si="1"/>
        <v>0</v>
      </c>
      <c r="C2921" s="67"/>
      <c r="D2921" s="78"/>
      <c r="E2921" s="101"/>
      <c r="F2921" s="108"/>
      <c r="G2921" s="120"/>
      <c r="H2921" s="101"/>
      <c r="I2921" s="93"/>
      <c r="J2921" s="91"/>
      <c r="L2921" s="94" t="str">
        <f t="shared" si="2"/>
        <v>No infirmation</v>
      </c>
      <c r="M2921" s="94" t="str">
        <f t="shared" si="3"/>
        <v/>
      </c>
    </row>
    <row r="2922" ht="15.75" customHeight="1">
      <c r="B2922" s="77">
        <f t="shared" si="1"/>
        <v>0</v>
      </c>
      <c r="C2922" s="67"/>
      <c r="D2922" s="78"/>
      <c r="E2922" s="101"/>
      <c r="F2922" s="108"/>
      <c r="G2922" s="120"/>
      <c r="H2922" s="101"/>
      <c r="I2922" s="93"/>
      <c r="J2922" s="91"/>
      <c r="L2922" s="94" t="str">
        <f t="shared" si="2"/>
        <v>No infirmation</v>
      </c>
      <c r="M2922" s="94" t="str">
        <f t="shared" si="3"/>
        <v/>
      </c>
    </row>
    <row r="2923" ht="15.75" customHeight="1">
      <c r="B2923" s="77">
        <f t="shared" si="1"/>
        <v>0</v>
      </c>
      <c r="C2923" s="67"/>
      <c r="D2923" s="78"/>
      <c r="E2923" s="101"/>
      <c r="F2923" s="108"/>
      <c r="G2923" s="120"/>
      <c r="H2923" s="101"/>
      <c r="I2923" s="93"/>
      <c r="J2923" s="91"/>
      <c r="L2923" s="94" t="str">
        <f t="shared" si="2"/>
        <v>No infirmation</v>
      </c>
      <c r="M2923" s="94" t="str">
        <f t="shared" si="3"/>
        <v/>
      </c>
    </row>
    <row r="2924" ht="15.75" customHeight="1">
      <c r="B2924" s="77">
        <f t="shared" si="1"/>
        <v>0</v>
      </c>
      <c r="C2924" s="67"/>
      <c r="D2924" s="78"/>
      <c r="E2924" s="101"/>
      <c r="F2924" s="108"/>
      <c r="G2924" s="120"/>
      <c r="H2924" s="101"/>
      <c r="I2924" s="93"/>
      <c r="J2924" s="91"/>
      <c r="L2924" s="94" t="str">
        <f t="shared" si="2"/>
        <v>No infirmation</v>
      </c>
      <c r="M2924" s="94" t="str">
        <f t="shared" si="3"/>
        <v/>
      </c>
    </row>
    <row r="2925" ht="15.75" customHeight="1">
      <c r="B2925" s="77">
        <f t="shared" si="1"/>
        <v>0</v>
      </c>
      <c r="C2925" s="67"/>
      <c r="D2925" s="78"/>
      <c r="E2925" s="101"/>
      <c r="F2925" s="108"/>
      <c r="G2925" s="120"/>
      <c r="H2925" s="101"/>
      <c r="I2925" s="93"/>
      <c r="J2925" s="91"/>
      <c r="L2925" s="94" t="str">
        <f t="shared" si="2"/>
        <v>No infirmation</v>
      </c>
      <c r="M2925" s="94" t="str">
        <f t="shared" si="3"/>
        <v/>
      </c>
    </row>
    <row r="2926" ht="15.75" customHeight="1">
      <c r="B2926" s="77">
        <f t="shared" si="1"/>
        <v>0</v>
      </c>
      <c r="C2926" s="67"/>
      <c r="D2926" s="78"/>
      <c r="E2926" s="101"/>
      <c r="F2926" s="108"/>
      <c r="G2926" s="120"/>
      <c r="H2926" s="101"/>
      <c r="I2926" s="93"/>
      <c r="J2926" s="91"/>
      <c r="L2926" s="94" t="str">
        <f t="shared" si="2"/>
        <v>No infirmation</v>
      </c>
      <c r="M2926" s="94" t="str">
        <f t="shared" si="3"/>
        <v/>
      </c>
    </row>
    <row r="2927" ht="15.75" customHeight="1">
      <c r="B2927" s="77">
        <f t="shared" si="1"/>
        <v>0</v>
      </c>
      <c r="C2927" s="67"/>
      <c r="D2927" s="78"/>
      <c r="E2927" s="101"/>
      <c r="F2927" s="108"/>
      <c r="G2927" s="120"/>
      <c r="H2927" s="101"/>
      <c r="I2927" s="93"/>
      <c r="J2927" s="91"/>
      <c r="L2927" s="94" t="str">
        <f t="shared" si="2"/>
        <v>No infirmation</v>
      </c>
      <c r="M2927" s="94" t="str">
        <f t="shared" si="3"/>
        <v/>
      </c>
    </row>
    <row r="2928" ht="15.75" customHeight="1">
      <c r="B2928" s="77">
        <f t="shared" si="1"/>
        <v>0</v>
      </c>
      <c r="C2928" s="67"/>
      <c r="D2928" s="78"/>
      <c r="E2928" s="101"/>
      <c r="F2928" s="108"/>
      <c r="G2928" s="120"/>
      <c r="H2928" s="101"/>
      <c r="I2928" s="93"/>
      <c r="J2928" s="91"/>
      <c r="L2928" s="94" t="str">
        <f t="shared" si="2"/>
        <v>No infirmation</v>
      </c>
      <c r="M2928" s="94" t="str">
        <f t="shared" si="3"/>
        <v/>
      </c>
    </row>
    <row r="2929" ht="15.75" customHeight="1">
      <c r="B2929" s="77">
        <f t="shared" si="1"/>
        <v>0</v>
      </c>
      <c r="C2929" s="67"/>
      <c r="D2929" s="78"/>
      <c r="E2929" s="101"/>
      <c r="F2929" s="108"/>
      <c r="G2929" s="120"/>
      <c r="H2929" s="101"/>
      <c r="I2929" s="93"/>
      <c r="J2929" s="91"/>
      <c r="L2929" s="94" t="str">
        <f t="shared" si="2"/>
        <v>No infirmation</v>
      </c>
      <c r="M2929" s="94" t="str">
        <f t="shared" si="3"/>
        <v/>
      </c>
    </row>
    <row r="2930" ht="15.75" customHeight="1">
      <c r="B2930" s="77">
        <f t="shared" si="1"/>
        <v>0</v>
      </c>
      <c r="C2930" s="67"/>
      <c r="D2930" s="78"/>
      <c r="E2930" s="101"/>
      <c r="F2930" s="108"/>
      <c r="G2930" s="120"/>
      <c r="H2930" s="101"/>
      <c r="I2930" s="93"/>
      <c r="J2930" s="91"/>
      <c r="L2930" s="94" t="str">
        <f t="shared" si="2"/>
        <v>No infirmation</v>
      </c>
      <c r="M2930" s="94" t="str">
        <f t="shared" si="3"/>
        <v/>
      </c>
    </row>
    <row r="2931" ht="15.75" customHeight="1">
      <c r="B2931" s="77">
        <f t="shared" si="1"/>
        <v>0</v>
      </c>
      <c r="C2931" s="67"/>
      <c r="D2931" s="78"/>
      <c r="E2931" s="101"/>
      <c r="F2931" s="108"/>
      <c r="G2931" s="120"/>
      <c r="H2931" s="101"/>
      <c r="I2931" s="93"/>
      <c r="J2931" s="91"/>
      <c r="L2931" s="94" t="str">
        <f t="shared" si="2"/>
        <v>No infirmation</v>
      </c>
      <c r="M2931" s="94" t="str">
        <f t="shared" si="3"/>
        <v/>
      </c>
    </row>
    <row r="2932" ht="15.75" customHeight="1">
      <c r="B2932" s="77">
        <f t="shared" si="1"/>
        <v>0</v>
      </c>
      <c r="C2932" s="67"/>
      <c r="D2932" s="78"/>
      <c r="E2932" s="101"/>
      <c r="F2932" s="108"/>
      <c r="G2932" s="120"/>
      <c r="H2932" s="101"/>
      <c r="I2932" s="93"/>
      <c r="J2932" s="91"/>
      <c r="L2932" s="94" t="str">
        <f t="shared" si="2"/>
        <v>No infirmation</v>
      </c>
      <c r="M2932" s="94" t="str">
        <f t="shared" si="3"/>
        <v/>
      </c>
    </row>
    <row r="2933" ht="15.75" customHeight="1">
      <c r="B2933" s="77">
        <f t="shared" si="1"/>
        <v>0</v>
      </c>
      <c r="C2933" s="67"/>
      <c r="D2933" s="78"/>
      <c r="E2933" s="101"/>
      <c r="F2933" s="108"/>
      <c r="G2933" s="120"/>
      <c r="H2933" s="101"/>
      <c r="I2933" s="93"/>
      <c r="J2933" s="91"/>
      <c r="L2933" s="94" t="str">
        <f t="shared" si="2"/>
        <v>No infirmation</v>
      </c>
      <c r="M2933" s="94" t="str">
        <f t="shared" si="3"/>
        <v/>
      </c>
    </row>
    <row r="2934" ht="15.75" customHeight="1">
      <c r="B2934" s="77">
        <f t="shared" si="1"/>
        <v>0</v>
      </c>
      <c r="C2934" s="67"/>
      <c r="D2934" s="78"/>
      <c r="E2934" s="101"/>
      <c r="F2934" s="108"/>
      <c r="G2934" s="120"/>
      <c r="H2934" s="101"/>
      <c r="I2934" s="93"/>
      <c r="J2934" s="91"/>
      <c r="L2934" s="94" t="str">
        <f t="shared" si="2"/>
        <v>No infirmation</v>
      </c>
      <c r="M2934" s="94" t="str">
        <f t="shared" si="3"/>
        <v/>
      </c>
    </row>
    <row r="2935" ht="15.75" customHeight="1">
      <c r="B2935" s="77">
        <f t="shared" si="1"/>
        <v>0</v>
      </c>
      <c r="C2935" s="67"/>
      <c r="D2935" s="78"/>
      <c r="E2935" s="101"/>
      <c r="F2935" s="108"/>
      <c r="G2935" s="120"/>
      <c r="H2935" s="101"/>
      <c r="I2935" s="93"/>
      <c r="J2935" s="91"/>
      <c r="L2935" s="94" t="str">
        <f t="shared" si="2"/>
        <v>No infirmation</v>
      </c>
      <c r="M2935" s="94" t="str">
        <f t="shared" si="3"/>
        <v/>
      </c>
    </row>
    <row r="2936" ht="15.75" customHeight="1">
      <c r="B2936" s="77">
        <f t="shared" si="1"/>
        <v>0</v>
      </c>
      <c r="C2936" s="67"/>
      <c r="D2936" s="78"/>
      <c r="E2936" s="101"/>
      <c r="F2936" s="108"/>
      <c r="G2936" s="120"/>
      <c r="H2936" s="101"/>
      <c r="I2936" s="93"/>
      <c r="J2936" s="91"/>
      <c r="L2936" s="94" t="str">
        <f t="shared" si="2"/>
        <v>No infirmation</v>
      </c>
      <c r="M2936" s="94" t="str">
        <f t="shared" si="3"/>
        <v/>
      </c>
    </row>
    <row r="2937" ht="15.75" customHeight="1">
      <c r="B2937" s="77">
        <f t="shared" si="1"/>
        <v>0</v>
      </c>
      <c r="C2937" s="67"/>
      <c r="D2937" s="78"/>
      <c r="E2937" s="101"/>
      <c r="F2937" s="108"/>
      <c r="G2937" s="120"/>
      <c r="H2937" s="101"/>
      <c r="I2937" s="93"/>
      <c r="J2937" s="91"/>
      <c r="L2937" s="94" t="str">
        <f t="shared" si="2"/>
        <v>No infirmation</v>
      </c>
      <c r="M2937" s="94" t="str">
        <f t="shared" si="3"/>
        <v/>
      </c>
    </row>
    <row r="2938" ht="15.75" customHeight="1">
      <c r="B2938" s="77">
        <f t="shared" si="1"/>
        <v>0</v>
      </c>
      <c r="C2938" s="67"/>
      <c r="D2938" s="78"/>
      <c r="E2938" s="101"/>
      <c r="F2938" s="108"/>
      <c r="G2938" s="120"/>
      <c r="H2938" s="101"/>
      <c r="I2938" s="93"/>
      <c r="J2938" s="91"/>
      <c r="L2938" s="94" t="str">
        <f t="shared" si="2"/>
        <v>No infirmation</v>
      </c>
      <c r="M2938" s="94" t="str">
        <f t="shared" si="3"/>
        <v/>
      </c>
    </row>
    <row r="2939" ht="15.75" customHeight="1">
      <c r="B2939" s="77">
        <f t="shared" si="1"/>
        <v>0</v>
      </c>
      <c r="C2939" s="67"/>
      <c r="D2939" s="78"/>
      <c r="E2939" s="101"/>
      <c r="F2939" s="108"/>
      <c r="G2939" s="120"/>
      <c r="H2939" s="101"/>
      <c r="I2939" s="93"/>
      <c r="J2939" s="91"/>
      <c r="L2939" s="94" t="str">
        <f t="shared" si="2"/>
        <v>No infirmation</v>
      </c>
      <c r="M2939" s="94" t="str">
        <f t="shared" si="3"/>
        <v/>
      </c>
    </row>
    <row r="2940" ht="15.75" customHeight="1">
      <c r="B2940" s="77">
        <f t="shared" si="1"/>
        <v>0</v>
      </c>
      <c r="C2940" s="67"/>
      <c r="D2940" s="78"/>
      <c r="E2940" s="101"/>
      <c r="F2940" s="108"/>
      <c r="G2940" s="120"/>
      <c r="H2940" s="101"/>
      <c r="I2940" s="93"/>
      <c r="J2940" s="91"/>
      <c r="L2940" s="94" t="str">
        <f t="shared" si="2"/>
        <v>No infirmation</v>
      </c>
      <c r="M2940" s="94" t="str">
        <f t="shared" si="3"/>
        <v/>
      </c>
    </row>
    <row r="2941" ht="15.75" customHeight="1">
      <c r="B2941" s="77">
        <f t="shared" si="1"/>
        <v>0</v>
      </c>
      <c r="C2941" s="67"/>
      <c r="D2941" s="78"/>
      <c r="E2941" s="101"/>
      <c r="F2941" s="108"/>
      <c r="G2941" s="120"/>
      <c r="H2941" s="101"/>
      <c r="I2941" s="93"/>
      <c r="J2941" s="91"/>
      <c r="L2941" s="94" t="str">
        <f t="shared" si="2"/>
        <v>No infirmation</v>
      </c>
      <c r="M2941" s="94" t="str">
        <f t="shared" si="3"/>
        <v/>
      </c>
    </row>
    <row r="2942" ht="15.75" customHeight="1">
      <c r="B2942" s="77">
        <f t="shared" si="1"/>
        <v>0</v>
      </c>
      <c r="C2942" s="67"/>
      <c r="D2942" s="78"/>
      <c r="E2942" s="101"/>
      <c r="F2942" s="108"/>
      <c r="G2942" s="120"/>
      <c r="H2942" s="101"/>
      <c r="I2942" s="93"/>
      <c r="J2942" s="91"/>
      <c r="L2942" s="94" t="str">
        <f t="shared" si="2"/>
        <v>No infirmation</v>
      </c>
      <c r="M2942" s="94" t="str">
        <f t="shared" si="3"/>
        <v/>
      </c>
    </row>
    <row r="2943" ht="15.75" customHeight="1">
      <c r="B2943" s="77">
        <f t="shared" si="1"/>
        <v>0</v>
      </c>
      <c r="C2943" s="67"/>
      <c r="D2943" s="78"/>
      <c r="E2943" s="101"/>
      <c r="F2943" s="108"/>
      <c r="G2943" s="120"/>
      <c r="H2943" s="101"/>
      <c r="I2943" s="93"/>
      <c r="J2943" s="91"/>
      <c r="L2943" s="94" t="str">
        <f t="shared" si="2"/>
        <v>No infirmation</v>
      </c>
      <c r="M2943" s="94" t="str">
        <f t="shared" si="3"/>
        <v/>
      </c>
    </row>
    <row r="2944" ht="15.75" customHeight="1">
      <c r="B2944" s="77">
        <f t="shared" si="1"/>
        <v>0</v>
      </c>
      <c r="C2944" s="67"/>
      <c r="D2944" s="78"/>
      <c r="E2944" s="101"/>
      <c r="F2944" s="108"/>
      <c r="G2944" s="120"/>
      <c r="H2944" s="101"/>
      <c r="I2944" s="93"/>
      <c r="J2944" s="91"/>
      <c r="L2944" s="94" t="str">
        <f t="shared" si="2"/>
        <v>No infirmation</v>
      </c>
      <c r="M2944" s="94" t="str">
        <f t="shared" si="3"/>
        <v/>
      </c>
    </row>
    <row r="2945" ht="15.75" customHeight="1">
      <c r="B2945" s="77">
        <f t="shared" si="1"/>
        <v>0</v>
      </c>
      <c r="C2945" s="67"/>
      <c r="D2945" s="78"/>
      <c r="E2945" s="101"/>
      <c r="F2945" s="108"/>
      <c r="G2945" s="120"/>
      <c r="H2945" s="101"/>
      <c r="I2945" s="93"/>
      <c r="J2945" s="91"/>
      <c r="L2945" s="94" t="str">
        <f t="shared" si="2"/>
        <v>No infirmation</v>
      </c>
      <c r="M2945" s="94" t="str">
        <f t="shared" si="3"/>
        <v/>
      </c>
    </row>
    <row r="2946" ht="15.75" customHeight="1">
      <c r="B2946" s="77">
        <f t="shared" si="1"/>
        <v>0</v>
      </c>
      <c r="C2946" s="67"/>
      <c r="D2946" s="78"/>
      <c r="E2946" s="101"/>
      <c r="F2946" s="108"/>
      <c r="G2946" s="120"/>
      <c r="H2946" s="101"/>
      <c r="I2946" s="93"/>
      <c r="J2946" s="91"/>
      <c r="L2946" s="94" t="str">
        <f t="shared" si="2"/>
        <v>No infirmation</v>
      </c>
      <c r="M2946" s="94" t="str">
        <f t="shared" si="3"/>
        <v/>
      </c>
    </row>
    <row r="2947" ht="15.75" customHeight="1">
      <c r="B2947" s="77">
        <f t="shared" si="1"/>
        <v>0</v>
      </c>
      <c r="C2947" s="67"/>
      <c r="D2947" s="78"/>
      <c r="E2947" s="101"/>
      <c r="F2947" s="108"/>
      <c r="G2947" s="120"/>
      <c r="H2947" s="101"/>
      <c r="I2947" s="93"/>
      <c r="J2947" s="91"/>
      <c r="L2947" s="94" t="str">
        <f t="shared" si="2"/>
        <v>No infirmation</v>
      </c>
      <c r="M2947" s="94" t="str">
        <f t="shared" si="3"/>
        <v/>
      </c>
    </row>
    <row r="2948" ht="15.75" customHeight="1">
      <c r="B2948" s="77">
        <f t="shared" si="1"/>
        <v>0</v>
      </c>
      <c r="C2948" s="67"/>
      <c r="D2948" s="78"/>
      <c r="E2948" s="101"/>
      <c r="F2948" s="108"/>
      <c r="G2948" s="120"/>
      <c r="H2948" s="101"/>
      <c r="I2948" s="93"/>
      <c r="J2948" s="91"/>
      <c r="L2948" s="94" t="str">
        <f t="shared" si="2"/>
        <v>No infirmation</v>
      </c>
      <c r="M2948" s="94" t="str">
        <f t="shared" si="3"/>
        <v/>
      </c>
    </row>
    <row r="2949" ht="15.75" customHeight="1">
      <c r="B2949" s="77">
        <f t="shared" si="1"/>
        <v>0</v>
      </c>
      <c r="C2949" s="67"/>
      <c r="D2949" s="78"/>
      <c r="E2949" s="101"/>
      <c r="F2949" s="108"/>
      <c r="G2949" s="120"/>
      <c r="H2949" s="101"/>
      <c r="I2949" s="93"/>
      <c r="J2949" s="91"/>
      <c r="L2949" s="94" t="str">
        <f t="shared" si="2"/>
        <v>No infirmation</v>
      </c>
      <c r="M2949" s="94" t="str">
        <f t="shared" si="3"/>
        <v/>
      </c>
    </row>
    <row r="2950" ht="15.75" customHeight="1">
      <c r="B2950" s="77">
        <f t="shared" si="1"/>
        <v>0</v>
      </c>
      <c r="C2950" s="67"/>
      <c r="D2950" s="78"/>
      <c r="E2950" s="101"/>
      <c r="F2950" s="108"/>
      <c r="G2950" s="120"/>
      <c r="H2950" s="101"/>
      <c r="I2950" s="93"/>
      <c r="J2950" s="91"/>
      <c r="L2950" s="94" t="str">
        <f t="shared" si="2"/>
        <v>No infirmation</v>
      </c>
      <c r="M2950" s="94" t="str">
        <f t="shared" si="3"/>
        <v/>
      </c>
    </row>
    <row r="2951" ht="15.75" customHeight="1">
      <c r="B2951" s="77">
        <f t="shared" si="1"/>
        <v>0</v>
      </c>
      <c r="C2951" s="67"/>
      <c r="D2951" s="78"/>
      <c r="E2951" s="101"/>
      <c r="F2951" s="108"/>
      <c r="G2951" s="120"/>
      <c r="H2951" s="101"/>
      <c r="I2951" s="93"/>
      <c r="J2951" s="91"/>
      <c r="L2951" s="94" t="str">
        <f t="shared" si="2"/>
        <v>No infirmation</v>
      </c>
      <c r="M2951" s="94" t="str">
        <f t="shared" si="3"/>
        <v/>
      </c>
    </row>
    <row r="2952" ht="15.75" customHeight="1">
      <c r="B2952" s="77">
        <f t="shared" si="1"/>
        <v>0</v>
      </c>
      <c r="C2952" s="67"/>
      <c r="D2952" s="78"/>
      <c r="E2952" s="101"/>
      <c r="F2952" s="108"/>
      <c r="G2952" s="120"/>
      <c r="H2952" s="101"/>
      <c r="I2952" s="93"/>
      <c r="J2952" s="91"/>
      <c r="L2952" s="94" t="str">
        <f t="shared" si="2"/>
        <v>No infirmation</v>
      </c>
      <c r="M2952" s="94" t="str">
        <f t="shared" si="3"/>
        <v/>
      </c>
    </row>
    <row r="2953" ht="15.75" customHeight="1">
      <c r="B2953" s="77">
        <f t="shared" si="1"/>
        <v>0</v>
      </c>
      <c r="C2953" s="67"/>
      <c r="D2953" s="78"/>
      <c r="E2953" s="101"/>
      <c r="F2953" s="108"/>
      <c r="G2953" s="120"/>
      <c r="H2953" s="101"/>
      <c r="I2953" s="93"/>
      <c r="J2953" s="91"/>
      <c r="L2953" s="94" t="str">
        <f t="shared" si="2"/>
        <v>No infirmation</v>
      </c>
      <c r="M2953" s="94" t="str">
        <f t="shared" si="3"/>
        <v/>
      </c>
    </row>
    <row r="2954" ht="15.75" customHeight="1">
      <c r="B2954" s="77">
        <f t="shared" si="1"/>
        <v>0</v>
      </c>
      <c r="C2954" s="67"/>
      <c r="D2954" s="78"/>
      <c r="E2954" s="101"/>
      <c r="F2954" s="108"/>
      <c r="G2954" s="120"/>
      <c r="H2954" s="101"/>
      <c r="I2954" s="93"/>
      <c r="J2954" s="91"/>
      <c r="L2954" s="94" t="str">
        <f t="shared" si="2"/>
        <v>No infirmation</v>
      </c>
      <c r="M2954" s="94" t="str">
        <f t="shared" si="3"/>
        <v/>
      </c>
    </row>
    <row r="2955" ht="15.75" customHeight="1">
      <c r="B2955" s="77">
        <f t="shared" si="1"/>
        <v>0</v>
      </c>
      <c r="C2955" s="67"/>
      <c r="D2955" s="78"/>
      <c r="E2955" s="101"/>
      <c r="F2955" s="108"/>
      <c r="G2955" s="120"/>
      <c r="H2955" s="101"/>
      <c r="I2955" s="93"/>
      <c r="J2955" s="91"/>
      <c r="L2955" s="94" t="str">
        <f t="shared" si="2"/>
        <v>No infirmation</v>
      </c>
      <c r="M2955" s="94" t="str">
        <f t="shared" si="3"/>
        <v/>
      </c>
    </row>
    <row r="2956" ht="15.75" customHeight="1">
      <c r="B2956" s="77">
        <f t="shared" si="1"/>
        <v>0</v>
      </c>
      <c r="C2956" s="67"/>
      <c r="D2956" s="78"/>
      <c r="E2956" s="101"/>
      <c r="F2956" s="108"/>
      <c r="G2956" s="120"/>
      <c r="H2956" s="101"/>
      <c r="I2956" s="93"/>
      <c r="J2956" s="91"/>
      <c r="L2956" s="94" t="str">
        <f t="shared" si="2"/>
        <v>No infirmation</v>
      </c>
      <c r="M2956" s="94" t="str">
        <f t="shared" si="3"/>
        <v/>
      </c>
    </row>
    <row r="2957" ht="15.75" customHeight="1">
      <c r="B2957" s="77">
        <f t="shared" si="1"/>
        <v>0</v>
      </c>
      <c r="C2957" s="67"/>
      <c r="D2957" s="78"/>
      <c r="E2957" s="101"/>
      <c r="F2957" s="108"/>
      <c r="G2957" s="120"/>
      <c r="H2957" s="101"/>
      <c r="I2957" s="93"/>
      <c r="J2957" s="91"/>
      <c r="L2957" s="94" t="str">
        <f t="shared" si="2"/>
        <v>No infirmation</v>
      </c>
      <c r="M2957" s="94" t="str">
        <f t="shared" si="3"/>
        <v/>
      </c>
    </row>
    <row r="2958" ht="15.75" customHeight="1">
      <c r="B2958" s="77">
        <f t="shared" si="1"/>
        <v>0</v>
      </c>
      <c r="C2958" s="67"/>
      <c r="D2958" s="78"/>
      <c r="E2958" s="101"/>
      <c r="F2958" s="108"/>
      <c r="G2958" s="120"/>
      <c r="H2958" s="101"/>
      <c r="I2958" s="93"/>
      <c r="J2958" s="91"/>
      <c r="L2958" s="94" t="str">
        <f t="shared" si="2"/>
        <v>No infirmation</v>
      </c>
      <c r="M2958" s="94" t="str">
        <f t="shared" si="3"/>
        <v/>
      </c>
    </row>
    <row r="2959" ht="15.75" customHeight="1">
      <c r="B2959" s="77">
        <f t="shared" si="1"/>
        <v>0</v>
      </c>
      <c r="C2959" s="67"/>
      <c r="D2959" s="78"/>
      <c r="E2959" s="101"/>
      <c r="F2959" s="108"/>
      <c r="G2959" s="120"/>
      <c r="H2959" s="101"/>
      <c r="I2959" s="93"/>
      <c r="J2959" s="91"/>
      <c r="L2959" s="94" t="str">
        <f t="shared" si="2"/>
        <v>No infirmation</v>
      </c>
      <c r="M2959" s="94" t="str">
        <f t="shared" si="3"/>
        <v/>
      </c>
    </row>
    <row r="2960" ht="15.75" customHeight="1">
      <c r="B2960" s="77">
        <f t="shared" si="1"/>
        <v>0</v>
      </c>
      <c r="C2960" s="67"/>
      <c r="D2960" s="78"/>
      <c r="E2960" s="101"/>
      <c r="F2960" s="108"/>
      <c r="G2960" s="120"/>
      <c r="H2960" s="101"/>
      <c r="I2960" s="93"/>
      <c r="J2960" s="91"/>
      <c r="L2960" s="94" t="str">
        <f t="shared" si="2"/>
        <v>No infirmation</v>
      </c>
      <c r="M2960" s="94" t="str">
        <f t="shared" si="3"/>
        <v/>
      </c>
    </row>
    <row r="2961" ht="15.75" customHeight="1">
      <c r="B2961" s="77">
        <f t="shared" si="1"/>
        <v>0</v>
      </c>
      <c r="C2961" s="67"/>
      <c r="D2961" s="78"/>
      <c r="E2961" s="101"/>
      <c r="F2961" s="108"/>
      <c r="G2961" s="120"/>
      <c r="H2961" s="101"/>
      <c r="I2961" s="93"/>
      <c r="J2961" s="91"/>
      <c r="L2961" s="94" t="str">
        <f t="shared" si="2"/>
        <v>No infirmation</v>
      </c>
      <c r="M2961" s="94" t="str">
        <f t="shared" si="3"/>
        <v/>
      </c>
    </row>
    <row r="2962" ht="15.75" customHeight="1">
      <c r="B2962" s="77">
        <f t="shared" si="1"/>
        <v>0</v>
      </c>
      <c r="C2962" s="67"/>
      <c r="D2962" s="78"/>
      <c r="E2962" s="101"/>
      <c r="F2962" s="108"/>
      <c r="G2962" s="120"/>
      <c r="H2962" s="101"/>
      <c r="I2962" s="93"/>
      <c r="J2962" s="91"/>
      <c r="L2962" s="94" t="str">
        <f t="shared" si="2"/>
        <v>No infirmation</v>
      </c>
      <c r="M2962" s="94" t="str">
        <f t="shared" si="3"/>
        <v/>
      </c>
    </row>
    <row r="2963" ht="15.75" customHeight="1">
      <c r="B2963" s="77">
        <f t="shared" si="1"/>
        <v>0</v>
      </c>
      <c r="C2963" s="67"/>
      <c r="D2963" s="78"/>
      <c r="E2963" s="101"/>
      <c r="F2963" s="108"/>
      <c r="G2963" s="120"/>
      <c r="H2963" s="101"/>
      <c r="I2963" s="93"/>
      <c r="J2963" s="91"/>
      <c r="L2963" s="94" t="str">
        <f t="shared" si="2"/>
        <v>No infirmation</v>
      </c>
      <c r="M2963" s="94" t="str">
        <f t="shared" si="3"/>
        <v/>
      </c>
    </row>
    <row r="2964" ht="15.75" customHeight="1">
      <c r="B2964" s="77">
        <f t="shared" si="1"/>
        <v>0</v>
      </c>
      <c r="C2964" s="67"/>
      <c r="D2964" s="78"/>
      <c r="E2964" s="101"/>
      <c r="F2964" s="108"/>
      <c r="G2964" s="120"/>
      <c r="H2964" s="101"/>
      <c r="I2964" s="93"/>
      <c r="J2964" s="91"/>
      <c r="L2964" s="94" t="str">
        <f t="shared" si="2"/>
        <v>No infirmation</v>
      </c>
      <c r="M2964" s="94" t="str">
        <f t="shared" si="3"/>
        <v/>
      </c>
    </row>
    <row r="2965" ht="15.75" customHeight="1">
      <c r="B2965" s="77">
        <f t="shared" si="1"/>
        <v>0</v>
      </c>
      <c r="C2965" s="67"/>
      <c r="D2965" s="78"/>
      <c r="E2965" s="101"/>
      <c r="F2965" s="108"/>
      <c r="G2965" s="120"/>
      <c r="H2965" s="101"/>
      <c r="I2965" s="93"/>
      <c r="J2965" s="91"/>
      <c r="L2965" s="94" t="str">
        <f t="shared" si="2"/>
        <v>No infirmation</v>
      </c>
      <c r="M2965" s="94" t="str">
        <f t="shared" si="3"/>
        <v/>
      </c>
    </row>
    <row r="2966" ht="15.75" customHeight="1">
      <c r="B2966" s="77">
        <f t="shared" si="1"/>
        <v>0</v>
      </c>
      <c r="C2966" s="67"/>
      <c r="D2966" s="78"/>
      <c r="E2966" s="101"/>
      <c r="F2966" s="108"/>
      <c r="G2966" s="120"/>
      <c r="H2966" s="101"/>
      <c r="I2966" s="93"/>
      <c r="J2966" s="91"/>
      <c r="L2966" s="94" t="str">
        <f t="shared" si="2"/>
        <v>No infirmation</v>
      </c>
      <c r="M2966" s="94" t="str">
        <f t="shared" si="3"/>
        <v/>
      </c>
    </row>
    <row r="2967" ht="15.75" customHeight="1">
      <c r="B2967" s="77">
        <f t="shared" si="1"/>
        <v>0</v>
      </c>
      <c r="C2967" s="67"/>
      <c r="D2967" s="78"/>
      <c r="E2967" s="101"/>
      <c r="F2967" s="108"/>
      <c r="G2967" s="120"/>
      <c r="H2967" s="101"/>
      <c r="I2967" s="93"/>
      <c r="J2967" s="91"/>
      <c r="L2967" s="94" t="str">
        <f t="shared" si="2"/>
        <v>No infirmation</v>
      </c>
      <c r="M2967" s="94" t="str">
        <f t="shared" si="3"/>
        <v/>
      </c>
    </row>
    <row r="2968" ht="15.75" customHeight="1">
      <c r="B2968" s="77">
        <f t="shared" si="1"/>
        <v>0</v>
      </c>
      <c r="C2968" s="67"/>
      <c r="D2968" s="78"/>
      <c r="E2968" s="101"/>
      <c r="F2968" s="108"/>
      <c r="G2968" s="120"/>
      <c r="H2968" s="101"/>
      <c r="I2968" s="93"/>
      <c r="J2968" s="91"/>
      <c r="L2968" s="94" t="str">
        <f t="shared" si="2"/>
        <v>No infirmation</v>
      </c>
      <c r="M2968" s="94" t="str">
        <f t="shared" si="3"/>
        <v/>
      </c>
    </row>
    <row r="2969" ht="15.75" customHeight="1">
      <c r="B2969" s="77">
        <f t="shared" si="1"/>
        <v>0</v>
      </c>
      <c r="C2969" s="67"/>
      <c r="D2969" s="78"/>
      <c r="E2969" s="101"/>
      <c r="F2969" s="108"/>
      <c r="G2969" s="120"/>
      <c r="H2969" s="101"/>
      <c r="I2969" s="93"/>
      <c r="J2969" s="91"/>
      <c r="L2969" s="94" t="str">
        <f t="shared" si="2"/>
        <v>No infirmation</v>
      </c>
      <c r="M2969" s="94" t="str">
        <f t="shared" si="3"/>
        <v/>
      </c>
    </row>
    <row r="2970" ht="15.75" customHeight="1">
      <c r="B2970" s="77">
        <f t="shared" si="1"/>
        <v>0</v>
      </c>
      <c r="C2970" s="67"/>
      <c r="D2970" s="78"/>
      <c r="E2970" s="101"/>
      <c r="F2970" s="108"/>
      <c r="G2970" s="120"/>
      <c r="H2970" s="101"/>
      <c r="I2970" s="93"/>
      <c r="J2970" s="91"/>
      <c r="L2970" s="94" t="str">
        <f t="shared" si="2"/>
        <v>No infirmation</v>
      </c>
      <c r="M2970" s="94" t="str">
        <f t="shared" si="3"/>
        <v/>
      </c>
    </row>
    <row r="2971" ht="15.75" customHeight="1">
      <c r="B2971" s="77">
        <f t="shared" si="1"/>
        <v>0</v>
      </c>
      <c r="C2971" s="67"/>
      <c r="D2971" s="78"/>
      <c r="E2971" s="101"/>
      <c r="F2971" s="108"/>
      <c r="G2971" s="120"/>
      <c r="H2971" s="101"/>
      <c r="I2971" s="93"/>
      <c r="J2971" s="91"/>
      <c r="L2971" s="94" t="str">
        <f t="shared" si="2"/>
        <v>No infirmation</v>
      </c>
      <c r="M2971" s="94" t="str">
        <f t="shared" si="3"/>
        <v/>
      </c>
    </row>
    <row r="2972" ht="15.75" customHeight="1">
      <c r="B2972" s="77">
        <f t="shared" si="1"/>
        <v>0</v>
      </c>
      <c r="C2972" s="67"/>
      <c r="D2972" s="78"/>
      <c r="E2972" s="101"/>
      <c r="F2972" s="108"/>
      <c r="G2972" s="120"/>
      <c r="H2972" s="101"/>
      <c r="I2972" s="93"/>
      <c r="J2972" s="91"/>
      <c r="L2972" s="94" t="str">
        <f t="shared" si="2"/>
        <v>No infirmation</v>
      </c>
      <c r="M2972" s="94" t="str">
        <f t="shared" si="3"/>
        <v/>
      </c>
    </row>
    <row r="2973" ht="15.75" customHeight="1">
      <c r="B2973" s="77">
        <f t="shared" si="1"/>
        <v>0</v>
      </c>
      <c r="C2973" s="67"/>
      <c r="D2973" s="78"/>
      <c r="E2973" s="101"/>
      <c r="F2973" s="108"/>
      <c r="G2973" s="120"/>
      <c r="H2973" s="101"/>
      <c r="I2973" s="93"/>
      <c r="J2973" s="91"/>
      <c r="L2973" s="94" t="str">
        <f t="shared" si="2"/>
        <v>No infirmation</v>
      </c>
      <c r="M2973" s="94" t="str">
        <f t="shared" si="3"/>
        <v/>
      </c>
    </row>
    <row r="2974" ht="15.75" customHeight="1">
      <c r="B2974" s="77">
        <f t="shared" si="1"/>
        <v>0</v>
      </c>
      <c r="C2974" s="67"/>
      <c r="D2974" s="78"/>
      <c r="E2974" s="101"/>
      <c r="F2974" s="108"/>
      <c r="G2974" s="120"/>
      <c r="H2974" s="101"/>
      <c r="I2974" s="93"/>
      <c r="J2974" s="91"/>
      <c r="L2974" s="94" t="str">
        <f t="shared" si="2"/>
        <v>No infirmation</v>
      </c>
      <c r="M2974" s="94" t="str">
        <f t="shared" si="3"/>
        <v/>
      </c>
    </row>
    <row r="2975" ht="15.75" customHeight="1">
      <c r="B2975" s="77">
        <f t="shared" si="1"/>
        <v>0</v>
      </c>
      <c r="C2975" s="67"/>
      <c r="D2975" s="78"/>
      <c r="E2975" s="101"/>
      <c r="F2975" s="108"/>
      <c r="G2975" s="120"/>
      <c r="H2975" s="101"/>
      <c r="I2975" s="93"/>
      <c r="J2975" s="91"/>
      <c r="L2975" s="94" t="str">
        <f t="shared" si="2"/>
        <v>No infirmation</v>
      </c>
      <c r="M2975" s="94" t="str">
        <f t="shared" si="3"/>
        <v/>
      </c>
    </row>
    <row r="2976" ht="15.75" customHeight="1">
      <c r="B2976" s="77">
        <f t="shared" si="1"/>
        <v>0</v>
      </c>
      <c r="C2976" s="67"/>
      <c r="D2976" s="78"/>
      <c r="E2976" s="101"/>
      <c r="F2976" s="108"/>
      <c r="G2976" s="120"/>
      <c r="H2976" s="101"/>
      <c r="I2976" s="93"/>
      <c r="J2976" s="91"/>
      <c r="L2976" s="94" t="str">
        <f t="shared" si="2"/>
        <v>No infirmation</v>
      </c>
      <c r="M2976" s="94" t="str">
        <f t="shared" si="3"/>
        <v/>
      </c>
    </row>
    <row r="2977" ht="15.75" customHeight="1">
      <c r="B2977" s="77">
        <f t="shared" si="1"/>
        <v>0</v>
      </c>
      <c r="C2977" s="67"/>
      <c r="D2977" s="78"/>
      <c r="E2977" s="101"/>
      <c r="F2977" s="108"/>
      <c r="G2977" s="120"/>
      <c r="H2977" s="101"/>
      <c r="I2977" s="93"/>
      <c r="J2977" s="91"/>
      <c r="L2977" s="94" t="str">
        <f t="shared" si="2"/>
        <v>No infirmation</v>
      </c>
      <c r="M2977" s="94" t="str">
        <f t="shared" si="3"/>
        <v/>
      </c>
    </row>
    <row r="2978" ht="15.75" customHeight="1">
      <c r="B2978" s="77">
        <f t="shared" si="1"/>
        <v>0</v>
      </c>
      <c r="C2978" s="67"/>
      <c r="D2978" s="78"/>
      <c r="E2978" s="101"/>
      <c r="F2978" s="108"/>
      <c r="G2978" s="120"/>
      <c r="H2978" s="101"/>
      <c r="I2978" s="93"/>
      <c r="J2978" s="91"/>
      <c r="L2978" s="94" t="str">
        <f t="shared" si="2"/>
        <v>No infirmation</v>
      </c>
      <c r="M2978" s="94" t="str">
        <f t="shared" si="3"/>
        <v/>
      </c>
    </row>
    <row r="2979" ht="15.75" customHeight="1">
      <c r="B2979" s="77">
        <f t="shared" si="1"/>
        <v>0</v>
      </c>
      <c r="C2979" s="67"/>
      <c r="D2979" s="78"/>
      <c r="E2979" s="101"/>
      <c r="F2979" s="108"/>
      <c r="G2979" s="120"/>
      <c r="H2979" s="101"/>
      <c r="I2979" s="93"/>
      <c r="J2979" s="91"/>
      <c r="L2979" s="94" t="str">
        <f t="shared" si="2"/>
        <v>No infirmation</v>
      </c>
      <c r="M2979" s="94" t="str">
        <f t="shared" si="3"/>
        <v/>
      </c>
    </row>
    <row r="2980" ht="15.75" customHeight="1">
      <c r="B2980" s="77">
        <f t="shared" si="1"/>
        <v>0</v>
      </c>
      <c r="C2980" s="67"/>
      <c r="D2980" s="78"/>
      <c r="E2980" s="101"/>
      <c r="F2980" s="108"/>
      <c r="G2980" s="120"/>
      <c r="H2980" s="101"/>
      <c r="I2980" s="93"/>
      <c r="J2980" s="91"/>
      <c r="L2980" s="94" t="str">
        <f t="shared" si="2"/>
        <v>No infirmation</v>
      </c>
      <c r="M2980" s="94" t="str">
        <f t="shared" si="3"/>
        <v/>
      </c>
    </row>
    <row r="2981" ht="15.75" customHeight="1">
      <c r="B2981" s="77">
        <f t="shared" si="1"/>
        <v>0</v>
      </c>
      <c r="C2981" s="67"/>
      <c r="D2981" s="78"/>
      <c r="E2981" s="101"/>
      <c r="F2981" s="108"/>
      <c r="G2981" s="120"/>
      <c r="H2981" s="101"/>
      <c r="I2981" s="93"/>
      <c r="J2981" s="91"/>
      <c r="L2981" s="94" t="str">
        <f t="shared" si="2"/>
        <v>No infirmation</v>
      </c>
      <c r="M2981" s="94" t="str">
        <f t="shared" si="3"/>
        <v/>
      </c>
    </row>
    <row r="2982" ht="15.75" customHeight="1">
      <c r="B2982" s="77">
        <f t="shared" si="1"/>
        <v>0</v>
      </c>
      <c r="C2982" s="67"/>
      <c r="D2982" s="78"/>
      <c r="E2982" s="101"/>
      <c r="F2982" s="108"/>
      <c r="G2982" s="120"/>
      <c r="H2982" s="101"/>
      <c r="I2982" s="93"/>
      <c r="J2982" s="91"/>
      <c r="L2982" s="94" t="str">
        <f t="shared" si="2"/>
        <v>No infirmation</v>
      </c>
      <c r="M2982" s="94" t="str">
        <f t="shared" si="3"/>
        <v/>
      </c>
    </row>
    <row r="2983" ht="15.75" customHeight="1">
      <c r="B2983" s="77">
        <f t="shared" si="1"/>
        <v>0</v>
      </c>
      <c r="C2983" s="67"/>
      <c r="D2983" s="78"/>
      <c r="E2983" s="101"/>
      <c r="F2983" s="108"/>
      <c r="G2983" s="120"/>
      <c r="H2983" s="101"/>
      <c r="I2983" s="93"/>
      <c r="J2983" s="91"/>
      <c r="L2983" s="94" t="str">
        <f t="shared" si="2"/>
        <v>No infirmation</v>
      </c>
      <c r="M2983" s="94" t="str">
        <f t="shared" si="3"/>
        <v/>
      </c>
    </row>
    <row r="2984" ht="15.75" customHeight="1">
      <c r="B2984" s="77">
        <f t="shared" si="1"/>
        <v>0</v>
      </c>
      <c r="C2984" s="67"/>
      <c r="D2984" s="78"/>
      <c r="E2984" s="101"/>
      <c r="F2984" s="108"/>
      <c r="G2984" s="120"/>
      <c r="H2984" s="101"/>
      <c r="I2984" s="93"/>
      <c r="J2984" s="91"/>
      <c r="L2984" s="94" t="str">
        <f t="shared" si="2"/>
        <v>No infirmation</v>
      </c>
      <c r="M2984" s="94" t="str">
        <f t="shared" si="3"/>
        <v/>
      </c>
    </row>
    <row r="2985" ht="15.75" customHeight="1">
      <c r="B2985" s="77">
        <f t="shared" si="1"/>
        <v>0</v>
      </c>
      <c r="C2985" s="67"/>
      <c r="D2985" s="78"/>
      <c r="E2985" s="101"/>
      <c r="F2985" s="108"/>
      <c r="G2985" s="120"/>
      <c r="H2985" s="101"/>
      <c r="I2985" s="93"/>
      <c r="J2985" s="91"/>
      <c r="L2985" s="94" t="str">
        <f t="shared" si="2"/>
        <v>No infirmation</v>
      </c>
      <c r="M2985" s="94" t="str">
        <f t="shared" si="3"/>
        <v/>
      </c>
    </row>
    <row r="2986" ht="15.75" customHeight="1">
      <c r="B2986" s="77">
        <f t="shared" si="1"/>
        <v>0</v>
      </c>
      <c r="C2986" s="67"/>
      <c r="D2986" s="78"/>
      <c r="E2986" s="101"/>
      <c r="F2986" s="108"/>
      <c r="G2986" s="120"/>
      <c r="H2986" s="101"/>
      <c r="I2986" s="93"/>
      <c r="J2986" s="91"/>
      <c r="L2986" s="94" t="str">
        <f t="shared" si="2"/>
        <v>No infirmation</v>
      </c>
      <c r="M2986" s="94" t="str">
        <f t="shared" si="3"/>
        <v/>
      </c>
    </row>
    <row r="2987" ht="15.75" customHeight="1">
      <c r="B2987" s="77">
        <f t="shared" si="1"/>
        <v>0</v>
      </c>
      <c r="C2987" s="67"/>
      <c r="D2987" s="78"/>
      <c r="E2987" s="101"/>
      <c r="F2987" s="108"/>
      <c r="G2987" s="120"/>
      <c r="H2987" s="101"/>
      <c r="I2987" s="93"/>
      <c r="J2987" s="91"/>
      <c r="L2987" s="94" t="str">
        <f t="shared" si="2"/>
        <v>No infirmation</v>
      </c>
      <c r="M2987" s="94" t="str">
        <f t="shared" si="3"/>
        <v/>
      </c>
    </row>
    <row r="2988" ht="15.75" customHeight="1">
      <c r="B2988" s="77">
        <f t="shared" si="1"/>
        <v>0</v>
      </c>
      <c r="C2988" s="67"/>
      <c r="D2988" s="78"/>
      <c r="E2988" s="101"/>
      <c r="F2988" s="108"/>
      <c r="G2988" s="120"/>
      <c r="H2988" s="101"/>
      <c r="I2988" s="93"/>
      <c r="J2988" s="91"/>
      <c r="L2988" s="94" t="str">
        <f t="shared" si="2"/>
        <v>No infirmation</v>
      </c>
      <c r="M2988" s="94" t="str">
        <f t="shared" si="3"/>
        <v/>
      </c>
    </row>
    <row r="2989" ht="15.75" customHeight="1">
      <c r="B2989" s="77">
        <f t="shared" si="1"/>
        <v>0</v>
      </c>
      <c r="C2989" s="67"/>
      <c r="D2989" s="78"/>
      <c r="E2989" s="101"/>
      <c r="F2989" s="108"/>
      <c r="G2989" s="120"/>
      <c r="H2989" s="101"/>
      <c r="I2989" s="93"/>
      <c r="J2989" s="91"/>
      <c r="L2989" s="94" t="str">
        <f t="shared" si="2"/>
        <v>No infirmation</v>
      </c>
      <c r="M2989" s="94" t="str">
        <f t="shared" si="3"/>
        <v/>
      </c>
    </row>
    <row r="2990" ht="15.75" customHeight="1">
      <c r="B2990" s="77">
        <f t="shared" si="1"/>
        <v>0</v>
      </c>
      <c r="C2990" s="67"/>
      <c r="D2990" s="78"/>
      <c r="E2990" s="101"/>
      <c r="F2990" s="108"/>
      <c r="G2990" s="120"/>
      <c r="H2990" s="101"/>
      <c r="I2990" s="93"/>
      <c r="J2990" s="91"/>
      <c r="L2990" s="94" t="str">
        <f t="shared" si="2"/>
        <v>No infirmation</v>
      </c>
      <c r="M2990" s="94" t="str">
        <f t="shared" si="3"/>
        <v/>
      </c>
    </row>
    <row r="2991" ht="15.75" customHeight="1">
      <c r="B2991" s="77">
        <f t="shared" si="1"/>
        <v>0</v>
      </c>
      <c r="C2991" s="67"/>
      <c r="D2991" s="78"/>
      <c r="E2991" s="101"/>
      <c r="F2991" s="108"/>
      <c r="G2991" s="120"/>
      <c r="H2991" s="101"/>
      <c r="I2991" s="93"/>
      <c r="J2991" s="91"/>
      <c r="L2991" s="94" t="str">
        <f t="shared" si="2"/>
        <v>No infirmation</v>
      </c>
      <c r="M2991" s="94" t="str">
        <f t="shared" si="3"/>
        <v/>
      </c>
    </row>
    <row r="2992" ht="15.75" customHeight="1">
      <c r="B2992" s="77">
        <f t="shared" si="1"/>
        <v>0</v>
      </c>
      <c r="C2992" s="67"/>
      <c r="D2992" s="78"/>
      <c r="E2992" s="101"/>
      <c r="F2992" s="108"/>
      <c r="G2992" s="120"/>
      <c r="H2992" s="101"/>
      <c r="I2992" s="93"/>
      <c r="J2992" s="91"/>
      <c r="L2992" s="94" t="str">
        <f t="shared" si="2"/>
        <v>No infirmation</v>
      </c>
      <c r="M2992" s="94" t="str">
        <f t="shared" si="3"/>
        <v/>
      </c>
    </row>
    <row r="2993" ht="15.75" customHeight="1">
      <c r="B2993" s="77">
        <f t="shared" si="1"/>
        <v>0</v>
      </c>
      <c r="C2993" s="67"/>
      <c r="D2993" s="78"/>
      <c r="E2993" s="101"/>
      <c r="F2993" s="108"/>
      <c r="G2993" s="120"/>
      <c r="H2993" s="101"/>
      <c r="I2993" s="93"/>
      <c r="J2993" s="91"/>
      <c r="L2993" s="94" t="str">
        <f t="shared" si="2"/>
        <v>No infirmation</v>
      </c>
      <c r="M2993" s="94" t="str">
        <f t="shared" si="3"/>
        <v/>
      </c>
    </row>
    <row r="2994" ht="15.75" customHeight="1">
      <c r="B2994" s="77">
        <f t="shared" si="1"/>
        <v>0</v>
      </c>
      <c r="C2994" s="67"/>
      <c r="D2994" s="78"/>
      <c r="E2994" s="101"/>
      <c r="F2994" s="108"/>
      <c r="G2994" s="120"/>
      <c r="H2994" s="101"/>
      <c r="I2994" s="93"/>
      <c r="J2994" s="91"/>
      <c r="L2994" s="94" t="str">
        <f t="shared" si="2"/>
        <v>No infirmation</v>
      </c>
      <c r="M2994" s="94" t="str">
        <f t="shared" si="3"/>
        <v/>
      </c>
    </row>
    <row r="2995" ht="15.75" customHeight="1">
      <c r="B2995" s="77">
        <f t="shared" si="1"/>
        <v>0</v>
      </c>
      <c r="C2995" s="67"/>
      <c r="D2995" s="78"/>
      <c r="E2995" s="101"/>
      <c r="F2995" s="108"/>
      <c r="G2995" s="120"/>
      <c r="H2995" s="101"/>
      <c r="I2995" s="93"/>
      <c r="J2995" s="91"/>
      <c r="L2995" s="94" t="str">
        <f t="shared" si="2"/>
        <v>No infirmation</v>
      </c>
      <c r="M2995" s="94" t="str">
        <f t="shared" si="3"/>
        <v/>
      </c>
    </row>
    <row r="2996" ht="15.75" customHeight="1">
      <c r="B2996" s="77">
        <f t="shared" si="1"/>
        <v>0</v>
      </c>
      <c r="C2996" s="67"/>
      <c r="D2996" s="78"/>
      <c r="E2996" s="101"/>
      <c r="F2996" s="108"/>
      <c r="G2996" s="120"/>
      <c r="H2996" s="101"/>
      <c r="I2996" s="93"/>
      <c r="J2996" s="91"/>
      <c r="L2996" s="94" t="str">
        <f t="shared" si="2"/>
        <v>No infirmation</v>
      </c>
      <c r="M2996" s="94" t="str">
        <f t="shared" si="3"/>
        <v/>
      </c>
    </row>
    <row r="2997" ht="15.75" customHeight="1">
      <c r="B2997" s="77">
        <f t="shared" si="1"/>
        <v>0</v>
      </c>
      <c r="C2997" s="67"/>
      <c r="D2997" s="78"/>
      <c r="E2997" s="101"/>
      <c r="F2997" s="108"/>
      <c r="G2997" s="120"/>
      <c r="H2997" s="101"/>
      <c r="I2997" s="93"/>
      <c r="J2997" s="91"/>
      <c r="L2997" s="94" t="str">
        <f t="shared" si="2"/>
        <v>No infirmation</v>
      </c>
      <c r="M2997" s="94" t="str">
        <f t="shared" si="3"/>
        <v/>
      </c>
    </row>
    <row r="2998" ht="15.75" customHeight="1">
      <c r="B2998" s="77">
        <f t="shared" si="1"/>
        <v>0</v>
      </c>
      <c r="C2998" s="67"/>
      <c r="D2998" s="78"/>
      <c r="E2998" s="101"/>
      <c r="F2998" s="108"/>
      <c r="G2998" s="120"/>
      <c r="H2998" s="101"/>
      <c r="I2998" s="93"/>
      <c r="J2998" s="91"/>
      <c r="L2998" s="94" t="str">
        <f t="shared" si="2"/>
        <v>No infirmation</v>
      </c>
      <c r="M2998" s="94" t="str">
        <f t="shared" si="3"/>
        <v/>
      </c>
    </row>
    <row r="2999" ht="15.75" customHeight="1">
      <c r="B2999" s="77">
        <f t="shared" si="1"/>
        <v>0</v>
      </c>
      <c r="C2999" s="67"/>
      <c r="D2999" s="78"/>
      <c r="E2999" s="101"/>
      <c r="F2999" s="108"/>
      <c r="G2999" s="120"/>
      <c r="H2999" s="101"/>
      <c r="I2999" s="93"/>
      <c r="J2999" s="91"/>
      <c r="L2999" s="94" t="str">
        <f t="shared" si="2"/>
        <v>No infirmation</v>
      </c>
      <c r="M2999" s="94" t="str">
        <f t="shared" si="3"/>
        <v/>
      </c>
    </row>
    <row r="3000" ht="15.75" customHeight="1">
      <c r="B3000" s="77">
        <f t="shared" si="1"/>
        <v>0</v>
      </c>
      <c r="C3000" s="67"/>
      <c r="D3000" s="78"/>
      <c r="E3000" s="101"/>
      <c r="F3000" s="108"/>
      <c r="G3000" s="120"/>
      <c r="H3000" s="101"/>
      <c r="I3000" s="93"/>
      <c r="J3000" s="91"/>
      <c r="L3000" s="94" t="str">
        <f t="shared" si="2"/>
        <v>No infirmation</v>
      </c>
      <c r="M3000" s="94" t="str">
        <f t="shared" si="3"/>
        <v/>
      </c>
    </row>
    <row r="3001" ht="15.75" customHeight="1">
      <c r="B3001" s="77">
        <f t="shared" si="1"/>
        <v>0</v>
      </c>
      <c r="C3001" s="67"/>
      <c r="D3001" s="78"/>
      <c r="E3001" s="101"/>
      <c r="F3001" s="108"/>
      <c r="G3001" s="120"/>
      <c r="H3001" s="101"/>
      <c r="I3001" s="93"/>
      <c r="J3001" s="91"/>
      <c r="L3001" s="94" t="str">
        <f t="shared" si="2"/>
        <v>No infirmation</v>
      </c>
      <c r="M3001" s="94" t="str">
        <f t="shared" si="3"/>
        <v/>
      </c>
    </row>
    <row r="3002" ht="15.75" customHeight="1">
      <c r="B3002" s="77">
        <f t="shared" si="1"/>
        <v>0</v>
      </c>
      <c r="C3002" s="67"/>
      <c r="D3002" s="78"/>
      <c r="E3002" s="101"/>
      <c r="F3002" s="108"/>
      <c r="G3002" s="120"/>
      <c r="H3002" s="101"/>
      <c r="I3002" s="93"/>
      <c r="J3002" s="91"/>
      <c r="L3002" s="94" t="str">
        <f t="shared" si="2"/>
        <v>No infirmation</v>
      </c>
      <c r="M3002" s="94" t="str">
        <f t="shared" si="3"/>
        <v/>
      </c>
    </row>
    <row r="3003" ht="15.75" customHeight="1">
      <c r="B3003" s="77">
        <f t="shared" si="1"/>
        <v>0</v>
      </c>
      <c r="C3003" s="67"/>
      <c r="D3003" s="78"/>
      <c r="E3003" s="101"/>
      <c r="F3003" s="108"/>
      <c r="G3003" s="120"/>
      <c r="H3003" s="101"/>
      <c r="I3003" s="93"/>
      <c r="J3003" s="91"/>
      <c r="L3003" s="94" t="str">
        <f t="shared" si="2"/>
        <v>No infirmation</v>
      </c>
      <c r="M3003" s="94" t="str">
        <f t="shared" si="3"/>
        <v/>
      </c>
    </row>
    <row r="3004" ht="15.75" customHeight="1">
      <c r="B3004" s="77">
        <f t="shared" si="1"/>
        <v>0</v>
      </c>
      <c r="C3004" s="67"/>
      <c r="D3004" s="78"/>
      <c r="E3004" s="101"/>
      <c r="F3004" s="108"/>
      <c r="G3004" s="120"/>
      <c r="H3004" s="101"/>
      <c r="I3004" s="93"/>
      <c r="J3004" s="91"/>
      <c r="L3004" s="94" t="str">
        <f t="shared" si="2"/>
        <v>No infirmation</v>
      </c>
      <c r="M3004" s="94" t="str">
        <f t="shared" si="3"/>
        <v/>
      </c>
    </row>
    <row r="3005" ht="15.75" customHeight="1">
      <c r="B3005" s="77">
        <f t="shared" si="1"/>
        <v>0</v>
      </c>
      <c r="C3005" s="67"/>
      <c r="D3005" s="78"/>
      <c r="E3005" s="101"/>
      <c r="F3005" s="108"/>
      <c r="G3005" s="120"/>
      <c r="H3005" s="101"/>
      <c r="I3005" s="93"/>
      <c r="J3005" s="91"/>
      <c r="L3005" s="94" t="str">
        <f t="shared" si="2"/>
        <v>No infirmation</v>
      </c>
      <c r="M3005" s="94" t="str">
        <f t="shared" si="3"/>
        <v/>
      </c>
    </row>
    <row r="3006" ht="15.75" customHeight="1">
      <c r="B3006" s="77">
        <f t="shared" si="1"/>
        <v>0</v>
      </c>
      <c r="C3006" s="67"/>
      <c r="D3006" s="78"/>
      <c r="E3006" s="101"/>
      <c r="F3006" s="108"/>
      <c r="G3006" s="120"/>
      <c r="H3006" s="101"/>
      <c r="I3006" s="93"/>
      <c r="J3006" s="91"/>
      <c r="L3006" s="94" t="str">
        <f t="shared" si="2"/>
        <v>No infirmation</v>
      </c>
      <c r="M3006" s="94" t="str">
        <f t="shared" si="3"/>
        <v/>
      </c>
    </row>
    <row r="3007" ht="15.75" customHeight="1">
      <c r="B3007" s="77">
        <f t="shared" si="1"/>
        <v>0</v>
      </c>
      <c r="C3007" s="67"/>
      <c r="D3007" s="78"/>
      <c r="E3007" s="101"/>
      <c r="F3007" s="108"/>
      <c r="G3007" s="120"/>
      <c r="H3007" s="101"/>
      <c r="I3007" s="93"/>
      <c r="J3007" s="91"/>
      <c r="L3007" s="94" t="str">
        <f t="shared" si="2"/>
        <v>No infirmation</v>
      </c>
      <c r="M3007" s="94" t="str">
        <f t="shared" si="3"/>
        <v/>
      </c>
    </row>
    <row r="3008" ht="15.75" customHeight="1">
      <c r="B3008" s="77">
        <f t="shared" si="1"/>
        <v>0</v>
      </c>
      <c r="C3008" s="67"/>
      <c r="D3008" s="78"/>
      <c r="E3008" s="101"/>
      <c r="F3008" s="108"/>
      <c r="G3008" s="120"/>
      <c r="H3008" s="101"/>
      <c r="I3008" s="93"/>
      <c r="J3008" s="91"/>
      <c r="L3008" s="94" t="str">
        <f t="shared" si="2"/>
        <v>No infirmation</v>
      </c>
      <c r="M3008" s="94" t="str">
        <f t="shared" si="3"/>
        <v/>
      </c>
    </row>
    <row r="3009" ht="15.75" customHeight="1">
      <c r="B3009" s="77">
        <f t="shared" si="1"/>
        <v>0</v>
      </c>
      <c r="C3009" s="67"/>
      <c r="D3009" s="78"/>
      <c r="E3009" s="101"/>
      <c r="F3009" s="108"/>
      <c r="G3009" s="120"/>
      <c r="H3009" s="101"/>
      <c r="I3009" s="93"/>
      <c r="J3009" s="91"/>
      <c r="L3009" s="94" t="str">
        <f t="shared" si="2"/>
        <v>No infirmation</v>
      </c>
      <c r="M3009" s="94" t="str">
        <f t="shared" si="3"/>
        <v/>
      </c>
    </row>
    <row r="3010" ht="15.75" customHeight="1">
      <c r="B3010" s="77">
        <f t="shared" si="1"/>
        <v>0</v>
      </c>
      <c r="C3010" s="67"/>
      <c r="D3010" s="78"/>
      <c r="E3010" s="101"/>
      <c r="F3010" s="108"/>
      <c r="G3010" s="120"/>
      <c r="H3010" s="101"/>
      <c r="I3010" s="93"/>
      <c r="J3010" s="91"/>
      <c r="L3010" s="94" t="str">
        <f t="shared" si="2"/>
        <v>No infirmation</v>
      </c>
      <c r="M3010" s="94" t="str">
        <f t="shared" si="3"/>
        <v/>
      </c>
    </row>
    <row r="3011" ht="15.75" customHeight="1">
      <c r="B3011" s="77">
        <f t="shared" si="1"/>
        <v>0</v>
      </c>
      <c r="C3011" s="67"/>
      <c r="D3011" s="78"/>
      <c r="E3011" s="101"/>
      <c r="F3011" s="108"/>
      <c r="G3011" s="120"/>
      <c r="H3011" s="101"/>
      <c r="I3011" s="93"/>
      <c r="J3011" s="91"/>
      <c r="L3011" s="94" t="str">
        <f t="shared" si="2"/>
        <v>No infirmation</v>
      </c>
      <c r="M3011" s="94" t="str">
        <f t="shared" si="3"/>
        <v/>
      </c>
    </row>
    <row r="3012" ht="15.75" customHeight="1">
      <c r="B3012" s="77">
        <f t="shared" si="1"/>
        <v>0</v>
      </c>
      <c r="C3012" s="67"/>
      <c r="D3012" s="78"/>
      <c r="E3012" s="101"/>
      <c r="F3012" s="108"/>
      <c r="G3012" s="120"/>
      <c r="H3012" s="101"/>
      <c r="I3012" s="93"/>
      <c r="J3012" s="91"/>
      <c r="L3012" s="94" t="str">
        <f t="shared" si="2"/>
        <v>No infirmation</v>
      </c>
      <c r="M3012" s="94" t="str">
        <f t="shared" si="3"/>
        <v/>
      </c>
    </row>
    <row r="3013" ht="15.75" customHeight="1">
      <c r="B3013" s="77">
        <f t="shared" si="1"/>
        <v>0</v>
      </c>
      <c r="C3013" s="67"/>
      <c r="D3013" s="78"/>
      <c r="E3013" s="101"/>
      <c r="F3013" s="108"/>
      <c r="G3013" s="120"/>
      <c r="H3013" s="101"/>
      <c r="I3013" s="93"/>
      <c r="J3013" s="91"/>
      <c r="L3013" s="94" t="str">
        <f t="shared" si="2"/>
        <v>No infirmation</v>
      </c>
      <c r="M3013" s="94" t="str">
        <f t="shared" si="3"/>
        <v/>
      </c>
    </row>
    <row r="3014" ht="15.75" customHeight="1">
      <c r="B3014" s="77">
        <f t="shared" si="1"/>
        <v>0</v>
      </c>
      <c r="C3014" s="67"/>
      <c r="D3014" s="78"/>
      <c r="E3014" s="101"/>
      <c r="F3014" s="108"/>
      <c r="G3014" s="120"/>
      <c r="H3014" s="101"/>
      <c r="I3014" s="93"/>
      <c r="J3014" s="91"/>
      <c r="L3014" s="94" t="str">
        <f t="shared" si="2"/>
        <v>No infirmation</v>
      </c>
      <c r="M3014" s="94" t="str">
        <f t="shared" si="3"/>
        <v/>
      </c>
    </row>
    <row r="3015" ht="15.75" customHeight="1">
      <c r="B3015" s="77">
        <f t="shared" si="1"/>
        <v>0</v>
      </c>
      <c r="C3015" s="67"/>
      <c r="D3015" s="78"/>
      <c r="E3015" s="101"/>
      <c r="F3015" s="108"/>
      <c r="G3015" s="120"/>
      <c r="H3015" s="101"/>
      <c r="I3015" s="93"/>
      <c r="J3015" s="91"/>
      <c r="L3015" s="94" t="str">
        <f t="shared" si="2"/>
        <v>No infirmation</v>
      </c>
      <c r="M3015" s="94" t="str">
        <f t="shared" si="3"/>
        <v/>
      </c>
    </row>
    <row r="3016" ht="15.75" customHeight="1">
      <c r="B3016" s="77">
        <f t="shared" si="1"/>
        <v>0</v>
      </c>
      <c r="C3016" s="67"/>
      <c r="D3016" s="78"/>
      <c r="E3016" s="101"/>
      <c r="F3016" s="108"/>
      <c r="G3016" s="120"/>
      <c r="H3016" s="101"/>
      <c r="I3016" s="93"/>
      <c r="J3016" s="91"/>
      <c r="L3016" s="94" t="str">
        <f t="shared" si="2"/>
        <v>No infirmation</v>
      </c>
      <c r="M3016" s="94" t="str">
        <f t="shared" si="3"/>
        <v/>
      </c>
    </row>
    <row r="3017" ht="15.75" customHeight="1">
      <c r="B3017" s="77">
        <f t="shared" si="1"/>
        <v>0</v>
      </c>
      <c r="C3017" s="67"/>
      <c r="D3017" s="78"/>
      <c r="E3017" s="101"/>
      <c r="F3017" s="108"/>
      <c r="G3017" s="120"/>
      <c r="H3017" s="101"/>
      <c r="I3017" s="93"/>
      <c r="J3017" s="91"/>
      <c r="L3017" s="94" t="str">
        <f t="shared" si="2"/>
        <v>No infirmation</v>
      </c>
      <c r="M3017" s="94" t="str">
        <f t="shared" si="3"/>
        <v/>
      </c>
    </row>
    <row r="3018" ht="15.75" customHeight="1">
      <c r="B3018" s="77">
        <f t="shared" si="1"/>
        <v>0</v>
      </c>
      <c r="C3018" s="67"/>
      <c r="D3018" s="78"/>
      <c r="E3018" s="101"/>
      <c r="F3018" s="108"/>
      <c r="G3018" s="120"/>
      <c r="H3018" s="101"/>
      <c r="I3018" s="93"/>
      <c r="J3018" s="91"/>
      <c r="L3018" s="94" t="str">
        <f t="shared" si="2"/>
        <v>No infirmation</v>
      </c>
      <c r="M3018" s="94" t="str">
        <f t="shared" si="3"/>
        <v/>
      </c>
    </row>
    <row r="3019" ht="15.75" customHeight="1">
      <c r="B3019" s="77">
        <f t="shared" si="1"/>
        <v>0</v>
      </c>
      <c r="C3019" s="67"/>
      <c r="D3019" s="78"/>
      <c r="E3019" s="101"/>
      <c r="F3019" s="108"/>
      <c r="G3019" s="120"/>
      <c r="H3019" s="101"/>
      <c r="I3019" s="93"/>
      <c r="J3019" s="91"/>
      <c r="L3019" s="94" t="str">
        <f t="shared" si="2"/>
        <v>No infirmation</v>
      </c>
      <c r="M3019" s="94" t="str">
        <f t="shared" si="3"/>
        <v/>
      </c>
    </row>
    <row r="3020" ht="15.75" customHeight="1">
      <c r="B3020" s="77">
        <f t="shared" si="1"/>
        <v>0</v>
      </c>
      <c r="C3020" s="67"/>
      <c r="D3020" s="78"/>
      <c r="E3020" s="101"/>
      <c r="F3020" s="108"/>
      <c r="G3020" s="120"/>
      <c r="H3020" s="101"/>
      <c r="I3020" s="93"/>
      <c r="J3020" s="91"/>
      <c r="L3020" s="94" t="str">
        <f t="shared" si="2"/>
        <v>No infirmation</v>
      </c>
      <c r="M3020" s="94" t="str">
        <f t="shared" si="3"/>
        <v/>
      </c>
    </row>
    <row r="3021" ht="15.75" customHeight="1">
      <c r="B3021" s="77">
        <f t="shared" si="1"/>
        <v>0</v>
      </c>
      <c r="C3021" s="67"/>
      <c r="D3021" s="78"/>
      <c r="E3021" s="101"/>
      <c r="F3021" s="108"/>
      <c r="G3021" s="120"/>
      <c r="H3021" s="101"/>
      <c r="I3021" s="93"/>
      <c r="J3021" s="91"/>
      <c r="L3021" s="94" t="str">
        <f t="shared" si="2"/>
        <v>No infirmation</v>
      </c>
      <c r="M3021" s="94" t="str">
        <f t="shared" si="3"/>
        <v/>
      </c>
    </row>
    <row r="3022" ht="15.75" customHeight="1">
      <c r="B3022" s="77">
        <f t="shared" si="1"/>
        <v>0</v>
      </c>
      <c r="C3022" s="67"/>
      <c r="D3022" s="78"/>
      <c r="E3022" s="101"/>
      <c r="F3022" s="108"/>
      <c r="G3022" s="120"/>
      <c r="H3022" s="101"/>
      <c r="I3022" s="93"/>
      <c r="J3022" s="91"/>
      <c r="L3022" s="94" t="str">
        <f t="shared" si="2"/>
        <v>No infirmation</v>
      </c>
      <c r="M3022" s="94" t="str">
        <f t="shared" si="3"/>
        <v/>
      </c>
    </row>
    <row r="3023" ht="15.75" customHeight="1">
      <c r="B3023" s="77">
        <f t="shared" si="1"/>
        <v>0</v>
      </c>
      <c r="C3023" s="67"/>
      <c r="D3023" s="78"/>
      <c r="E3023" s="101"/>
      <c r="F3023" s="108"/>
      <c r="G3023" s="120"/>
      <c r="H3023" s="101"/>
      <c r="I3023" s="93"/>
      <c r="J3023" s="91"/>
      <c r="L3023" s="94" t="str">
        <f t="shared" si="2"/>
        <v>No infirmation</v>
      </c>
      <c r="M3023" s="94" t="str">
        <f t="shared" si="3"/>
        <v/>
      </c>
    </row>
    <row r="3024" ht="15.75" customHeight="1">
      <c r="B3024" s="77">
        <f t="shared" si="1"/>
        <v>0</v>
      </c>
      <c r="C3024" s="67"/>
      <c r="D3024" s="78"/>
      <c r="E3024" s="101"/>
      <c r="F3024" s="108"/>
      <c r="G3024" s="120"/>
      <c r="H3024" s="101"/>
      <c r="I3024" s="93"/>
      <c r="J3024" s="91"/>
      <c r="L3024" s="94" t="str">
        <f t="shared" si="2"/>
        <v>No infirmation</v>
      </c>
      <c r="M3024" s="94" t="str">
        <f t="shared" si="3"/>
        <v/>
      </c>
    </row>
    <row r="3025" ht="15.75" customHeight="1">
      <c r="B3025" s="77">
        <f t="shared" si="1"/>
        <v>0</v>
      </c>
      <c r="C3025" s="67"/>
      <c r="D3025" s="78"/>
      <c r="E3025" s="101"/>
      <c r="F3025" s="108"/>
      <c r="G3025" s="120"/>
      <c r="H3025" s="101"/>
      <c r="I3025" s="93"/>
      <c r="J3025" s="91"/>
      <c r="L3025" s="94" t="str">
        <f t="shared" si="2"/>
        <v>No infirmation</v>
      </c>
      <c r="M3025" s="94" t="str">
        <f t="shared" si="3"/>
        <v/>
      </c>
    </row>
    <row r="3026" ht="15.75" customHeight="1">
      <c r="B3026" s="77">
        <f t="shared" si="1"/>
        <v>0</v>
      </c>
      <c r="C3026" s="67"/>
      <c r="D3026" s="78"/>
      <c r="E3026" s="101"/>
      <c r="F3026" s="108"/>
      <c r="G3026" s="120"/>
      <c r="H3026" s="101"/>
      <c r="I3026" s="93"/>
      <c r="J3026" s="91"/>
      <c r="L3026" s="94" t="str">
        <f t="shared" si="2"/>
        <v>No infirmation</v>
      </c>
      <c r="M3026" s="94" t="str">
        <f t="shared" si="3"/>
        <v/>
      </c>
    </row>
    <row r="3027" ht="15.75" customHeight="1">
      <c r="B3027" s="77">
        <f t="shared" si="1"/>
        <v>0</v>
      </c>
      <c r="C3027" s="67"/>
      <c r="D3027" s="78"/>
      <c r="E3027" s="101"/>
      <c r="F3027" s="108"/>
      <c r="G3027" s="120"/>
      <c r="H3027" s="101"/>
      <c r="I3027" s="93"/>
      <c r="J3027" s="91"/>
      <c r="L3027" s="94" t="str">
        <f t="shared" si="2"/>
        <v>No infirmation</v>
      </c>
      <c r="M3027" s="94" t="str">
        <f t="shared" si="3"/>
        <v/>
      </c>
    </row>
    <row r="3028" ht="15.75" customHeight="1">
      <c r="B3028" s="77">
        <f t="shared" si="1"/>
        <v>0</v>
      </c>
      <c r="C3028" s="67"/>
      <c r="D3028" s="78"/>
      <c r="E3028" s="101"/>
      <c r="F3028" s="108"/>
      <c r="G3028" s="120"/>
      <c r="H3028" s="101"/>
      <c r="I3028" s="93"/>
      <c r="J3028" s="91"/>
      <c r="L3028" s="94" t="str">
        <f t="shared" si="2"/>
        <v>No infirmation</v>
      </c>
      <c r="M3028" s="94" t="str">
        <f t="shared" si="3"/>
        <v/>
      </c>
    </row>
    <row r="3029" ht="15.75" customHeight="1">
      <c r="B3029" s="77">
        <f t="shared" si="1"/>
        <v>0</v>
      </c>
      <c r="C3029" s="67"/>
      <c r="D3029" s="78"/>
      <c r="E3029" s="101"/>
      <c r="F3029" s="108"/>
      <c r="G3029" s="120"/>
      <c r="H3029" s="101"/>
      <c r="I3029" s="93"/>
      <c r="J3029" s="91"/>
      <c r="L3029" s="94" t="str">
        <f t="shared" si="2"/>
        <v>No infirmation</v>
      </c>
      <c r="M3029" s="94" t="str">
        <f t="shared" si="3"/>
        <v/>
      </c>
    </row>
    <row r="3030" ht="15.75" customHeight="1">
      <c r="B3030" s="77">
        <f t="shared" si="1"/>
        <v>0</v>
      </c>
      <c r="C3030" s="67"/>
      <c r="D3030" s="78"/>
      <c r="E3030" s="101"/>
      <c r="F3030" s="108"/>
      <c r="G3030" s="120"/>
      <c r="H3030" s="101"/>
      <c r="I3030" s="93"/>
      <c r="J3030" s="91"/>
      <c r="L3030" s="94" t="str">
        <f t="shared" si="2"/>
        <v>No infirmation</v>
      </c>
      <c r="M3030" s="94" t="str">
        <f t="shared" si="3"/>
        <v/>
      </c>
    </row>
    <row r="3031" ht="15.75" customHeight="1">
      <c r="B3031" s="77">
        <f t="shared" si="1"/>
        <v>0</v>
      </c>
      <c r="C3031" s="67"/>
      <c r="D3031" s="78"/>
      <c r="E3031" s="101"/>
      <c r="F3031" s="108"/>
      <c r="G3031" s="120"/>
      <c r="H3031" s="101"/>
      <c r="I3031" s="93"/>
      <c r="J3031" s="91"/>
      <c r="L3031" s="94" t="str">
        <f t="shared" si="2"/>
        <v>No infirmation</v>
      </c>
      <c r="M3031" s="94" t="str">
        <f t="shared" si="3"/>
        <v/>
      </c>
    </row>
    <row r="3032" ht="15.75" customHeight="1">
      <c r="B3032" s="77">
        <f t="shared" si="1"/>
        <v>0</v>
      </c>
      <c r="C3032" s="67"/>
      <c r="D3032" s="78"/>
      <c r="E3032" s="101"/>
      <c r="F3032" s="108"/>
      <c r="G3032" s="120"/>
      <c r="H3032" s="101"/>
      <c r="I3032" s="93"/>
      <c r="J3032" s="91"/>
      <c r="L3032" s="94" t="str">
        <f t="shared" si="2"/>
        <v>No infirmation</v>
      </c>
      <c r="M3032" s="94" t="str">
        <f t="shared" si="3"/>
        <v/>
      </c>
    </row>
    <row r="3033" ht="15.75" customHeight="1">
      <c r="B3033" s="77">
        <f t="shared" si="1"/>
        <v>0</v>
      </c>
      <c r="C3033" s="67"/>
      <c r="D3033" s="78"/>
      <c r="E3033" s="101"/>
      <c r="F3033" s="108"/>
      <c r="G3033" s="120"/>
      <c r="H3033" s="101"/>
      <c r="I3033" s="93"/>
      <c r="J3033" s="91"/>
      <c r="L3033" s="94" t="str">
        <f t="shared" si="2"/>
        <v>No infirmation</v>
      </c>
      <c r="M3033" s="94" t="str">
        <f t="shared" si="3"/>
        <v/>
      </c>
    </row>
    <row r="3034" ht="15.75" customHeight="1">
      <c r="B3034" s="77">
        <f t="shared" si="1"/>
        <v>0</v>
      </c>
      <c r="C3034" s="67"/>
      <c r="D3034" s="78"/>
      <c r="E3034" s="101"/>
      <c r="F3034" s="108"/>
      <c r="G3034" s="120"/>
      <c r="H3034" s="101"/>
      <c r="I3034" s="93"/>
      <c r="J3034" s="91"/>
      <c r="L3034" s="94" t="str">
        <f t="shared" si="2"/>
        <v>No infirmation</v>
      </c>
      <c r="M3034" s="94" t="str">
        <f t="shared" si="3"/>
        <v/>
      </c>
    </row>
    <row r="3035" ht="15.75" customHeight="1">
      <c r="B3035" s="77">
        <f t="shared" si="1"/>
        <v>0</v>
      </c>
      <c r="C3035" s="67"/>
      <c r="D3035" s="78"/>
      <c r="E3035" s="101"/>
      <c r="F3035" s="108"/>
      <c r="G3035" s="120"/>
      <c r="H3035" s="101"/>
      <c r="I3035" s="93"/>
      <c r="J3035" s="91"/>
      <c r="L3035" s="94" t="str">
        <f t="shared" si="2"/>
        <v>No infirmation</v>
      </c>
      <c r="M3035" s="94" t="str">
        <f t="shared" si="3"/>
        <v/>
      </c>
    </row>
    <row r="3036" ht="15.75" customHeight="1">
      <c r="B3036" s="77">
        <f t="shared" si="1"/>
        <v>0</v>
      </c>
      <c r="C3036" s="67"/>
      <c r="D3036" s="78"/>
      <c r="E3036" s="101"/>
      <c r="F3036" s="108"/>
      <c r="G3036" s="120"/>
      <c r="H3036" s="101"/>
      <c r="I3036" s="93"/>
      <c r="J3036" s="91"/>
      <c r="L3036" s="94" t="str">
        <f t="shared" si="2"/>
        <v>No infirmation</v>
      </c>
      <c r="M3036" s="94" t="str">
        <f t="shared" si="3"/>
        <v/>
      </c>
    </row>
    <row r="3037" ht="15.75" customHeight="1">
      <c r="B3037" s="77">
        <f t="shared" si="1"/>
        <v>0</v>
      </c>
      <c r="C3037" s="67"/>
      <c r="D3037" s="78"/>
      <c r="E3037" s="101"/>
      <c r="F3037" s="108"/>
      <c r="G3037" s="120"/>
      <c r="H3037" s="101"/>
      <c r="I3037" s="93"/>
      <c r="J3037" s="91"/>
      <c r="L3037" s="94" t="str">
        <f t="shared" si="2"/>
        <v>No infirmation</v>
      </c>
      <c r="M3037" s="94" t="str">
        <f t="shared" si="3"/>
        <v/>
      </c>
    </row>
    <row r="3038" ht="15.75" customHeight="1">
      <c r="B3038" s="77">
        <f t="shared" si="1"/>
        <v>0</v>
      </c>
      <c r="C3038" s="67"/>
      <c r="D3038" s="78"/>
      <c r="E3038" s="101"/>
      <c r="F3038" s="108"/>
      <c r="G3038" s="120"/>
      <c r="H3038" s="101"/>
      <c r="I3038" s="93"/>
      <c r="J3038" s="91"/>
      <c r="L3038" s="94" t="str">
        <f t="shared" si="2"/>
        <v>No infirmation</v>
      </c>
      <c r="M3038" s="94" t="str">
        <f t="shared" si="3"/>
        <v/>
      </c>
    </row>
    <row r="3039" ht="15.75" customHeight="1">
      <c r="B3039" s="77">
        <f t="shared" si="1"/>
        <v>0</v>
      </c>
      <c r="C3039" s="67"/>
      <c r="D3039" s="78"/>
      <c r="E3039" s="101"/>
      <c r="F3039" s="108"/>
      <c r="G3039" s="120"/>
      <c r="H3039" s="101"/>
      <c r="I3039" s="93"/>
      <c r="J3039" s="91"/>
      <c r="L3039" s="94" t="str">
        <f t="shared" si="2"/>
        <v>No infirmation</v>
      </c>
      <c r="M3039" s="94" t="str">
        <f t="shared" si="3"/>
        <v/>
      </c>
    </row>
    <row r="3040" ht="15.75" customHeight="1">
      <c r="B3040" s="77">
        <f t="shared" si="1"/>
        <v>0</v>
      </c>
      <c r="C3040" s="67"/>
      <c r="D3040" s="78"/>
      <c r="E3040" s="101"/>
      <c r="F3040" s="108"/>
      <c r="G3040" s="120"/>
      <c r="H3040" s="101"/>
      <c r="I3040" s="93"/>
      <c r="J3040" s="91"/>
      <c r="L3040" s="94" t="str">
        <f t="shared" si="2"/>
        <v>No infirmation</v>
      </c>
      <c r="M3040" s="94" t="str">
        <f t="shared" si="3"/>
        <v/>
      </c>
    </row>
    <row r="3041" ht="15.75" customHeight="1">
      <c r="B3041" s="77">
        <f t="shared" si="1"/>
        <v>0</v>
      </c>
      <c r="C3041" s="67"/>
      <c r="D3041" s="78"/>
      <c r="E3041" s="101"/>
      <c r="F3041" s="108"/>
      <c r="G3041" s="120"/>
      <c r="H3041" s="101"/>
      <c r="I3041" s="93"/>
      <c r="J3041" s="91"/>
      <c r="L3041" s="94" t="str">
        <f t="shared" si="2"/>
        <v>No infirmation</v>
      </c>
      <c r="M3041" s="94" t="str">
        <f t="shared" si="3"/>
        <v/>
      </c>
    </row>
    <row r="3042" ht="15.75" customHeight="1">
      <c r="B3042" s="77">
        <f t="shared" si="1"/>
        <v>0</v>
      </c>
      <c r="C3042" s="67"/>
      <c r="D3042" s="78"/>
      <c r="E3042" s="101"/>
      <c r="F3042" s="108"/>
      <c r="G3042" s="120"/>
      <c r="H3042" s="101"/>
      <c r="I3042" s="93"/>
      <c r="J3042" s="91"/>
      <c r="L3042" s="94" t="str">
        <f t="shared" si="2"/>
        <v>No infirmation</v>
      </c>
      <c r="M3042" s="94" t="str">
        <f t="shared" si="3"/>
        <v/>
      </c>
    </row>
    <row r="3043" ht="15.75" customHeight="1">
      <c r="B3043" s="77">
        <f t="shared" si="1"/>
        <v>0</v>
      </c>
      <c r="C3043" s="67"/>
      <c r="D3043" s="78"/>
      <c r="E3043" s="101"/>
      <c r="F3043" s="108"/>
      <c r="G3043" s="120"/>
      <c r="H3043" s="101"/>
      <c r="I3043" s="93"/>
      <c r="J3043" s="91"/>
      <c r="L3043" s="94" t="str">
        <f t="shared" si="2"/>
        <v>No infirmation</v>
      </c>
      <c r="M3043" s="94" t="str">
        <f t="shared" si="3"/>
        <v/>
      </c>
    </row>
    <row r="3044" ht="15.75" customHeight="1">
      <c r="B3044" s="77">
        <f t="shared" si="1"/>
        <v>0</v>
      </c>
      <c r="C3044" s="67"/>
      <c r="D3044" s="78"/>
      <c r="E3044" s="101"/>
      <c r="F3044" s="108"/>
      <c r="G3044" s="120"/>
      <c r="H3044" s="101"/>
      <c r="I3044" s="93"/>
      <c r="J3044" s="91"/>
      <c r="L3044" s="94" t="str">
        <f t="shared" si="2"/>
        <v>No infirmation</v>
      </c>
      <c r="M3044" s="94" t="str">
        <f t="shared" si="3"/>
        <v/>
      </c>
    </row>
    <row r="3045" ht="15.75" customHeight="1">
      <c r="B3045" s="77">
        <f t="shared" si="1"/>
        <v>0</v>
      </c>
      <c r="C3045" s="67"/>
      <c r="D3045" s="78"/>
      <c r="E3045" s="101"/>
      <c r="F3045" s="108"/>
      <c r="G3045" s="120"/>
      <c r="H3045" s="101"/>
      <c r="I3045" s="93"/>
      <c r="J3045" s="91"/>
      <c r="L3045" s="94" t="str">
        <f t="shared" si="2"/>
        <v>No infirmation</v>
      </c>
      <c r="M3045" s="94" t="str">
        <f t="shared" si="3"/>
        <v/>
      </c>
    </row>
    <row r="3046" ht="15.75" customHeight="1">
      <c r="B3046" s="77">
        <f t="shared" si="1"/>
        <v>0</v>
      </c>
      <c r="C3046" s="67"/>
      <c r="D3046" s="78"/>
      <c r="E3046" s="101"/>
      <c r="F3046" s="108"/>
      <c r="G3046" s="120"/>
      <c r="H3046" s="101"/>
      <c r="I3046" s="93"/>
      <c r="J3046" s="91"/>
      <c r="L3046" s="94" t="str">
        <f t="shared" si="2"/>
        <v>No infirmation</v>
      </c>
      <c r="M3046" s="94" t="str">
        <f t="shared" si="3"/>
        <v/>
      </c>
    </row>
    <row r="3047" ht="15.75" customHeight="1">
      <c r="B3047" s="77">
        <f t="shared" si="1"/>
        <v>0</v>
      </c>
      <c r="C3047" s="67"/>
      <c r="D3047" s="78"/>
      <c r="E3047" s="101"/>
      <c r="F3047" s="108"/>
      <c r="G3047" s="120"/>
      <c r="H3047" s="101"/>
      <c r="I3047" s="93"/>
      <c r="J3047" s="91"/>
      <c r="L3047" s="94" t="str">
        <f t="shared" si="2"/>
        <v>No infirmation</v>
      </c>
      <c r="M3047" s="94" t="str">
        <f t="shared" si="3"/>
        <v/>
      </c>
    </row>
    <row r="3048" ht="15.75" customHeight="1">
      <c r="B3048" s="77">
        <f t="shared" si="1"/>
        <v>0</v>
      </c>
      <c r="C3048" s="67"/>
      <c r="D3048" s="78"/>
      <c r="E3048" s="101"/>
      <c r="F3048" s="108"/>
      <c r="G3048" s="120"/>
      <c r="H3048" s="101"/>
      <c r="I3048" s="93"/>
      <c r="J3048" s="91"/>
      <c r="L3048" s="94" t="str">
        <f t="shared" si="2"/>
        <v>No infirmation</v>
      </c>
      <c r="M3048" s="94" t="str">
        <f t="shared" si="3"/>
        <v/>
      </c>
    </row>
    <row r="3049" ht="15.75" customHeight="1">
      <c r="B3049" s="77">
        <f t="shared" si="1"/>
        <v>0</v>
      </c>
      <c r="C3049" s="67"/>
      <c r="D3049" s="78"/>
      <c r="E3049" s="101"/>
      <c r="F3049" s="108"/>
      <c r="G3049" s="120"/>
      <c r="H3049" s="101"/>
      <c r="I3049" s="93"/>
      <c r="J3049" s="91"/>
      <c r="L3049" s="94" t="str">
        <f t="shared" si="2"/>
        <v>No infirmation</v>
      </c>
      <c r="M3049" s="94" t="str">
        <f t="shared" si="3"/>
        <v/>
      </c>
    </row>
    <row r="3050" ht="15.75" customHeight="1">
      <c r="B3050" s="77">
        <f t="shared" si="1"/>
        <v>0</v>
      </c>
      <c r="C3050" s="67"/>
      <c r="D3050" s="78"/>
      <c r="E3050" s="101"/>
      <c r="F3050" s="108"/>
      <c r="G3050" s="120"/>
      <c r="H3050" s="101"/>
      <c r="I3050" s="93"/>
      <c r="J3050" s="91"/>
      <c r="L3050" s="94" t="str">
        <f t="shared" si="2"/>
        <v>No infirmation</v>
      </c>
      <c r="M3050" s="94" t="str">
        <f t="shared" si="3"/>
        <v/>
      </c>
    </row>
    <row r="3051" ht="15.75" customHeight="1">
      <c r="B3051" s="77">
        <f t="shared" si="1"/>
        <v>0</v>
      </c>
      <c r="C3051" s="67"/>
      <c r="D3051" s="78"/>
      <c r="E3051" s="101"/>
      <c r="F3051" s="108"/>
      <c r="G3051" s="120"/>
      <c r="H3051" s="101"/>
      <c r="I3051" s="93"/>
      <c r="J3051" s="91"/>
      <c r="L3051" s="94" t="str">
        <f t="shared" si="2"/>
        <v>No infirmation</v>
      </c>
      <c r="M3051" s="94" t="str">
        <f t="shared" si="3"/>
        <v/>
      </c>
    </row>
    <row r="3052" ht="15.75" customHeight="1">
      <c r="B3052" s="77">
        <f t="shared" si="1"/>
        <v>0</v>
      </c>
      <c r="C3052" s="67"/>
      <c r="D3052" s="78"/>
      <c r="E3052" s="101"/>
      <c r="F3052" s="108"/>
      <c r="G3052" s="120"/>
      <c r="H3052" s="101"/>
      <c r="I3052" s="93"/>
      <c r="J3052" s="91"/>
      <c r="L3052" s="94" t="str">
        <f t="shared" si="2"/>
        <v>No infirmation</v>
      </c>
      <c r="M3052" s="94" t="str">
        <f t="shared" si="3"/>
        <v/>
      </c>
    </row>
    <row r="3053" ht="15.75" customHeight="1">
      <c r="B3053" s="77">
        <f t="shared" si="1"/>
        <v>0</v>
      </c>
      <c r="C3053" s="67"/>
      <c r="D3053" s="78"/>
      <c r="E3053" s="101"/>
      <c r="F3053" s="108"/>
      <c r="G3053" s="120"/>
      <c r="H3053" s="101"/>
      <c r="I3053" s="93"/>
      <c r="J3053" s="91"/>
      <c r="L3053" s="94" t="str">
        <f t="shared" si="2"/>
        <v>No infirmation</v>
      </c>
      <c r="M3053" s="94" t="str">
        <f t="shared" si="3"/>
        <v/>
      </c>
    </row>
    <row r="3054" ht="15.75" customHeight="1">
      <c r="B3054" s="77">
        <f t="shared" si="1"/>
        <v>0</v>
      </c>
      <c r="C3054" s="67"/>
      <c r="D3054" s="78"/>
      <c r="E3054" s="101"/>
      <c r="F3054" s="108"/>
      <c r="G3054" s="120"/>
      <c r="H3054" s="101"/>
      <c r="I3054" s="93"/>
      <c r="J3054" s="91"/>
      <c r="L3054" s="94" t="str">
        <f t="shared" si="2"/>
        <v>No infirmation</v>
      </c>
      <c r="M3054" s="94" t="str">
        <f t="shared" si="3"/>
        <v/>
      </c>
    </row>
    <row r="3055" ht="15.75" customHeight="1">
      <c r="B3055" s="77">
        <f t="shared" si="1"/>
        <v>0</v>
      </c>
      <c r="C3055" s="67"/>
      <c r="D3055" s="78"/>
      <c r="E3055" s="101"/>
      <c r="F3055" s="108"/>
      <c r="G3055" s="120"/>
      <c r="H3055" s="101"/>
      <c r="I3055" s="93"/>
      <c r="J3055" s="91"/>
      <c r="L3055" s="94" t="str">
        <f t="shared" si="2"/>
        <v>No infirmation</v>
      </c>
      <c r="M3055" s="94" t="str">
        <f t="shared" si="3"/>
        <v/>
      </c>
    </row>
    <row r="3056" ht="15.75" customHeight="1">
      <c r="B3056" s="77">
        <f t="shared" si="1"/>
        <v>0</v>
      </c>
      <c r="C3056" s="67"/>
      <c r="D3056" s="78"/>
      <c r="E3056" s="101"/>
      <c r="F3056" s="108"/>
      <c r="G3056" s="120"/>
      <c r="H3056" s="101"/>
      <c r="I3056" s="93"/>
      <c r="J3056" s="91"/>
      <c r="L3056" s="94" t="str">
        <f t="shared" si="2"/>
        <v>No infirmation</v>
      </c>
      <c r="M3056" s="94" t="str">
        <f t="shared" si="3"/>
        <v/>
      </c>
    </row>
    <row r="3057" ht="15.75" customHeight="1">
      <c r="B3057" s="77">
        <f t="shared" si="1"/>
        <v>0</v>
      </c>
      <c r="C3057" s="67"/>
      <c r="D3057" s="78"/>
      <c r="E3057" s="101"/>
      <c r="F3057" s="108"/>
      <c r="G3057" s="120"/>
      <c r="H3057" s="101"/>
      <c r="I3057" s="93"/>
      <c r="J3057" s="91"/>
      <c r="L3057" s="94" t="str">
        <f t="shared" si="2"/>
        <v>No infirmation</v>
      </c>
      <c r="M3057" s="94" t="str">
        <f t="shared" si="3"/>
        <v/>
      </c>
    </row>
    <row r="3058" ht="15.75" customHeight="1">
      <c r="B3058" s="77">
        <f t="shared" si="1"/>
        <v>0</v>
      </c>
      <c r="C3058" s="67"/>
      <c r="D3058" s="78"/>
      <c r="E3058" s="101"/>
      <c r="F3058" s="108"/>
      <c r="G3058" s="120"/>
      <c r="H3058" s="101"/>
      <c r="I3058" s="93"/>
      <c r="J3058" s="91"/>
      <c r="L3058" s="94" t="str">
        <f t="shared" si="2"/>
        <v>No infirmation</v>
      </c>
      <c r="M3058" s="94" t="str">
        <f t="shared" si="3"/>
        <v/>
      </c>
    </row>
    <row r="3059" ht="15.75" customHeight="1">
      <c r="B3059" s="77">
        <f t="shared" si="1"/>
        <v>0</v>
      </c>
      <c r="C3059" s="67"/>
      <c r="D3059" s="78"/>
      <c r="E3059" s="101"/>
      <c r="F3059" s="108"/>
      <c r="G3059" s="120"/>
      <c r="H3059" s="101"/>
      <c r="I3059" s="93"/>
      <c r="J3059" s="91"/>
      <c r="L3059" s="94" t="str">
        <f t="shared" si="2"/>
        <v>No infirmation</v>
      </c>
      <c r="M3059" s="94" t="str">
        <f t="shared" si="3"/>
        <v/>
      </c>
    </row>
    <row r="3060" ht="15.75" customHeight="1">
      <c r="B3060" s="77">
        <f t="shared" si="1"/>
        <v>0</v>
      </c>
      <c r="C3060" s="67"/>
      <c r="D3060" s="78"/>
      <c r="E3060" s="101"/>
      <c r="F3060" s="108"/>
      <c r="G3060" s="120"/>
      <c r="H3060" s="101"/>
      <c r="I3060" s="93"/>
      <c r="J3060" s="91"/>
      <c r="L3060" s="94" t="str">
        <f t="shared" si="2"/>
        <v>No infirmation</v>
      </c>
      <c r="M3060" s="94" t="str">
        <f t="shared" si="3"/>
        <v/>
      </c>
    </row>
    <row r="3061" ht="15.75" customHeight="1">
      <c r="B3061" s="77">
        <f t="shared" si="1"/>
        <v>0</v>
      </c>
      <c r="C3061" s="67"/>
      <c r="D3061" s="78"/>
      <c r="E3061" s="101"/>
      <c r="F3061" s="108"/>
      <c r="G3061" s="120"/>
      <c r="H3061" s="101"/>
      <c r="I3061" s="93"/>
      <c r="J3061" s="91"/>
      <c r="L3061" s="94" t="str">
        <f t="shared" si="2"/>
        <v>No infirmation</v>
      </c>
      <c r="M3061" s="94" t="str">
        <f t="shared" si="3"/>
        <v/>
      </c>
    </row>
    <row r="3062" ht="15.75" customHeight="1">
      <c r="B3062" s="77">
        <f t="shared" si="1"/>
        <v>0</v>
      </c>
      <c r="C3062" s="67"/>
      <c r="D3062" s="78"/>
      <c r="E3062" s="101"/>
      <c r="F3062" s="108"/>
      <c r="G3062" s="120"/>
      <c r="H3062" s="101"/>
      <c r="I3062" s="93"/>
      <c r="J3062" s="91"/>
      <c r="L3062" s="94" t="str">
        <f t="shared" si="2"/>
        <v>No infirmation</v>
      </c>
      <c r="M3062" s="94" t="str">
        <f t="shared" si="3"/>
        <v/>
      </c>
    </row>
    <row r="3063" ht="15.75" customHeight="1">
      <c r="B3063" s="77">
        <f t="shared" si="1"/>
        <v>0</v>
      </c>
      <c r="C3063" s="67"/>
      <c r="D3063" s="78"/>
      <c r="E3063" s="101"/>
      <c r="F3063" s="108"/>
      <c r="G3063" s="120"/>
      <c r="H3063" s="101"/>
      <c r="I3063" s="93"/>
      <c r="J3063" s="91"/>
      <c r="L3063" s="94" t="str">
        <f t="shared" si="2"/>
        <v>No infirmation</v>
      </c>
      <c r="M3063" s="94" t="str">
        <f t="shared" si="3"/>
        <v/>
      </c>
    </row>
    <row r="3064" ht="15.75" customHeight="1">
      <c r="B3064" s="77">
        <f t="shared" si="1"/>
        <v>0</v>
      </c>
      <c r="C3064" s="67"/>
      <c r="D3064" s="78"/>
      <c r="E3064" s="101"/>
      <c r="F3064" s="108"/>
      <c r="G3064" s="120"/>
      <c r="H3064" s="101"/>
      <c r="I3064" s="93"/>
      <c r="J3064" s="91"/>
      <c r="L3064" s="94" t="str">
        <f t="shared" si="2"/>
        <v>No infirmation</v>
      </c>
      <c r="M3064" s="94" t="str">
        <f t="shared" si="3"/>
        <v/>
      </c>
    </row>
    <row r="3065" ht="15.75" customHeight="1">
      <c r="B3065" s="77">
        <f t="shared" si="1"/>
        <v>0</v>
      </c>
      <c r="C3065" s="67"/>
      <c r="D3065" s="78"/>
      <c r="E3065" s="101"/>
      <c r="F3065" s="108"/>
      <c r="G3065" s="120"/>
      <c r="H3065" s="101"/>
      <c r="I3065" s="93"/>
      <c r="J3065" s="91"/>
      <c r="L3065" s="94" t="str">
        <f t="shared" si="2"/>
        <v>No infirmation</v>
      </c>
      <c r="M3065" s="94" t="str">
        <f t="shared" si="3"/>
        <v/>
      </c>
    </row>
    <row r="3066" ht="15.75" customHeight="1">
      <c r="B3066" s="77">
        <f t="shared" si="1"/>
        <v>0</v>
      </c>
      <c r="C3066" s="67"/>
      <c r="D3066" s="78"/>
      <c r="E3066" s="101"/>
      <c r="F3066" s="108"/>
      <c r="G3066" s="120"/>
      <c r="H3066" s="101"/>
      <c r="I3066" s="93"/>
      <c r="J3066" s="91"/>
      <c r="L3066" s="94" t="str">
        <f t="shared" si="2"/>
        <v>No infirmation</v>
      </c>
      <c r="M3066" s="94" t="str">
        <f t="shared" si="3"/>
        <v/>
      </c>
    </row>
    <row r="3067" ht="15.75" customHeight="1">
      <c r="B3067" s="77">
        <f t="shared" si="1"/>
        <v>0</v>
      </c>
      <c r="C3067" s="67"/>
      <c r="D3067" s="78"/>
      <c r="E3067" s="101"/>
      <c r="F3067" s="108"/>
      <c r="G3067" s="120"/>
      <c r="H3067" s="101"/>
      <c r="I3067" s="93"/>
      <c r="J3067" s="91"/>
      <c r="L3067" s="94" t="str">
        <f t="shared" si="2"/>
        <v>No infirmation</v>
      </c>
      <c r="M3067" s="94" t="str">
        <f t="shared" si="3"/>
        <v/>
      </c>
    </row>
    <row r="3068" ht="15.75" customHeight="1">
      <c r="B3068" s="77">
        <f t="shared" si="1"/>
        <v>0</v>
      </c>
      <c r="C3068" s="67"/>
      <c r="D3068" s="78"/>
      <c r="E3068" s="101"/>
      <c r="F3068" s="108"/>
      <c r="G3068" s="120"/>
      <c r="H3068" s="101"/>
      <c r="I3068" s="93"/>
      <c r="J3068" s="91"/>
      <c r="L3068" s="94" t="str">
        <f t="shared" si="2"/>
        <v>No infirmation</v>
      </c>
      <c r="M3068" s="94" t="str">
        <f t="shared" si="3"/>
        <v/>
      </c>
    </row>
    <row r="3069" ht="15.75" customHeight="1">
      <c r="B3069" s="77">
        <f t="shared" si="1"/>
        <v>0</v>
      </c>
      <c r="C3069" s="67"/>
      <c r="D3069" s="78"/>
      <c r="E3069" s="101"/>
      <c r="F3069" s="108"/>
      <c r="G3069" s="120"/>
      <c r="H3069" s="101"/>
      <c r="I3069" s="93"/>
      <c r="J3069" s="91"/>
      <c r="L3069" s="94" t="str">
        <f t="shared" si="2"/>
        <v>No infirmation</v>
      </c>
      <c r="M3069" s="94" t="str">
        <f t="shared" si="3"/>
        <v/>
      </c>
    </row>
    <row r="3070" ht="15.75" customHeight="1">
      <c r="B3070" s="77">
        <f t="shared" si="1"/>
        <v>0</v>
      </c>
      <c r="C3070" s="67"/>
      <c r="D3070" s="78"/>
      <c r="E3070" s="101"/>
      <c r="F3070" s="108"/>
      <c r="G3070" s="120"/>
      <c r="H3070" s="101"/>
      <c r="I3070" s="93"/>
      <c r="J3070" s="91"/>
      <c r="L3070" s="94" t="str">
        <f t="shared" si="2"/>
        <v>No infirmation</v>
      </c>
      <c r="M3070" s="94" t="str">
        <f t="shared" si="3"/>
        <v/>
      </c>
    </row>
    <row r="3071" ht="15.75" customHeight="1">
      <c r="B3071" s="77">
        <f t="shared" si="1"/>
        <v>0</v>
      </c>
      <c r="C3071" s="67"/>
      <c r="D3071" s="78"/>
      <c r="E3071" s="101"/>
      <c r="F3071" s="108"/>
      <c r="G3071" s="120"/>
      <c r="H3071" s="101"/>
      <c r="I3071" s="93"/>
      <c r="J3071" s="91"/>
      <c r="L3071" s="94" t="str">
        <f t="shared" si="2"/>
        <v>No infirmation</v>
      </c>
      <c r="M3071" s="94" t="str">
        <f t="shared" si="3"/>
        <v/>
      </c>
    </row>
    <row r="3072" ht="15.75" customHeight="1">
      <c r="B3072" s="77">
        <f t="shared" si="1"/>
        <v>0</v>
      </c>
      <c r="C3072" s="67"/>
      <c r="D3072" s="78"/>
      <c r="E3072" s="101"/>
      <c r="F3072" s="108"/>
      <c r="G3072" s="120"/>
      <c r="H3072" s="101"/>
      <c r="I3072" s="93"/>
      <c r="J3072" s="91"/>
      <c r="L3072" s="94" t="str">
        <f t="shared" si="2"/>
        <v>No infirmation</v>
      </c>
      <c r="M3072" s="94" t="str">
        <f t="shared" si="3"/>
        <v/>
      </c>
    </row>
    <row r="3073" ht="15.75" customHeight="1">
      <c r="B3073" s="77">
        <f t="shared" si="1"/>
        <v>0</v>
      </c>
      <c r="C3073" s="67"/>
      <c r="D3073" s="78"/>
      <c r="E3073" s="101"/>
      <c r="F3073" s="108"/>
      <c r="G3073" s="120"/>
      <c r="H3073" s="101"/>
      <c r="I3073" s="93"/>
      <c r="J3073" s="91"/>
      <c r="L3073" s="94" t="str">
        <f t="shared" si="2"/>
        <v>No infirmation</v>
      </c>
      <c r="M3073" s="94" t="str">
        <f t="shared" si="3"/>
        <v/>
      </c>
    </row>
    <row r="3074" ht="15.75" customHeight="1">
      <c r="B3074" s="77">
        <f t="shared" si="1"/>
        <v>0</v>
      </c>
      <c r="C3074" s="67"/>
      <c r="D3074" s="78"/>
      <c r="E3074" s="101"/>
      <c r="F3074" s="108"/>
      <c r="G3074" s="120"/>
      <c r="H3074" s="101"/>
      <c r="I3074" s="93"/>
      <c r="J3074" s="91"/>
      <c r="L3074" s="94" t="str">
        <f t="shared" si="2"/>
        <v>No infirmation</v>
      </c>
      <c r="M3074" s="94" t="str">
        <f t="shared" si="3"/>
        <v/>
      </c>
    </row>
    <row r="3075" ht="15.75" customHeight="1">
      <c r="B3075" s="77">
        <f t="shared" si="1"/>
        <v>0</v>
      </c>
      <c r="C3075" s="67"/>
      <c r="D3075" s="78"/>
      <c r="E3075" s="101"/>
      <c r="F3075" s="108"/>
      <c r="G3075" s="120"/>
      <c r="H3075" s="101"/>
      <c r="I3075" s="93"/>
      <c r="J3075" s="91"/>
      <c r="L3075" s="94" t="str">
        <f t="shared" si="2"/>
        <v>No infirmation</v>
      </c>
      <c r="M3075" s="94" t="str">
        <f t="shared" si="3"/>
        <v/>
      </c>
    </row>
    <row r="3076" ht="15.75" customHeight="1">
      <c r="B3076" s="77">
        <f t="shared" si="1"/>
        <v>0</v>
      </c>
      <c r="C3076" s="67"/>
      <c r="D3076" s="78"/>
      <c r="E3076" s="101"/>
      <c r="F3076" s="108"/>
      <c r="G3076" s="120"/>
      <c r="H3076" s="101"/>
      <c r="I3076" s="93"/>
      <c r="J3076" s="91"/>
      <c r="L3076" s="94" t="str">
        <f t="shared" si="2"/>
        <v>No infirmation</v>
      </c>
      <c r="M3076" s="94" t="str">
        <f t="shared" si="3"/>
        <v/>
      </c>
    </row>
    <row r="3077" ht="15.75" customHeight="1">
      <c r="B3077" s="77">
        <f t="shared" si="1"/>
        <v>0</v>
      </c>
      <c r="C3077" s="67"/>
      <c r="D3077" s="78"/>
      <c r="E3077" s="101"/>
      <c r="F3077" s="108"/>
      <c r="G3077" s="120"/>
      <c r="H3077" s="101"/>
      <c r="I3077" s="93"/>
      <c r="J3077" s="91"/>
      <c r="L3077" s="94" t="str">
        <f t="shared" si="2"/>
        <v>No infirmation</v>
      </c>
      <c r="M3077" s="94" t="str">
        <f t="shared" si="3"/>
        <v/>
      </c>
    </row>
    <row r="3078" ht="15.75" customHeight="1">
      <c r="B3078" s="77">
        <f t="shared" si="1"/>
        <v>0</v>
      </c>
      <c r="C3078" s="67"/>
      <c r="D3078" s="78"/>
      <c r="E3078" s="101"/>
      <c r="F3078" s="108"/>
      <c r="G3078" s="120"/>
      <c r="H3078" s="101"/>
      <c r="I3078" s="93"/>
      <c r="J3078" s="91"/>
      <c r="L3078" s="94" t="str">
        <f t="shared" si="2"/>
        <v>No infirmation</v>
      </c>
      <c r="M3078" s="94" t="str">
        <f t="shared" si="3"/>
        <v/>
      </c>
    </row>
    <row r="3079" ht="15.75" customHeight="1">
      <c r="B3079" s="77">
        <f t="shared" si="1"/>
        <v>0</v>
      </c>
      <c r="C3079" s="67"/>
      <c r="D3079" s="78"/>
      <c r="E3079" s="101"/>
      <c r="F3079" s="108"/>
      <c r="G3079" s="120"/>
      <c r="H3079" s="101"/>
      <c r="I3079" s="93"/>
      <c r="J3079" s="91"/>
      <c r="L3079" s="94" t="str">
        <f t="shared" si="2"/>
        <v>No infirmation</v>
      </c>
      <c r="M3079" s="94" t="str">
        <f t="shared" si="3"/>
        <v/>
      </c>
    </row>
    <row r="3080" ht="15.75" customHeight="1">
      <c r="B3080" s="77">
        <f t="shared" si="1"/>
        <v>0</v>
      </c>
      <c r="C3080" s="67"/>
      <c r="D3080" s="78"/>
      <c r="E3080" s="101"/>
      <c r="F3080" s="108"/>
      <c r="G3080" s="120"/>
      <c r="H3080" s="101"/>
      <c r="I3080" s="93"/>
      <c r="J3080" s="91"/>
      <c r="L3080" s="94" t="str">
        <f t="shared" si="2"/>
        <v>No infirmation</v>
      </c>
      <c r="M3080" s="94" t="str">
        <f t="shared" si="3"/>
        <v/>
      </c>
    </row>
    <row r="3081" ht="15.75" customHeight="1">
      <c r="B3081" s="77">
        <f t="shared" si="1"/>
        <v>0</v>
      </c>
      <c r="C3081" s="67"/>
      <c r="D3081" s="78"/>
      <c r="E3081" s="101"/>
      <c r="F3081" s="108"/>
      <c r="G3081" s="120"/>
      <c r="H3081" s="101"/>
      <c r="I3081" s="93"/>
      <c r="J3081" s="91"/>
      <c r="L3081" s="94" t="str">
        <f t="shared" si="2"/>
        <v>No infirmation</v>
      </c>
      <c r="M3081" s="94" t="str">
        <f t="shared" si="3"/>
        <v/>
      </c>
    </row>
    <row r="3082" ht="15.75" customHeight="1">
      <c r="B3082" s="77">
        <f t="shared" si="1"/>
        <v>0</v>
      </c>
      <c r="C3082" s="67"/>
      <c r="D3082" s="78"/>
      <c r="E3082" s="101"/>
      <c r="F3082" s="108"/>
      <c r="G3082" s="120"/>
      <c r="H3082" s="101"/>
      <c r="I3082" s="93"/>
      <c r="J3082" s="91"/>
      <c r="L3082" s="94" t="str">
        <f t="shared" si="2"/>
        <v>No infirmation</v>
      </c>
      <c r="M3082" s="94" t="str">
        <f t="shared" si="3"/>
        <v/>
      </c>
    </row>
    <row r="3083" ht="15.75" customHeight="1">
      <c r="B3083" s="77">
        <f t="shared" si="1"/>
        <v>0</v>
      </c>
      <c r="C3083" s="67"/>
      <c r="D3083" s="78"/>
      <c r="E3083" s="101"/>
      <c r="F3083" s="108"/>
      <c r="G3083" s="120"/>
      <c r="H3083" s="101"/>
      <c r="I3083" s="93"/>
      <c r="J3083" s="91"/>
      <c r="L3083" s="94" t="str">
        <f t="shared" si="2"/>
        <v>No infirmation</v>
      </c>
      <c r="M3083" s="94" t="str">
        <f t="shared" si="3"/>
        <v/>
      </c>
    </row>
    <row r="3084" ht="15.75" customHeight="1">
      <c r="B3084" s="77">
        <f t="shared" si="1"/>
        <v>0</v>
      </c>
      <c r="C3084" s="67"/>
      <c r="D3084" s="78"/>
      <c r="E3084" s="101"/>
      <c r="F3084" s="108"/>
      <c r="G3084" s="120"/>
      <c r="H3084" s="101"/>
      <c r="I3084" s="93"/>
      <c r="J3084" s="91"/>
      <c r="L3084" s="94" t="str">
        <f t="shared" si="2"/>
        <v>No infirmation</v>
      </c>
      <c r="M3084" s="94" t="str">
        <f t="shared" si="3"/>
        <v/>
      </c>
    </row>
    <row r="3085" ht="15.75" customHeight="1">
      <c r="B3085" s="77">
        <f t="shared" si="1"/>
        <v>0</v>
      </c>
      <c r="C3085" s="67"/>
      <c r="D3085" s="78"/>
      <c r="E3085" s="101"/>
      <c r="F3085" s="108"/>
      <c r="G3085" s="120"/>
      <c r="H3085" s="101"/>
      <c r="I3085" s="93"/>
      <c r="J3085" s="91"/>
      <c r="L3085" s="94" t="str">
        <f t="shared" si="2"/>
        <v>No infirmation</v>
      </c>
      <c r="M3085" s="94" t="str">
        <f t="shared" si="3"/>
        <v/>
      </c>
    </row>
    <row r="3086" ht="15.75" customHeight="1">
      <c r="B3086" s="77">
        <f t="shared" si="1"/>
        <v>0</v>
      </c>
      <c r="C3086" s="67"/>
      <c r="D3086" s="78"/>
      <c r="E3086" s="101"/>
      <c r="F3086" s="108"/>
      <c r="G3086" s="120"/>
      <c r="H3086" s="101"/>
      <c r="I3086" s="93"/>
      <c r="J3086" s="91"/>
      <c r="L3086" s="94" t="str">
        <f t="shared" si="2"/>
        <v>No infirmation</v>
      </c>
      <c r="M3086" s="94" t="str">
        <f t="shared" si="3"/>
        <v/>
      </c>
    </row>
    <row r="3087" ht="15.75" customHeight="1">
      <c r="B3087" s="77">
        <f t="shared" si="1"/>
        <v>0</v>
      </c>
      <c r="C3087" s="67"/>
      <c r="D3087" s="78"/>
      <c r="E3087" s="101"/>
      <c r="F3087" s="108"/>
      <c r="G3087" s="120"/>
      <c r="H3087" s="101"/>
      <c r="I3087" s="93"/>
      <c r="J3087" s="91"/>
      <c r="L3087" s="94" t="str">
        <f t="shared" si="2"/>
        <v>No infirmation</v>
      </c>
      <c r="M3087" s="94" t="str">
        <f t="shared" si="3"/>
        <v/>
      </c>
    </row>
    <row r="3088" ht="15.75" customHeight="1">
      <c r="B3088" s="77">
        <f t="shared" si="1"/>
        <v>0</v>
      </c>
      <c r="C3088" s="67"/>
      <c r="D3088" s="78"/>
      <c r="E3088" s="101"/>
      <c r="F3088" s="108"/>
      <c r="G3088" s="120"/>
      <c r="H3088" s="101"/>
      <c r="I3088" s="93"/>
      <c r="J3088" s="91"/>
      <c r="L3088" s="94" t="str">
        <f t="shared" si="2"/>
        <v>No infirmation</v>
      </c>
      <c r="M3088" s="94" t="str">
        <f t="shared" si="3"/>
        <v/>
      </c>
    </row>
    <row r="3089" ht="15.75" customHeight="1">
      <c r="B3089" s="77">
        <f t="shared" si="1"/>
        <v>0</v>
      </c>
      <c r="C3089" s="67"/>
      <c r="D3089" s="78"/>
      <c r="E3089" s="101"/>
      <c r="F3089" s="108"/>
      <c r="G3089" s="120"/>
      <c r="H3089" s="101"/>
      <c r="I3089" s="93"/>
      <c r="J3089" s="91"/>
      <c r="L3089" s="94" t="str">
        <f t="shared" si="2"/>
        <v>No infirmation</v>
      </c>
      <c r="M3089" s="94" t="str">
        <f t="shared" si="3"/>
        <v/>
      </c>
    </row>
    <row r="3090" ht="15.75" customHeight="1">
      <c r="B3090" s="77">
        <f t="shared" si="1"/>
        <v>0</v>
      </c>
      <c r="C3090" s="67"/>
      <c r="D3090" s="78"/>
      <c r="E3090" s="101"/>
      <c r="F3090" s="108"/>
      <c r="G3090" s="120"/>
      <c r="H3090" s="101"/>
      <c r="I3090" s="93"/>
      <c r="J3090" s="91"/>
      <c r="L3090" s="94" t="str">
        <f t="shared" si="2"/>
        <v>No infirmation</v>
      </c>
      <c r="M3090" s="94" t="str">
        <f t="shared" si="3"/>
        <v/>
      </c>
    </row>
    <row r="3091" ht="15.75" customHeight="1">
      <c r="B3091" s="77">
        <f t="shared" si="1"/>
        <v>0</v>
      </c>
      <c r="C3091" s="67"/>
      <c r="D3091" s="78"/>
      <c r="E3091" s="101"/>
      <c r="F3091" s="108"/>
      <c r="G3091" s="120"/>
      <c r="H3091" s="101"/>
      <c r="I3091" s="93"/>
      <c r="J3091" s="91"/>
      <c r="L3091" s="94" t="str">
        <f t="shared" si="2"/>
        <v>No infirmation</v>
      </c>
      <c r="M3091" s="94" t="str">
        <f t="shared" si="3"/>
        <v/>
      </c>
    </row>
    <row r="3092" ht="15.75" customHeight="1">
      <c r="B3092" s="77">
        <f t="shared" si="1"/>
        <v>0</v>
      </c>
      <c r="C3092" s="67"/>
      <c r="D3092" s="78"/>
      <c r="E3092" s="101"/>
      <c r="F3092" s="108"/>
      <c r="G3092" s="120"/>
      <c r="H3092" s="101"/>
      <c r="I3092" s="93"/>
      <c r="J3092" s="91"/>
      <c r="L3092" s="94" t="str">
        <f t="shared" si="2"/>
        <v>No infirmation</v>
      </c>
      <c r="M3092" s="94" t="str">
        <f t="shared" si="3"/>
        <v/>
      </c>
    </row>
    <row r="3093" ht="15.75" customHeight="1">
      <c r="B3093" s="77">
        <f t="shared" si="1"/>
        <v>0</v>
      </c>
      <c r="C3093" s="67"/>
      <c r="D3093" s="78"/>
      <c r="E3093" s="101"/>
      <c r="F3093" s="108"/>
      <c r="G3093" s="120"/>
      <c r="H3093" s="101"/>
      <c r="I3093" s="93"/>
      <c r="J3093" s="91"/>
      <c r="L3093" s="94" t="str">
        <f t="shared" si="2"/>
        <v>No infirmation</v>
      </c>
      <c r="M3093" s="94" t="str">
        <f t="shared" si="3"/>
        <v/>
      </c>
    </row>
    <row r="3094" ht="15.75" customHeight="1">
      <c r="B3094" s="77">
        <f t="shared" si="1"/>
        <v>0</v>
      </c>
      <c r="C3094" s="67"/>
      <c r="D3094" s="78"/>
      <c r="E3094" s="101"/>
      <c r="F3094" s="108"/>
      <c r="G3094" s="120"/>
      <c r="H3094" s="101"/>
      <c r="I3094" s="93"/>
      <c r="J3094" s="91"/>
      <c r="L3094" s="94" t="str">
        <f t="shared" si="2"/>
        <v>No infirmation</v>
      </c>
      <c r="M3094" s="94" t="str">
        <f t="shared" si="3"/>
        <v/>
      </c>
    </row>
    <row r="3095" ht="15.75" customHeight="1">
      <c r="B3095" s="77">
        <f t="shared" si="1"/>
        <v>0</v>
      </c>
      <c r="C3095" s="67"/>
      <c r="D3095" s="78"/>
      <c r="E3095" s="101"/>
      <c r="F3095" s="108"/>
      <c r="G3095" s="120"/>
      <c r="H3095" s="101"/>
      <c r="I3095" s="93"/>
      <c r="J3095" s="91"/>
      <c r="L3095" s="94" t="str">
        <f t="shared" si="2"/>
        <v>No infirmation</v>
      </c>
      <c r="M3095" s="94" t="str">
        <f t="shared" si="3"/>
        <v/>
      </c>
    </row>
    <row r="3096" ht="15.75" customHeight="1">
      <c r="B3096" s="77">
        <f t="shared" si="1"/>
        <v>0</v>
      </c>
      <c r="C3096" s="67"/>
      <c r="D3096" s="78"/>
      <c r="E3096" s="101"/>
      <c r="F3096" s="108"/>
      <c r="G3096" s="120"/>
      <c r="H3096" s="101"/>
      <c r="I3096" s="93"/>
      <c r="J3096" s="91"/>
      <c r="L3096" s="94" t="str">
        <f t="shared" si="2"/>
        <v>No infirmation</v>
      </c>
      <c r="M3096" s="94" t="str">
        <f t="shared" si="3"/>
        <v/>
      </c>
    </row>
    <row r="3097" ht="15.75" customHeight="1">
      <c r="B3097" s="77">
        <f t="shared" si="1"/>
        <v>0</v>
      </c>
      <c r="C3097" s="67"/>
      <c r="D3097" s="78"/>
      <c r="E3097" s="101"/>
      <c r="F3097" s="108"/>
      <c r="G3097" s="120"/>
      <c r="H3097" s="101"/>
      <c r="I3097" s="93"/>
      <c r="J3097" s="91"/>
      <c r="L3097" s="94" t="str">
        <f t="shared" si="2"/>
        <v>No infirmation</v>
      </c>
      <c r="M3097" s="94" t="str">
        <f t="shared" si="3"/>
        <v/>
      </c>
    </row>
    <row r="3098" ht="15.75" customHeight="1">
      <c r="B3098" s="77">
        <f t="shared" si="1"/>
        <v>0</v>
      </c>
      <c r="C3098" s="67"/>
      <c r="D3098" s="78"/>
      <c r="E3098" s="101"/>
      <c r="F3098" s="108"/>
      <c r="G3098" s="120"/>
      <c r="H3098" s="101"/>
      <c r="I3098" s="93"/>
      <c r="J3098" s="91"/>
      <c r="L3098" s="94" t="str">
        <f t="shared" si="2"/>
        <v>No infirmation</v>
      </c>
      <c r="M3098" s="94" t="str">
        <f t="shared" si="3"/>
        <v/>
      </c>
    </row>
    <row r="3099" ht="15.75" customHeight="1">
      <c r="B3099" s="77">
        <f t="shared" si="1"/>
        <v>0</v>
      </c>
      <c r="C3099" s="67"/>
      <c r="D3099" s="78"/>
      <c r="E3099" s="101"/>
      <c r="F3099" s="108"/>
      <c r="G3099" s="120"/>
      <c r="H3099" s="101"/>
      <c r="I3099" s="93"/>
      <c r="J3099" s="91"/>
      <c r="L3099" s="94" t="str">
        <f t="shared" si="2"/>
        <v>No infirmation</v>
      </c>
      <c r="M3099" s="94" t="str">
        <f t="shared" si="3"/>
        <v/>
      </c>
    </row>
    <row r="3100" ht="15.75" customHeight="1">
      <c r="B3100" s="77">
        <f t="shared" si="1"/>
        <v>0</v>
      </c>
      <c r="C3100" s="67"/>
      <c r="D3100" s="78"/>
      <c r="E3100" s="101"/>
      <c r="F3100" s="108"/>
      <c r="G3100" s="120"/>
      <c r="H3100" s="101"/>
      <c r="I3100" s="93"/>
      <c r="J3100" s="91"/>
      <c r="L3100" s="94" t="str">
        <f t="shared" si="2"/>
        <v>No infirmation</v>
      </c>
      <c r="M3100" s="94" t="str">
        <f t="shared" si="3"/>
        <v/>
      </c>
    </row>
    <row r="3101" ht="15.75" customHeight="1">
      <c r="B3101" s="77">
        <f t="shared" si="1"/>
        <v>0</v>
      </c>
      <c r="C3101" s="67"/>
      <c r="D3101" s="78"/>
      <c r="E3101" s="101"/>
      <c r="F3101" s="108"/>
      <c r="G3101" s="120"/>
      <c r="H3101" s="101"/>
      <c r="I3101" s="93"/>
      <c r="J3101" s="91"/>
      <c r="L3101" s="94" t="str">
        <f t="shared" si="2"/>
        <v>No infirmation</v>
      </c>
      <c r="M3101" s="94" t="str">
        <f t="shared" si="3"/>
        <v/>
      </c>
    </row>
    <row r="3102" ht="15.75" customHeight="1">
      <c r="B3102" s="77">
        <f t="shared" si="1"/>
        <v>0</v>
      </c>
      <c r="C3102" s="67"/>
      <c r="D3102" s="78"/>
      <c r="E3102" s="101"/>
      <c r="F3102" s="108"/>
      <c r="G3102" s="120"/>
      <c r="H3102" s="101"/>
      <c r="I3102" s="93"/>
      <c r="J3102" s="91"/>
      <c r="L3102" s="94" t="str">
        <f t="shared" si="2"/>
        <v>No infirmation</v>
      </c>
      <c r="M3102" s="94" t="str">
        <f t="shared" si="3"/>
        <v/>
      </c>
    </row>
    <row r="3103" ht="15.75" customHeight="1">
      <c r="B3103" s="77">
        <f t="shared" si="1"/>
        <v>0</v>
      </c>
      <c r="C3103" s="67"/>
      <c r="D3103" s="78"/>
      <c r="E3103" s="101"/>
      <c r="F3103" s="108"/>
      <c r="G3103" s="120"/>
      <c r="H3103" s="101"/>
      <c r="I3103" s="93"/>
      <c r="J3103" s="91"/>
      <c r="L3103" s="94" t="str">
        <f t="shared" si="2"/>
        <v>No infirmation</v>
      </c>
      <c r="M3103" s="94" t="str">
        <f t="shared" si="3"/>
        <v/>
      </c>
    </row>
    <row r="3104" ht="15.75" customHeight="1">
      <c r="B3104" s="77">
        <f t="shared" si="1"/>
        <v>0</v>
      </c>
      <c r="C3104" s="67"/>
      <c r="D3104" s="78"/>
      <c r="E3104" s="101"/>
      <c r="F3104" s="108"/>
      <c r="G3104" s="120"/>
      <c r="H3104" s="101"/>
      <c r="I3104" s="93"/>
      <c r="J3104" s="91"/>
      <c r="L3104" s="94" t="str">
        <f t="shared" si="2"/>
        <v>No infirmation</v>
      </c>
      <c r="M3104" s="94" t="str">
        <f t="shared" si="3"/>
        <v/>
      </c>
    </row>
    <row r="3105" ht="15.75" customHeight="1">
      <c r="B3105" s="77">
        <f t="shared" si="1"/>
        <v>0</v>
      </c>
      <c r="C3105" s="67"/>
      <c r="D3105" s="78"/>
      <c r="E3105" s="101"/>
      <c r="F3105" s="108"/>
      <c r="G3105" s="120"/>
      <c r="H3105" s="101"/>
      <c r="I3105" s="93"/>
      <c r="J3105" s="91"/>
      <c r="L3105" s="94" t="str">
        <f t="shared" si="2"/>
        <v>No infirmation</v>
      </c>
      <c r="M3105" s="94" t="str">
        <f t="shared" si="3"/>
        <v/>
      </c>
    </row>
    <row r="3106" ht="15.75" customHeight="1">
      <c r="B3106" s="77">
        <f t="shared" si="1"/>
        <v>0</v>
      </c>
      <c r="C3106" s="67"/>
      <c r="D3106" s="78"/>
      <c r="E3106" s="101"/>
      <c r="F3106" s="108"/>
      <c r="G3106" s="120"/>
      <c r="H3106" s="101"/>
      <c r="I3106" s="93"/>
      <c r="J3106" s="91"/>
      <c r="L3106" s="94" t="str">
        <f t="shared" si="2"/>
        <v>No infirmation</v>
      </c>
      <c r="M3106" s="94" t="str">
        <f t="shared" si="3"/>
        <v/>
      </c>
    </row>
    <row r="3107" ht="15.75" customHeight="1">
      <c r="B3107" s="77">
        <f t="shared" si="1"/>
        <v>0</v>
      </c>
      <c r="C3107" s="67"/>
      <c r="D3107" s="78"/>
      <c r="E3107" s="101"/>
      <c r="F3107" s="108"/>
      <c r="G3107" s="120"/>
      <c r="H3107" s="101"/>
      <c r="I3107" s="93"/>
      <c r="J3107" s="91"/>
      <c r="L3107" s="94" t="str">
        <f t="shared" si="2"/>
        <v>No infirmation</v>
      </c>
      <c r="M3107" s="94" t="str">
        <f t="shared" si="3"/>
        <v/>
      </c>
    </row>
    <row r="3108" ht="15.75" customHeight="1">
      <c r="B3108" s="77">
        <f t="shared" si="1"/>
        <v>0</v>
      </c>
      <c r="C3108" s="67"/>
      <c r="D3108" s="78"/>
      <c r="E3108" s="101"/>
      <c r="F3108" s="108"/>
      <c r="G3108" s="120"/>
      <c r="H3108" s="101"/>
      <c r="I3108" s="93"/>
      <c r="J3108" s="91"/>
      <c r="L3108" s="94" t="str">
        <f t="shared" si="2"/>
        <v>No infirmation</v>
      </c>
      <c r="M3108" s="94" t="str">
        <f t="shared" si="3"/>
        <v/>
      </c>
    </row>
    <row r="3109" ht="15.75" customHeight="1">
      <c r="B3109" s="77">
        <f t="shared" si="1"/>
        <v>0</v>
      </c>
      <c r="C3109" s="67"/>
      <c r="D3109" s="78"/>
      <c r="E3109" s="101"/>
      <c r="F3109" s="108"/>
      <c r="G3109" s="120"/>
      <c r="H3109" s="101"/>
      <c r="I3109" s="93"/>
      <c r="J3109" s="91"/>
      <c r="L3109" s="94" t="str">
        <f t="shared" si="2"/>
        <v>No infirmation</v>
      </c>
      <c r="M3109" s="94" t="str">
        <f t="shared" si="3"/>
        <v/>
      </c>
    </row>
    <row r="3110" ht="15.75" customHeight="1">
      <c r="B3110" s="77">
        <f t="shared" si="1"/>
        <v>0</v>
      </c>
      <c r="C3110" s="67"/>
      <c r="D3110" s="78"/>
      <c r="E3110" s="101"/>
      <c r="F3110" s="108"/>
      <c r="G3110" s="120"/>
      <c r="H3110" s="101"/>
      <c r="I3110" s="93"/>
      <c r="J3110" s="91"/>
      <c r="L3110" s="94" t="str">
        <f t="shared" si="2"/>
        <v>No infirmation</v>
      </c>
      <c r="M3110" s="94" t="str">
        <f t="shared" si="3"/>
        <v/>
      </c>
    </row>
    <row r="3111" ht="15.75" customHeight="1">
      <c r="B3111" s="77">
        <f t="shared" si="1"/>
        <v>0</v>
      </c>
      <c r="C3111" s="67"/>
      <c r="D3111" s="78"/>
      <c r="E3111" s="101"/>
      <c r="F3111" s="108"/>
      <c r="G3111" s="120"/>
      <c r="H3111" s="101"/>
      <c r="I3111" s="93"/>
      <c r="J3111" s="91"/>
      <c r="L3111" s="94" t="str">
        <f t="shared" si="2"/>
        <v>No infirmation</v>
      </c>
      <c r="M3111" s="94" t="str">
        <f t="shared" si="3"/>
        <v/>
      </c>
    </row>
    <row r="3112" ht="15.75" customHeight="1">
      <c r="B3112" s="77">
        <f t="shared" si="1"/>
        <v>0</v>
      </c>
      <c r="C3112" s="67"/>
      <c r="D3112" s="78"/>
      <c r="E3112" s="101"/>
      <c r="F3112" s="108"/>
      <c r="G3112" s="120"/>
      <c r="H3112" s="101"/>
      <c r="I3112" s="93"/>
      <c r="J3112" s="91"/>
      <c r="L3112" s="94" t="str">
        <f t="shared" si="2"/>
        <v>No infirmation</v>
      </c>
      <c r="M3112" s="94" t="str">
        <f t="shared" si="3"/>
        <v/>
      </c>
    </row>
    <row r="3113" ht="15.75" customHeight="1">
      <c r="B3113" s="77">
        <f t="shared" si="1"/>
        <v>0</v>
      </c>
      <c r="C3113" s="67"/>
      <c r="D3113" s="78"/>
      <c r="E3113" s="101"/>
      <c r="F3113" s="108"/>
      <c r="G3113" s="120"/>
      <c r="H3113" s="101"/>
      <c r="I3113" s="93"/>
      <c r="J3113" s="91"/>
      <c r="L3113" s="94" t="str">
        <f t="shared" si="2"/>
        <v>No infirmation</v>
      </c>
      <c r="M3113" s="94" t="str">
        <f t="shared" si="3"/>
        <v/>
      </c>
    </row>
    <row r="3114" ht="15.75" customHeight="1">
      <c r="B3114" s="77">
        <f t="shared" si="1"/>
        <v>0</v>
      </c>
      <c r="C3114" s="67"/>
      <c r="D3114" s="78"/>
      <c r="E3114" s="101"/>
      <c r="F3114" s="108"/>
      <c r="G3114" s="120"/>
      <c r="H3114" s="101"/>
      <c r="I3114" s="93"/>
      <c r="J3114" s="91"/>
      <c r="L3114" s="94" t="str">
        <f t="shared" si="2"/>
        <v>No infirmation</v>
      </c>
      <c r="M3114" s="94" t="str">
        <f t="shared" si="3"/>
        <v/>
      </c>
    </row>
    <row r="3115" ht="15.75" customHeight="1">
      <c r="B3115" s="77">
        <f t="shared" si="1"/>
        <v>0</v>
      </c>
      <c r="C3115" s="67"/>
      <c r="D3115" s="78"/>
      <c r="E3115" s="101"/>
      <c r="F3115" s="108"/>
      <c r="G3115" s="120"/>
      <c r="H3115" s="101"/>
      <c r="I3115" s="93"/>
      <c r="J3115" s="91"/>
      <c r="L3115" s="94" t="str">
        <f t="shared" si="2"/>
        <v>No infirmation</v>
      </c>
      <c r="M3115" s="94" t="str">
        <f t="shared" si="3"/>
        <v/>
      </c>
    </row>
    <row r="3116" ht="15.75" customHeight="1">
      <c r="B3116" s="77">
        <f t="shared" si="1"/>
        <v>0</v>
      </c>
      <c r="C3116" s="67"/>
      <c r="D3116" s="78"/>
      <c r="E3116" s="101"/>
      <c r="F3116" s="108"/>
      <c r="G3116" s="120"/>
      <c r="H3116" s="101"/>
      <c r="I3116" s="93"/>
      <c r="J3116" s="91"/>
      <c r="L3116" s="94" t="str">
        <f t="shared" si="2"/>
        <v>No infirmation</v>
      </c>
      <c r="M3116" s="94" t="str">
        <f t="shared" si="3"/>
        <v/>
      </c>
    </row>
    <row r="3117" ht="15.75" customHeight="1">
      <c r="B3117" s="77">
        <f t="shared" si="1"/>
        <v>0</v>
      </c>
      <c r="C3117" s="67"/>
      <c r="D3117" s="78"/>
      <c r="E3117" s="101"/>
      <c r="F3117" s="108"/>
      <c r="G3117" s="120"/>
      <c r="H3117" s="101"/>
      <c r="I3117" s="93"/>
      <c r="J3117" s="91"/>
      <c r="L3117" s="94" t="str">
        <f t="shared" si="2"/>
        <v>No infirmation</v>
      </c>
      <c r="M3117" s="94" t="str">
        <f t="shared" si="3"/>
        <v/>
      </c>
    </row>
    <row r="3118" ht="15.75" customHeight="1">
      <c r="B3118" s="77">
        <f t="shared" si="1"/>
        <v>0</v>
      </c>
      <c r="C3118" s="67"/>
      <c r="D3118" s="78"/>
      <c r="E3118" s="101"/>
      <c r="F3118" s="108"/>
      <c r="G3118" s="120"/>
      <c r="H3118" s="101"/>
      <c r="I3118" s="93"/>
      <c r="J3118" s="91"/>
      <c r="L3118" s="94" t="str">
        <f t="shared" si="2"/>
        <v>No infirmation</v>
      </c>
      <c r="M3118" s="94" t="str">
        <f t="shared" si="3"/>
        <v/>
      </c>
    </row>
    <row r="3119" ht="15.75" customHeight="1">
      <c r="B3119" s="77">
        <f t="shared" si="1"/>
        <v>0</v>
      </c>
      <c r="C3119" s="67"/>
      <c r="D3119" s="78"/>
      <c r="E3119" s="101"/>
      <c r="F3119" s="108"/>
      <c r="G3119" s="120"/>
      <c r="H3119" s="101"/>
      <c r="I3119" s="93"/>
      <c r="J3119" s="91"/>
      <c r="L3119" s="94" t="str">
        <f t="shared" si="2"/>
        <v>No infirmation</v>
      </c>
      <c r="M3119" s="94" t="str">
        <f t="shared" si="3"/>
        <v/>
      </c>
    </row>
    <row r="3120" ht="15.75" customHeight="1">
      <c r="B3120" s="77">
        <f t="shared" si="1"/>
        <v>0</v>
      </c>
      <c r="C3120" s="67"/>
      <c r="D3120" s="78"/>
      <c r="E3120" s="101"/>
      <c r="F3120" s="108"/>
      <c r="G3120" s="120"/>
      <c r="H3120" s="101"/>
      <c r="I3120" s="93"/>
      <c r="J3120" s="91"/>
      <c r="L3120" s="94" t="str">
        <f t="shared" si="2"/>
        <v>No infirmation</v>
      </c>
      <c r="M3120" s="94" t="str">
        <f t="shared" si="3"/>
        <v/>
      </c>
    </row>
    <row r="3121" ht="15.75" customHeight="1">
      <c r="B3121" s="77">
        <f t="shared" si="1"/>
        <v>0</v>
      </c>
      <c r="C3121" s="67"/>
      <c r="D3121" s="78"/>
      <c r="E3121" s="101"/>
      <c r="F3121" s="108"/>
      <c r="G3121" s="120"/>
      <c r="H3121" s="101"/>
      <c r="I3121" s="93"/>
      <c r="J3121" s="91"/>
      <c r="L3121" s="94" t="str">
        <f t="shared" si="2"/>
        <v>No infirmation</v>
      </c>
      <c r="M3121" s="94" t="str">
        <f t="shared" si="3"/>
        <v/>
      </c>
    </row>
    <row r="3122" ht="15.75" customHeight="1">
      <c r="B3122" s="77">
        <f t="shared" si="1"/>
        <v>0</v>
      </c>
      <c r="C3122" s="67"/>
      <c r="D3122" s="78"/>
      <c r="E3122" s="101"/>
      <c r="F3122" s="108"/>
      <c r="G3122" s="120"/>
      <c r="H3122" s="101"/>
      <c r="I3122" s="93"/>
      <c r="J3122" s="91"/>
      <c r="L3122" s="94" t="str">
        <f t="shared" si="2"/>
        <v>No infirmation</v>
      </c>
      <c r="M3122" s="94" t="str">
        <f t="shared" si="3"/>
        <v/>
      </c>
    </row>
    <row r="3123" ht="15.75" customHeight="1">
      <c r="B3123" s="77">
        <f t="shared" si="1"/>
        <v>0</v>
      </c>
      <c r="C3123" s="67"/>
      <c r="D3123" s="78"/>
      <c r="E3123" s="101"/>
      <c r="F3123" s="108"/>
      <c r="G3123" s="120"/>
      <c r="H3123" s="101"/>
      <c r="I3123" s="93"/>
      <c r="J3123" s="91"/>
      <c r="L3123" s="94" t="str">
        <f t="shared" si="2"/>
        <v>No infirmation</v>
      </c>
      <c r="M3123" s="94" t="str">
        <f t="shared" si="3"/>
        <v/>
      </c>
    </row>
    <row r="3124" ht="15.75" customHeight="1">
      <c r="B3124" s="77">
        <f t="shared" si="1"/>
        <v>0</v>
      </c>
      <c r="C3124" s="67"/>
      <c r="D3124" s="78"/>
      <c r="E3124" s="101"/>
      <c r="F3124" s="108"/>
      <c r="G3124" s="120"/>
      <c r="H3124" s="101"/>
      <c r="I3124" s="93"/>
      <c r="J3124" s="91"/>
      <c r="L3124" s="94" t="str">
        <f t="shared" si="2"/>
        <v>No infirmation</v>
      </c>
      <c r="M3124" s="94" t="str">
        <f t="shared" si="3"/>
        <v/>
      </c>
    </row>
    <row r="3125" ht="15.75" customHeight="1">
      <c r="B3125" s="77">
        <f t="shared" si="1"/>
        <v>0</v>
      </c>
      <c r="C3125" s="67"/>
      <c r="D3125" s="78"/>
      <c r="E3125" s="101"/>
      <c r="F3125" s="108"/>
      <c r="G3125" s="120"/>
      <c r="H3125" s="101"/>
      <c r="I3125" s="93"/>
      <c r="J3125" s="91"/>
      <c r="L3125" s="94" t="str">
        <f t="shared" si="2"/>
        <v>No infirmation</v>
      </c>
      <c r="M3125" s="94" t="str">
        <f t="shared" si="3"/>
        <v/>
      </c>
    </row>
    <row r="3126" ht="15.75" customHeight="1">
      <c r="B3126" s="77">
        <f t="shared" si="1"/>
        <v>0</v>
      </c>
      <c r="C3126" s="67"/>
      <c r="D3126" s="78"/>
      <c r="E3126" s="101"/>
      <c r="F3126" s="108"/>
      <c r="G3126" s="120"/>
      <c r="H3126" s="101"/>
      <c r="I3126" s="93"/>
      <c r="J3126" s="91"/>
      <c r="L3126" s="94" t="str">
        <f t="shared" si="2"/>
        <v>No infirmation</v>
      </c>
      <c r="M3126" s="94" t="str">
        <f t="shared" si="3"/>
        <v/>
      </c>
    </row>
    <row r="3127" ht="15.75" customHeight="1">
      <c r="B3127" s="77">
        <f t="shared" si="1"/>
        <v>0</v>
      </c>
      <c r="C3127" s="67"/>
      <c r="D3127" s="78"/>
      <c r="E3127" s="101"/>
      <c r="F3127" s="108"/>
      <c r="G3127" s="120"/>
      <c r="H3127" s="101"/>
      <c r="I3127" s="93"/>
      <c r="J3127" s="91"/>
      <c r="L3127" s="94" t="str">
        <f t="shared" si="2"/>
        <v>No infirmation</v>
      </c>
      <c r="M3127" s="94" t="str">
        <f t="shared" si="3"/>
        <v/>
      </c>
    </row>
    <row r="3128" ht="15.75" customHeight="1">
      <c r="B3128" s="77">
        <f t="shared" si="1"/>
        <v>0</v>
      </c>
      <c r="C3128" s="67"/>
      <c r="D3128" s="78"/>
      <c r="E3128" s="101"/>
      <c r="F3128" s="108"/>
      <c r="G3128" s="120"/>
      <c r="H3128" s="101"/>
      <c r="I3128" s="93"/>
      <c r="J3128" s="91"/>
      <c r="L3128" s="94" t="str">
        <f t="shared" si="2"/>
        <v>No infirmation</v>
      </c>
      <c r="M3128" s="94" t="str">
        <f t="shared" si="3"/>
        <v/>
      </c>
    </row>
    <row r="3129" ht="15.75" customHeight="1">
      <c r="B3129" s="77">
        <f t="shared" si="1"/>
        <v>0</v>
      </c>
      <c r="C3129" s="67"/>
      <c r="D3129" s="78"/>
      <c r="E3129" s="101"/>
      <c r="F3129" s="108"/>
      <c r="G3129" s="120"/>
      <c r="H3129" s="101"/>
      <c r="I3129" s="93"/>
      <c r="J3129" s="91"/>
      <c r="L3129" s="94" t="str">
        <f t="shared" si="2"/>
        <v>No infirmation</v>
      </c>
      <c r="M3129" s="94" t="str">
        <f t="shared" si="3"/>
        <v/>
      </c>
    </row>
    <row r="3130" ht="15.75" customHeight="1">
      <c r="B3130" s="77">
        <f t="shared" si="1"/>
        <v>0</v>
      </c>
      <c r="C3130" s="67"/>
      <c r="D3130" s="78"/>
      <c r="E3130" s="101"/>
      <c r="F3130" s="108"/>
      <c r="G3130" s="120"/>
      <c r="H3130" s="101"/>
      <c r="I3130" s="93"/>
      <c r="J3130" s="91"/>
      <c r="L3130" s="94" t="str">
        <f t="shared" si="2"/>
        <v>No infirmation</v>
      </c>
      <c r="M3130" s="94" t="str">
        <f t="shared" si="3"/>
        <v/>
      </c>
    </row>
    <row r="3131" ht="15.75" customHeight="1">
      <c r="B3131" s="77">
        <f t="shared" si="1"/>
        <v>0</v>
      </c>
      <c r="C3131" s="67"/>
      <c r="D3131" s="78"/>
      <c r="E3131" s="101"/>
      <c r="F3131" s="108"/>
      <c r="G3131" s="120"/>
      <c r="H3131" s="101"/>
      <c r="I3131" s="93"/>
      <c r="J3131" s="91"/>
      <c r="L3131" s="94" t="str">
        <f t="shared" si="2"/>
        <v>No infirmation</v>
      </c>
      <c r="M3131" s="94" t="str">
        <f t="shared" si="3"/>
        <v/>
      </c>
    </row>
    <row r="3132" ht="15.75" customHeight="1">
      <c r="B3132" s="77">
        <f t="shared" si="1"/>
        <v>0</v>
      </c>
      <c r="C3132" s="67"/>
      <c r="D3132" s="78"/>
      <c r="E3132" s="101"/>
      <c r="F3132" s="108"/>
      <c r="G3132" s="120"/>
      <c r="H3132" s="101"/>
      <c r="I3132" s="93"/>
      <c r="J3132" s="91"/>
      <c r="L3132" s="94" t="str">
        <f t="shared" si="2"/>
        <v>No infirmation</v>
      </c>
      <c r="M3132" s="94" t="str">
        <f t="shared" si="3"/>
        <v/>
      </c>
    </row>
    <row r="3133" ht="15.75" customHeight="1">
      <c r="B3133" s="77">
        <f t="shared" si="1"/>
        <v>0</v>
      </c>
      <c r="C3133" s="67"/>
      <c r="D3133" s="78"/>
      <c r="E3133" s="101"/>
      <c r="F3133" s="108"/>
      <c r="G3133" s="120"/>
      <c r="H3133" s="101"/>
      <c r="I3133" s="93"/>
      <c r="J3133" s="91"/>
      <c r="L3133" s="94" t="str">
        <f t="shared" si="2"/>
        <v>No infirmation</v>
      </c>
      <c r="M3133" s="94" t="str">
        <f t="shared" si="3"/>
        <v/>
      </c>
    </row>
    <row r="3134" ht="15.75" customHeight="1">
      <c r="B3134" s="77">
        <f t="shared" si="1"/>
        <v>0</v>
      </c>
      <c r="C3134" s="67"/>
      <c r="D3134" s="78"/>
      <c r="E3134" s="101"/>
      <c r="F3134" s="108"/>
      <c r="G3134" s="120"/>
      <c r="H3134" s="101"/>
      <c r="I3134" s="93"/>
      <c r="J3134" s="91"/>
      <c r="L3134" s="94" t="str">
        <f t="shared" si="2"/>
        <v>No infirmation</v>
      </c>
      <c r="M3134" s="94" t="str">
        <f t="shared" si="3"/>
        <v/>
      </c>
    </row>
    <row r="3135" ht="15.75" customHeight="1">
      <c r="B3135" s="77">
        <f t="shared" si="1"/>
        <v>0</v>
      </c>
      <c r="C3135" s="67"/>
      <c r="D3135" s="78"/>
      <c r="E3135" s="101"/>
      <c r="F3135" s="108"/>
      <c r="G3135" s="120"/>
      <c r="H3135" s="101"/>
      <c r="I3135" s="93"/>
      <c r="J3135" s="91"/>
      <c r="L3135" s="94" t="str">
        <f t="shared" si="2"/>
        <v>No infirmation</v>
      </c>
      <c r="M3135" s="94" t="str">
        <f t="shared" si="3"/>
        <v/>
      </c>
    </row>
    <row r="3136" ht="15.75" customHeight="1">
      <c r="B3136" s="77">
        <f t="shared" si="1"/>
        <v>0</v>
      </c>
      <c r="C3136" s="67"/>
      <c r="D3136" s="78"/>
      <c r="E3136" s="101"/>
      <c r="F3136" s="108"/>
      <c r="G3136" s="120"/>
      <c r="H3136" s="101"/>
      <c r="I3136" s="93"/>
      <c r="J3136" s="91"/>
      <c r="L3136" s="94" t="str">
        <f t="shared" si="2"/>
        <v>No infirmation</v>
      </c>
      <c r="M3136" s="94" t="str">
        <f t="shared" si="3"/>
        <v/>
      </c>
    </row>
    <row r="3137" ht="15.75" customHeight="1">
      <c r="B3137" s="77">
        <f t="shared" si="1"/>
        <v>0</v>
      </c>
      <c r="C3137" s="67"/>
      <c r="D3137" s="78"/>
      <c r="E3137" s="101"/>
      <c r="F3137" s="108"/>
      <c r="G3137" s="120"/>
      <c r="H3137" s="101"/>
      <c r="I3137" s="93"/>
      <c r="J3137" s="91"/>
      <c r="L3137" s="94" t="str">
        <f t="shared" si="2"/>
        <v>No infirmation</v>
      </c>
      <c r="M3137" s="94" t="str">
        <f t="shared" si="3"/>
        <v/>
      </c>
    </row>
    <row r="3138" ht="15.75" customHeight="1">
      <c r="B3138" s="77">
        <f t="shared" si="1"/>
        <v>0</v>
      </c>
      <c r="C3138" s="67"/>
      <c r="D3138" s="78"/>
      <c r="E3138" s="101"/>
      <c r="F3138" s="108"/>
      <c r="G3138" s="120"/>
      <c r="H3138" s="101"/>
      <c r="I3138" s="93"/>
      <c r="J3138" s="91"/>
      <c r="L3138" s="94" t="str">
        <f t="shared" si="2"/>
        <v>No infirmation</v>
      </c>
      <c r="M3138" s="94" t="str">
        <f t="shared" si="3"/>
        <v/>
      </c>
    </row>
    <row r="3139" ht="15.75" customHeight="1">
      <c r="B3139" s="77">
        <f t="shared" si="1"/>
        <v>0</v>
      </c>
      <c r="C3139" s="67"/>
      <c r="D3139" s="78"/>
      <c r="E3139" s="101"/>
      <c r="F3139" s="108"/>
      <c r="G3139" s="120"/>
      <c r="H3139" s="101"/>
      <c r="I3139" s="93"/>
      <c r="J3139" s="91"/>
      <c r="L3139" s="94" t="str">
        <f t="shared" si="2"/>
        <v>No infirmation</v>
      </c>
      <c r="M3139" s="94" t="str">
        <f t="shared" si="3"/>
        <v/>
      </c>
    </row>
    <row r="3140" ht="15.75" customHeight="1">
      <c r="B3140" s="77">
        <f t="shared" si="1"/>
        <v>0</v>
      </c>
      <c r="C3140" s="67"/>
      <c r="D3140" s="78"/>
      <c r="E3140" s="101"/>
      <c r="F3140" s="108"/>
      <c r="G3140" s="120"/>
      <c r="H3140" s="101"/>
      <c r="I3140" s="93"/>
      <c r="J3140" s="91"/>
      <c r="L3140" s="94" t="str">
        <f t="shared" si="2"/>
        <v>No infirmation</v>
      </c>
      <c r="M3140" s="94" t="str">
        <f t="shared" si="3"/>
        <v/>
      </c>
    </row>
    <row r="3141" ht="15.75" customHeight="1">
      <c r="B3141" s="77">
        <f t="shared" si="1"/>
        <v>0</v>
      </c>
      <c r="C3141" s="67"/>
      <c r="D3141" s="78"/>
      <c r="E3141" s="101"/>
      <c r="F3141" s="108"/>
      <c r="G3141" s="120"/>
      <c r="H3141" s="101"/>
      <c r="I3141" s="93"/>
      <c r="J3141" s="91"/>
      <c r="L3141" s="94" t="str">
        <f t="shared" si="2"/>
        <v>No infirmation</v>
      </c>
      <c r="M3141" s="94" t="str">
        <f t="shared" si="3"/>
        <v/>
      </c>
    </row>
    <row r="3142" ht="15.75" customHeight="1">
      <c r="B3142" s="77">
        <f t="shared" si="1"/>
        <v>0</v>
      </c>
      <c r="C3142" s="67"/>
      <c r="D3142" s="78"/>
      <c r="E3142" s="101"/>
      <c r="F3142" s="108"/>
      <c r="G3142" s="120"/>
      <c r="H3142" s="101"/>
      <c r="I3142" s="93"/>
      <c r="J3142" s="91"/>
      <c r="L3142" s="94" t="str">
        <f t="shared" si="2"/>
        <v>No infirmation</v>
      </c>
      <c r="M3142" s="94" t="str">
        <f t="shared" si="3"/>
        <v/>
      </c>
    </row>
    <row r="3143" ht="15.75" customHeight="1">
      <c r="B3143" s="77">
        <f t="shared" si="1"/>
        <v>0</v>
      </c>
      <c r="C3143" s="67"/>
      <c r="D3143" s="78"/>
      <c r="E3143" s="101"/>
      <c r="F3143" s="108"/>
      <c r="G3143" s="120"/>
      <c r="H3143" s="101"/>
      <c r="I3143" s="93"/>
      <c r="J3143" s="91"/>
      <c r="L3143" s="94" t="str">
        <f t="shared" si="2"/>
        <v>No infirmation</v>
      </c>
      <c r="M3143" s="94" t="str">
        <f t="shared" si="3"/>
        <v/>
      </c>
    </row>
    <row r="3144" ht="15.75" customHeight="1">
      <c r="B3144" s="77">
        <f t="shared" si="1"/>
        <v>0</v>
      </c>
      <c r="C3144" s="67"/>
      <c r="D3144" s="78"/>
      <c r="E3144" s="101"/>
      <c r="F3144" s="108"/>
      <c r="G3144" s="120"/>
      <c r="H3144" s="101"/>
      <c r="I3144" s="93"/>
      <c r="J3144" s="91"/>
      <c r="L3144" s="94" t="str">
        <f t="shared" si="2"/>
        <v>No infirmation</v>
      </c>
      <c r="M3144" s="94" t="str">
        <f t="shared" si="3"/>
        <v/>
      </c>
    </row>
    <row r="3145" ht="15.75" customHeight="1">
      <c r="B3145" s="77">
        <f t="shared" si="1"/>
        <v>0</v>
      </c>
      <c r="C3145" s="67"/>
      <c r="D3145" s="78"/>
      <c r="E3145" s="101"/>
      <c r="F3145" s="108"/>
      <c r="G3145" s="120"/>
      <c r="H3145" s="101"/>
      <c r="I3145" s="93"/>
      <c r="J3145" s="91"/>
      <c r="L3145" s="94" t="str">
        <f t="shared" si="2"/>
        <v>No infirmation</v>
      </c>
      <c r="M3145" s="94" t="str">
        <f t="shared" si="3"/>
        <v/>
      </c>
    </row>
    <row r="3146" ht="15.75" customHeight="1">
      <c r="B3146" s="77">
        <f t="shared" si="1"/>
        <v>0</v>
      </c>
      <c r="C3146" s="67"/>
      <c r="D3146" s="78"/>
      <c r="E3146" s="101"/>
      <c r="F3146" s="108"/>
      <c r="G3146" s="120"/>
      <c r="H3146" s="101"/>
      <c r="I3146" s="93"/>
      <c r="J3146" s="91"/>
      <c r="L3146" s="94" t="str">
        <f t="shared" si="2"/>
        <v>No infirmation</v>
      </c>
      <c r="M3146" s="94" t="str">
        <f t="shared" si="3"/>
        <v/>
      </c>
    </row>
    <row r="3147" ht="15.75" customHeight="1">
      <c r="B3147" s="77">
        <f t="shared" si="1"/>
        <v>0</v>
      </c>
      <c r="C3147" s="67"/>
      <c r="D3147" s="78"/>
      <c r="E3147" s="101"/>
      <c r="F3147" s="108"/>
      <c r="G3147" s="120"/>
      <c r="H3147" s="101"/>
      <c r="I3147" s="93"/>
      <c r="J3147" s="91"/>
      <c r="L3147" s="94" t="str">
        <f t="shared" si="2"/>
        <v>No infirmation</v>
      </c>
      <c r="M3147" s="94" t="str">
        <f t="shared" si="3"/>
        <v/>
      </c>
    </row>
    <row r="3148" ht="15.75" customHeight="1">
      <c r="B3148" s="77">
        <f t="shared" si="1"/>
        <v>0</v>
      </c>
      <c r="C3148" s="67"/>
      <c r="D3148" s="78"/>
      <c r="E3148" s="101"/>
      <c r="F3148" s="108"/>
      <c r="G3148" s="120"/>
      <c r="H3148" s="101"/>
      <c r="I3148" s="93"/>
      <c r="J3148" s="91"/>
      <c r="L3148" s="94" t="str">
        <f t="shared" si="2"/>
        <v>No infirmation</v>
      </c>
      <c r="M3148" s="94" t="str">
        <f t="shared" si="3"/>
        <v/>
      </c>
    </row>
    <row r="3149" ht="15.75" customHeight="1">
      <c r="B3149" s="77">
        <f t="shared" si="1"/>
        <v>0</v>
      </c>
      <c r="C3149" s="67"/>
      <c r="D3149" s="78"/>
      <c r="E3149" s="101"/>
      <c r="F3149" s="108"/>
      <c r="G3149" s="120"/>
      <c r="H3149" s="101"/>
      <c r="I3149" s="93"/>
      <c r="J3149" s="91"/>
      <c r="L3149" s="94" t="str">
        <f t="shared" si="2"/>
        <v>No infirmation</v>
      </c>
      <c r="M3149" s="94" t="str">
        <f t="shared" si="3"/>
        <v/>
      </c>
    </row>
    <row r="3150" ht="15.75" customHeight="1">
      <c r="B3150" s="77">
        <f t="shared" si="1"/>
        <v>0</v>
      </c>
      <c r="C3150" s="67"/>
      <c r="D3150" s="78"/>
      <c r="E3150" s="101"/>
      <c r="F3150" s="108"/>
      <c r="G3150" s="120"/>
      <c r="H3150" s="101"/>
      <c r="I3150" s="93"/>
      <c r="J3150" s="91"/>
      <c r="L3150" s="94" t="str">
        <f t="shared" si="2"/>
        <v>No infirmation</v>
      </c>
      <c r="M3150" s="94" t="str">
        <f t="shared" si="3"/>
        <v/>
      </c>
    </row>
    <row r="3151" ht="15.75" customHeight="1">
      <c r="B3151" s="77">
        <f t="shared" si="1"/>
        <v>0</v>
      </c>
      <c r="C3151" s="67"/>
      <c r="D3151" s="78"/>
      <c r="E3151" s="101"/>
      <c r="F3151" s="108"/>
      <c r="G3151" s="120"/>
      <c r="H3151" s="101"/>
      <c r="I3151" s="93"/>
      <c r="J3151" s="91"/>
      <c r="L3151" s="94" t="str">
        <f t="shared" si="2"/>
        <v>No infirmation</v>
      </c>
      <c r="M3151" s="94" t="str">
        <f t="shared" si="3"/>
        <v/>
      </c>
    </row>
    <row r="3152" ht="15.75" customHeight="1">
      <c r="B3152" s="77">
        <f t="shared" si="1"/>
        <v>0</v>
      </c>
      <c r="C3152" s="67"/>
      <c r="D3152" s="78"/>
      <c r="E3152" s="101"/>
      <c r="F3152" s="108"/>
      <c r="G3152" s="120"/>
      <c r="H3152" s="101"/>
      <c r="I3152" s="93"/>
      <c r="J3152" s="91"/>
      <c r="L3152" s="94" t="str">
        <f t="shared" si="2"/>
        <v>No infirmation</v>
      </c>
      <c r="M3152" s="94" t="str">
        <f t="shared" si="3"/>
        <v/>
      </c>
    </row>
    <row r="3153" ht="15.75" customHeight="1">
      <c r="B3153" s="77">
        <f t="shared" si="1"/>
        <v>0</v>
      </c>
      <c r="C3153" s="67"/>
      <c r="D3153" s="78"/>
      <c r="E3153" s="101"/>
      <c r="F3153" s="108"/>
      <c r="G3153" s="120"/>
      <c r="H3153" s="101"/>
      <c r="I3153" s="93"/>
      <c r="J3153" s="91"/>
      <c r="L3153" s="94" t="str">
        <f t="shared" si="2"/>
        <v>No infirmation</v>
      </c>
      <c r="M3153" s="94" t="str">
        <f t="shared" si="3"/>
        <v/>
      </c>
    </row>
    <row r="3154" ht="15.75" customHeight="1">
      <c r="B3154" s="77">
        <f t="shared" si="1"/>
        <v>0</v>
      </c>
      <c r="C3154" s="67"/>
      <c r="D3154" s="78"/>
      <c r="E3154" s="101"/>
      <c r="F3154" s="108"/>
      <c r="G3154" s="120"/>
      <c r="H3154" s="101"/>
      <c r="I3154" s="93"/>
      <c r="J3154" s="91"/>
      <c r="L3154" s="94" t="str">
        <f t="shared" si="2"/>
        <v>No infirmation</v>
      </c>
      <c r="M3154" s="94" t="str">
        <f t="shared" si="3"/>
        <v/>
      </c>
    </row>
    <row r="3155" ht="15.75" customHeight="1">
      <c r="B3155" s="77">
        <f t="shared" si="1"/>
        <v>0</v>
      </c>
      <c r="C3155" s="67"/>
      <c r="D3155" s="78"/>
      <c r="E3155" s="101"/>
      <c r="F3155" s="108"/>
      <c r="G3155" s="120"/>
      <c r="H3155" s="101"/>
      <c r="I3155" s="93"/>
      <c r="J3155" s="91"/>
      <c r="L3155" s="94" t="str">
        <f t="shared" si="2"/>
        <v>No infirmation</v>
      </c>
      <c r="M3155" s="94" t="str">
        <f t="shared" si="3"/>
        <v/>
      </c>
    </row>
    <row r="3156" ht="15.75" customHeight="1">
      <c r="B3156" s="77">
        <f t="shared" si="1"/>
        <v>0</v>
      </c>
      <c r="C3156" s="67"/>
      <c r="D3156" s="78"/>
      <c r="E3156" s="101"/>
      <c r="F3156" s="108"/>
      <c r="G3156" s="120"/>
      <c r="H3156" s="101"/>
      <c r="I3156" s="93"/>
      <c r="J3156" s="91"/>
      <c r="L3156" s="94" t="str">
        <f t="shared" si="2"/>
        <v>No infirmation</v>
      </c>
      <c r="M3156" s="94" t="str">
        <f t="shared" si="3"/>
        <v/>
      </c>
    </row>
    <row r="3157" ht="15.75" customHeight="1">
      <c r="B3157" s="77">
        <f t="shared" si="1"/>
        <v>0</v>
      </c>
      <c r="C3157" s="67"/>
      <c r="D3157" s="78"/>
      <c r="E3157" s="101"/>
      <c r="F3157" s="108"/>
      <c r="G3157" s="120"/>
      <c r="H3157" s="101"/>
      <c r="I3157" s="93"/>
      <c r="J3157" s="91"/>
      <c r="L3157" s="94" t="str">
        <f t="shared" si="2"/>
        <v>No infirmation</v>
      </c>
      <c r="M3157" s="94" t="str">
        <f t="shared" si="3"/>
        <v/>
      </c>
    </row>
    <row r="3158" ht="15.75" customHeight="1">
      <c r="B3158" s="77">
        <f t="shared" si="1"/>
        <v>0</v>
      </c>
      <c r="C3158" s="67"/>
      <c r="D3158" s="78"/>
      <c r="E3158" s="101"/>
      <c r="F3158" s="108"/>
      <c r="G3158" s="120"/>
      <c r="H3158" s="101"/>
      <c r="I3158" s="93"/>
      <c r="J3158" s="91"/>
      <c r="L3158" s="94" t="str">
        <f t="shared" si="2"/>
        <v>No infirmation</v>
      </c>
      <c r="M3158" s="94" t="str">
        <f t="shared" si="3"/>
        <v/>
      </c>
    </row>
    <row r="3159" ht="15.75" customHeight="1">
      <c r="B3159" s="77">
        <f t="shared" si="1"/>
        <v>0</v>
      </c>
      <c r="C3159" s="67"/>
      <c r="D3159" s="78"/>
      <c r="E3159" s="101"/>
      <c r="F3159" s="108"/>
      <c r="G3159" s="120"/>
      <c r="H3159" s="101"/>
      <c r="I3159" s="93"/>
      <c r="J3159" s="91"/>
      <c r="L3159" s="94" t="str">
        <f t="shared" si="2"/>
        <v>No infirmation</v>
      </c>
      <c r="M3159" s="94" t="str">
        <f t="shared" si="3"/>
        <v/>
      </c>
    </row>
    <row r="3160" ht="15.75" customHeight="1">
      <c r="B3160" s="77">
        <f t="shared" si="1"/>
        <v>0</v>
      </c>
      <c r="C3160" s="67"/>
      <c r="D3160" s="78"/>
      <c r="E3160" s="101"/>
      <c r="F3160" s="108"/>
      <c r="G3160" s="120"/>
      <c r="H3160" s="101"/>
      <c r="I3160" s="93"/>
      <c r="J3160" s="91"/>
      <c r="L3160" s="94" t="str">
        <f t="shared" si="2"/>
        <v>No infirmation</v>
      </c>
      <c r="M3160" s="94" t="str">
        <f t="shared" si="3"/>
        <v/>
      </c>
    </row>
    <row r="3161" ht="15.75" customHeight="1">
      <c r="B3161" s="77">
        <f t="shared" si="1"/>
        <v>0</v>
      </c>
      <c r="C3161" s="67"/>
      <c r="D3161" s="78"/>
      <c r="E3161" s="101"/>
      <c r="F3161" s="108"/>
      <c r="G3161" s="120"/>
      <c r="H3161" s="101"/>
      <c r="I3161" s="93"/>
      <c r="J3161" s="91"/>
      <c r="L3161" s="94" t="str">
        <f t="shared" si="2"/>
        <v>No infirmation</v>
      </c>
      <c r="M3161" s="94" t="str">
        <f t="shared" si="3"/>
        <v/>
      </c>
    </row>
    <row r="3162" ht="15.75" customHeight="1">
      <c r="B3162" s="77">
        <f t="shared" si="1"/>
        <v>0</v>
      </c>
      <c r="C3162" s="67"/>
      <c r="D3162" s="78"/>
      <c r="E3162" s="101"/>
      <c r="F3162" s="108"/>
      <c r="G3162" s="120"/>
      <c r="H3162" s="101"/>
      <c r="I3162" s="93"/>
      <c r="J3162" s="91"/>
      <c r="L3162" s="94" t="str">
        <f t="shared" si="2"/>
        <v>No infirmation</v>
      </c>
      <c r="M3162" s="94" t="str">
        <f t="shared" si="3"/>
        <v/>
      </c>
    </row>
    <row r="3163" ht="15.75" customHeight="1">
      <c r="B3163" s="77">
        <f t="shared" si="1"/>
        <v>0</v>
      </c>
      <c r="C3163" s="67"/>
      <c r="D3163" s="78"/>
      <c r="E3163" s="101"/>
      <c r="F3163" s="108"/>
      <c r="G3163" s="120"/>
      <c r="H3163" s="101"/>
      <c r="I3163" s="93"/>
      <c r="J3163" s="91"/>
      <c r="L3163" s="94" t="str">
        <f t="shared" si="2"/>
        <v>No infirmation</v>
      </c>
      <c r="M3163" s="94" t="str">
        <f t="shared" si="3"/>
        <v/>
      </c>
    </row>
    <row r="3164" ht="15.75" customHeight="1">
      <c r="B3164" s="77">
        <f t="shared" si="1"/>
        <v>0</v>
      </c>
      <c r="C3164" s="67"/>
      <c r="D3164" s="78"/>
      <c r="E3164" s="101"/>
      <c r="F3164" s="108"/>
      <c r="G3164" s="120"/>
      <c r="H3164" s="101"/>
      <c r="I3164" s="93"/>
      <c r="J3164" s="91"/>
      <c r="L3164" s="94" t="str">
        <f t="shared" si="2"/>
        <v>No infirmation</v>
      </c>
      <c r="M3164" s="94" t="str">
        <f t="shared" si="3"/>
        <v/>
      </c>
    </row>
    <row r="3165" ht="15.75" customHeight="1">
      <c r="B3165" s="77">
        <f t="shared" si="1"/>
        <v>0</v>
      </c>
      <c r="C3165" s="67"/>
      <c r="D3165" s="78"/>
      <c r="E3165" s="101"/>
      <c r="F3165" s="108"/>
      <c r="G3165" s="120"/>
      <c r="H3165" s="101"/>
      <c r="I3165" s="93"/>
      <c r="J3165" s="91"/>
      <c r="L3165" s="94" t="str">
        <f t="shared" si="2"/>
        <v>No infirmation</v>
      </c>
      <c r="M3165" s="94" t="str">
        <f t="shared" si="3"/>
        <v/>
      </c>
    </row>
    <row r="3166" ht="15.75" customHeight="1">
      <c r="B3166" s="77">
        <f t="shared" si="1"/>
        <v>0</v>
      </c>
      <c r="C3166" s="67"/>
      <c r="D3166" s="78"/>
      <c r="E3166" s="101"/>
      <c r="F3166" s="108"/>
      <c r="G3166" s="120"/>
      <c r="H3166" s="101"/>
      <c r="I3166" s="93"/>
      <c r="J3166" s="91"/>
      <c r="L3166" s="94" t="str">
        <f t="shared" si="2"/>
        <v>No infirmation</v>
      </c>
      <c r="M3166" s="94" t="str">
        <f t="shared" si="3"/>
        <v/>
      </c>
    </row>
    <row r="3167" ht="15.75" customHeight="1">
      <c r="B3167" s="77">
        <f t="shared" si="1"/>
        <v>0</v>
      </c>
      <c r="C3167" s="67"/>
      <c r="D3167" s="78"/>
      <c r="E3167" s="101"/>
      <c r="F3167" s="108"/>
      <c r="G3167" s="120"/>
      <c r="H3167" s="101"/>
      <c r="I3167" s="93"/>
      <c r="J3167" s="91"/>
      <c r="L3167" s="94" t="str">
        <f t="shared" si="2"/>
        <v>No infirmation</v>
      </c>
      <c r="M3167" s="94" t="str">
        <f t="shared" si="3"/>
        <v/>
      </c>
    </row>
    <row r="3168" ht="15.75" customHeight="1">
      <c r="B3168" s="77">
        <f t="shared" si="1"/>
        <v>0</v>
      </c>
      <c r="C3168" s="67"/>
      <c r="D3168" s="78"/>
      <c r="E3168" s="101"/>
      <c r="F3168" s="108"/>
      <c r="G3168" s="120"/>
      <c r="H3168" s="101"/>
      <c r="I3168" s="93"/>
      <c r="J3168" s="91"/>
      <c r="L3168" s="94" t="str">
        <f t="shared" si="2"/>
        <v>No infirmation</v>
      </c>
      <c r="M3168" s="94" t="str">
        <f t="shared" si="3"/>
        <v/>
      </c>
    </row>
    <row r="3169" ht="15.75" customHeight="1">
      <c r="B3169" s="77">
        <f t="shared" si="1"/>
        <v>0</v>
      </c>
      <c r="C3169" s="67"/>
      <c r="D3169" s="78"/>
      <c r="E3169" s="101"/>
      <c r="F3169" s="108"/>
      <c r="G3169" s="120"/>
      <c r="H3169" s="101"/>
      <c r="I3169" s="93"/>
      <c r="J3169" s="91"/>
      <c r="L3169" s="94" t="str">
        <f t="shared" si="2"/>
        <v>No infirmation</v>
      </c>
      <c r="M3169" s="94" t="str">
        <f t="shared" si="3"/>
        <v/>
      </c>
    </row>
    <row r="3170" ht="15.75" customHeight="1">
      <c r="B3170" s="77">
        <f t="shared" si="1"/>
        <v>0</v>
      </c>
      <c r="C3170" s="67"/>
      <c r="D3170" s="78"/>
      <c r="E3170" s="101"/>
      <c r="F3170" s="108"/>
      <c r="G3170" s="120"/>
      <c r="H3170" s="101"/>
      <c r="I3170" s="93"/>
      <c r="J3170" s="91"/>
      <c r="L3170" s="94" t="str">
        <f t="shared" si="2"/>
        <v>No infirmation</v>
      </c>
      <c r="M3170" s="94" t="str">
        <f t="shared" si="3"/>
        <v/>
      </c>
    </row>
    <row r="3171" ht="15.75" customHeight="1">
      <c r="B3171" s="77">
        <f t="shared" si="1"/>
        <v>0</v>
      </c>
      <c r="C3171" s="67"/>
      <c r="D3171" s="78"/>
      <c r="E3171" s="101"/>
      <c r="F3171" s="108"/>
      <c r="G3171" s="120"/>
      <c r="H3171" s="101"/>
      <c r="I3171" s="93"/>
      <c r="J3171" s="91"/>
      <c r="L3171" s="94" t="str">
        <f t="shared" si="2"/>
        <v>No infirmation</v>
      </c>
      <c r="M3171" s="94" t="str">
        <f t="shared" si="3"/>
        <v/>
      </c>
    </row>
    <row r="3172" ht="15.75" customHeight="1">
      <c r="B3172" s="77">
        <f t="shared" si="1"/>
        <v>0</v>
      </c>
      <c r="C3172" s="67"/>
      <c r="D3172" s="78"/>
      <c r="E3172" s="101"/>
      <c r="F3172" s="108"/>
      <c r="G3172" s="120"/>
      <c r="H3172" s="101"/>
      <c r="I3172" s="93"/>
      <c r="J3172" s="91"/>
      <c r="L3172" s="94" t="str">
        <f t="shared" si="2"/>
        <v>No infirmation</v>
      </c>
      <c r="M3172" s="94" t="str">
        <f t="shared" si="3"/>
        <v/>
      </c>
    </row>
    <row r="3173" ht="15.75" customHeight="1">
      <c r="B3173" s="77">
        <f t="shared" si="1"/>
        <v>0</v>
      </c>
      <c r="C3173" s="67"/>
      <c r="D3173" s="78"/>
      <c r="E3173" s="101"/>
      <c r="F3173" s="108"/>
      <c r="G3173" s="120"/>
      <c r="H3173" s="101"/>
      <c r="I3173" s="93"/>
      <c r="J3173" s="91"/>
      <c r="L3173" s="94" t="str">
        <f t="shared" si="2"/>
        <v>No infirmation</v>
      </c>
      <c r="M3173" s="94" t="str">
        <f t="shared" si="3"/>
        <v/>
      </c>
    </row>
    <row r="3174" ht="15.75" customHeight="1">
      <c r="B3174" s="77">
        <f t="shared" si="1"/>
        <v>0</v>
      </c>
      <c r="C3174" s="67"/>
      <c r="D3174" s="78"/>
      <c r="E3174" s="101"/>
      <c r="F3174" s="108"/>
      <c r="G3174" s="120"/>
      <c r="H3174" s="101"/>
      <c r="I3174" s="93"/>
      <c r="J3174" s="91"/>
      <c r="L3174" s="94" t="str">
        <f t="shared" si="2"/>
        <v>No infirmation</v>
      </c>
      <c r="M3174" s="94" t="str">
        <f t="shared" si="3"/>
        <v/>
      </c>
    </row>
    <row r="3175" ht="15.75" customHeight="1">
      <c r="B3175" s="77">
        <f t="shared" si="1"/>
        <v>0</v>
      </c>
      <c r="C3175" s="67"/>
      <c r="D3175" s="78"/>
      <c r="E3175" s="101"/>
      <c r="F3175" s="108"/>
      <c r="G3175" s="120"/>
      <c r="H3175" s="101"/>
      <c r="I3175" s="93"/>
      <c r="J3175" s="91"/>
      <c r="L3175" s="94" t="str">
        <f t="shared" si="2"/>
        <v>No infirmation</v>
      </c>
      <c r="M3175" s="94" t="str">
        <f t="shared" si="3"/>
        <v/>
      </c>
    </row>
    <row r="3176" ht="15.75" customHeight="1">
      <c r="B3176" s="77">
        <f t="shared" si="1"/>
        <v>0</v>
      </c>
      <c r="C3176" s="67"/>
      <c r="D3176" s="78"/>
      <c r="E3176" s="101"/>
      <c r="F3176" s="108"/>
      <c r="G3176" s="120"/>
      <c r="H3176" s="101"/>
      <c r="I3176" s="93"/>
      <c r="J3176" s="91"/>
      <c r="L3176" s="94" t="str">
        <f t="shared" si="2"/>
        <v>No infirmation</v>
      </c>
      <c r="M3176" s="94" t="str">
        <f t="shared" si="3"/>
        <v/>
      </c>
    </row>
    <row r="3177" ht="15.75" customHeight="1">
      <c r="B3177" s="77">
        <f t="shared" si="1"/>
        <v>0</v>
      </c>
      <c r="C3177" s="67"/>
      <c r="D3177" s="78"/>
      <c r="E3177" s="101"/>
      <c r="F3177" s="108"/>
      <c r="G3177" s="120"/>
      <c r="H3177" s="101"/>
      <c r="I3177" s="93"/>
      <c r="J3177" s="91"/>
      <c r="L3177" s="94" t="str">
        <f t="shared" si="2"/>
        <v>No infirmation</v>
      </c>
      <c r="M3177" s="94" t="str">
        <f t="shared" si="3"/>
        <v/>
      </c>
    </row>
    <row r="3178" ht="15.75" customHeight="1">
      <c r="B3178" s="77">
        <f t="shared" si="1"/>
        <v>0</v>
      </c>
      <c r="C3178" s="67"/>
      <c r="D3178" s="78"/>
      <c r="E3178" s="101"/>
      <c r="F3178" s="108"/>
      <c r="G3178" s="120"/>
      <c r="H3178" s="101"/>
      <c r="I3178" s="93"/>
      <c r="J3178" s="91"/>
      <c r="L3178" s="94" t="str">
        <f t="shared" si="2"/>
        <v>No infirmation</v>
      </c>
      <c r="M3178" s="94" t="str">
        <f t="shared" si="3"/>
        <v/>
      </c>
    </row>
    <row r="3179" ht="15.75" customHeight="1">
      <c r="B3179" s="77">
        <f t="shared" si="1"/>
        <v>0</v>
      </c>
      <c r="C3179" s="67"/>
      <c r="D3179" s="78"/>
      <c r="E3179" s="101"/>
      <c r="F3179" s="108"/>
      <c r="G3179" s="120"/>
      <c r="H3179" s="101"/>
      <c r="I3179" s="93"/>
      <c r="J3179" s="91"/>
      <c r="L3179" s="94" t="str">
        <f t="shared" si="2"/>
        <v>No infirmation</v>
      </c>
      <c r="M3179" s="94" t="str">
        <f t="shared" si="3"/>
        <v/>
      </c>
    </row>
    <row r="3180" ht="15.75" customHeight="1">
      <c r="B3180" s="77">
        <f t="shared" si="1"/>
        <v>0</v>
      </c>
      <c r="C3180" s="67"/>
      <c r="D3180" s="78"/>
      <c r="E3180" s="101"/>
      <c r="F3180" s="108"/>
      <c r="G3180" s="120"/>
      <c r="H3180" s="101"/>
      <c r="I3180" s="93"/>
      <c r="J3180" s="91"/>
      <c r="L3180" s="94" t="str">
        <f t="shared" si="2"/>
        <v>No infirmation</v>
      </c>
      <c r="M3180" s="94" t="str">
        <f t="shared" si="3"/>
        <v/>
      </c>
    </row>
    <row r="3181" ht="15.75" customHeight="1">
      <c r="B3181" s="77">
        <f t="shared" si="1"/>
        <v>0</v>
      </c>
      <c r="C3181" s="67"/>
      <c r="D3181" s="78"/>
      <c r="E3181" s="101"/>
      <c r="F3181" s="108"/>
      <c r="G3181" s="120"/>
      <c r="H3181" s="101"/>
      <c r="I3181" s="93"/>
      <c r="J3181" s="91"/>
      <c r="L3181" s="94" t="str">
        <f t="shared" si="2"/>
        <v>No infirmation</v>
      </c>
      <c r="M3181" s="94" t="str">
        <f t="shared" si="3"/>
        <v/>
      </c>
    </row>
    <row r="3182" ht="15.75" customHeight="1">
      <c r="B3182" s="77">
        <f t="shared" si="1"/>
        <v>0</v>
      </c>
      <c r="C3182" s="67"/>
      <c r="D3182" s="78"/>
      <c r="E3182" s="101"/>
      <c r="F3182" s="108"/>
      <c r="G3182" s="120"/>
      <c r="H3182" s="101"/>
      <c r="I3182" s="93"/>
      <c r="J3182" s="91"/>
      <c r="L3182" s="94" t="str">
        <f t="shared" si="2"/>
        <v>No infirmation</v>
      </c>
      <c r="M3182" s="94" t="str">
        <f t="shared" si="3"/>
        <v/>
      </c>
    </row>
    <row r="3183" ht="15.75" customHeight="1">
      <c r="B3183" s="77">
        <f t="shared" si="1"/>
        <v>0</v>
      </c>
      <c r="C3183" s="67"/>
      <c r="D3183" s="78"/>
      <c r="E3183" s="101"/>
      <c r="F3183" s="108"/>
      <c r="G3183" s="120"/>
      <c r="H3183" s="101"/>
      <c r="I3183" s="93"/>
      <c r="J3183" s="91"/>
      <c r="L3183" s="94" t="str">
        <f t="shared" si="2"/>
        <v>No infirmation</v>
      </c>
      <c r="M3183" s="94" t="str">
        <f t="shared" si="3"/>
        <v/>
      </c>
    </row>
    <row r="3184" ht="15.75" customHeight="1">
      <c r="B3184" s="77">
        <f t="shared" si="1"/>
        <v>0</v>
      </c>
      <c r="C3184" s="67"/>
      <c r="D3184" s="78"/>
      <c r="E3184" s="101"/>
      <c r="F3184" s="108"/>
      <c r="G3184" s="120"/>
      <c r="H3184" s="101"/>
      <c r="I3184" s="93"/>
      <c r="J3184" s="91"/>
      <c r="L3184" s="94" t="str">
        <f t="shared" si="2"/>
        <v>No infirmation</v>
      </c>
      <c r="M3184" s="94" t="str">
        <f t="shared" si="3"/>
        <v/>
      </c>
    </row>
    <row r="3185" ht="15.75" customHeight="1">
      <c r="B3185" s="77">
        <f t="shared" si="1"/>
        <v>0</v>
      </c>
      <c r="C3185" s="67"/>
      <c r="D3185" s="78"/>
      <c r="E3185" s="101"/>
      <c r="F3185" s="108"/>
      <c r="G3185" s="120"/>
      <c r="H3185" s="101"/>
      <c r="I3185" s="93"/>
      <c r="J3185" s="91"/>
      <c r="L3185" s="94" t="str">
        <f t="shared" si="2"/>
        <v>No infirmation</v>
      </c>
      <c r="M3185" s="94" t="str">
        <f t="shared" si="3"/>
        <v/>
      </c>
    </row>
    <row r="3186" ht="15.75" customHeight="1">
      <c r="B3186" s="77">
        <f t="shared" si="1"/>
        <v>0</v>
      </c>
      <c r="C3186" s="67"/>
      <c r="D3186" s="78"/>
      <c r="E3186" s="101"/>
      <c r="F3186" s="108"/>
      <c r="G3186" s="120"/>
      <c r="H3186" s="101"/>
      <c r="I3186" s="93"/>
      <c r="J3186" s="91"/>
      <c r="L3186" s="94" t="str">
        <f t="shared" si="2"/>
        <v>No infirmation</v>
      </c>
      <c r="M3186" s="94" t="str">
        <f t="shared" si="3"/>
        <v/>
      </c>
    </row>
    <row r="3187" ht="15.75" customHeight="1">
      <c r="B3187" s="77">
        <f t="shared" si="1"/>
        <v>0</v>
      </c>
      <c r="C3187" s="67"/>
      <c r="D3187" s="78"/>
      <c r="E3187" s="101"/>
      <c r="F3187" s="108"/>
      <c r="G3187" s="120"/>
      <c r="H3187" s="101"/>
      <c r="I3187" s="93"/>
      <c r="J3187" s="91"/>
      <c r="L3187" s="94" t="str">
        <f t="shared" si="2"/>
        <v>No infirmation</v>
      </c>
      <c r="M3187" s="94" t="str">
        <f t="shared" si="3"/>
        <v/>
      </c>
    </row>
    <row r="3188" ht="15.75" customHeight="1">
      <c r="B3188" s="77">
        <f t="shared" si="1"/>
        <v>0</v>
      </c>
      <c r="C3188" s="67"/>
      <c r="D3188" s="78"/>
      <c r="E3188" s="101"/>
      <c r="F3188" s="108"/>
      <c r="G3188" s="120"/>
      <c r="H3188" s="101"/>
      <c r="I3188" s="93"/>
      <c r="J3188" s="91"/>
      <c r="L3188" s="94" t="str">
        <f t="shared" si="2"/>
        <v>No infirmation</v>
      </c>
      <c r="M3188" s="94" t="str">
        <f t="shared" si="3"/>
        <v/>
      </c>
    </row>
    <row r="3189" ht="15.75" customHeight="1">
      <c r="B3189" s="77">
        <f t="shared" si="1"/>
        <v>0</v>
      </c>
      <c r="C3189" s="67"/>
      <c r="D3189" s="78"/>
      <c r="E3189" s="101"/>
      <c r="F3189" s="108"/>
      <c r="G3189" s="120"/>
      <c r="H3189" s="101"/>
      <c r="I3189" s="93"/>
      <c r="J3189" s="91"/>
      <c r="L3189" s="94" t="str">
        <f t="shared" si="2"/>
        <v>No infirmation</v>
      </c>
      <c r="M3189" s="94" t="str">
        <f t="shared" si="3"/>
        <v/>
      </c>
    </row>
    <row r="3190" ht="15.75" customHeight="1">
      <c r="B3190" s="77">
        <f t="shared" si="1"/>
        <v>0</v>
      </c>
      <c r="C3190" s="67"/>
      <c r="D3190" s="78"/>
      <c r="E3190" s="101"/>
      <c r="F3190" s="108"/>
      <c r="G3190" s="120"/>
      <c r="H3190" s="101"/>
      <c r="I3190" s="93"/>
      <c r="J3190" s="91"/>
      <c r="L3190" s="94" t="str">
        <f t="shared" si="2"/>
        <v>No infirmation</v>
      </c>
      <c r="M3190" s="94" t="str">
        <f t="shared" si="3"/>
        <v/>
      </c>
    </row>
    <row r="3191" ht="15.75" customHeight="1">
      <c r="B3191" s="77">
        <f t="shared" si="1"/>
        <v>0</v>
      </c>
      <c r="C3191" s="67"/>
      <c r="D3191" s="78"/>
      <c r="E3191" s="101"/>
      <c r="F3191" s="108"/>
      <c r="G3191" s="120"/>
      <c r="H3191" s="101"/>
      <c r="I3191" s="93"/>
      <c r="J3191" s="91"/>
      <c r="L3191" s="94" t="str">
        <f t="shared" si="2"/>
        <v>No infirmation</v>
      </c>
      <c r="M3191" s="94" t="str">
        <f t="shared" si="3"/>
        <v/>
      </c>
    </row>
    <row r="3192" ht="15.75" customHeight="1">
      <c r="B3192" s="77">
        <f t="shared" si="1"/>
        <v>0</v>
      </c>
      <c r="C3192" s="67"/>
      <c r="D3192" s="78"/>
      <c r="E3192" s="101"/>
      <c r="F3192" s="108"/>
      <c r="G3192" s="120"/>
      <c r="H3192" s="101"/>
      <c r="I3192" s="93"/>
      <c r="J3192" s="91"/>
      <c r="L3192" s="94" t="str">
        <f t="shared" si="2"/>
        <v>No infirmation</v>
      </c>
      <c r="M3192" s="94" t="str">
        <f t="shared" si="3"/>
        <v/>
      </c>
    </row>
    <row r="3193" ht="15.75" customHeight="1">
      <c r="B3193" s="77">
        <f t="shared" si="1"/>
        <v>0</v>
      </c>
      <c r="C3193" s="67"/>
      <c r="D3193" s="78"/>
      <c r="E3193" s="101"/>
      <c r="F3193" s="108"/>
      <c r="G3193" s="120"/>
      <c r="H3193" s="101"/>
      <c r="I3193" s="93"/>
      <c r="J3193" s="91"/>
      <c r="L3193" s="94" t="str">
        <f t="shared" si="2"/>
        <v>No infirmation</v>
      </c>
      <c r="M3193" s="94" t="str">
        <f t="shared" si="3"/>
        <v/>
      </c>
    </row>
    <row r="3194" ht="15.75" customHeight="1">
      <c r="B3194" s="77">
        <f t="shared" si="1"/>
        <v>0</v>
      </c>
      <c r="C3194" s="67"/>
      <c r="D3194" s="78"/>
      <c r="E3194" s="101"/>
      <c r="F3194" s="108"/>
      <c r="G3194" s="120"/>
      <c r="H3194" s="101"/>
      <c r="I3194" s="93"/>
      <c r="J3194" s="91"/>
      <c r="L3194" s="94" t="str">
        <f t="shared" si="2"/>
        <v>No infirmation</v>
      </c>
      <c r="M3194" s="94" t="str">
        <f t="shared" si="3"/>
        <v/>
      </c>
    </row>
    <row r="3195" ht="15.75" customHeight="1">
      <c r="B3195" s="77">
        <f t="shared" si="1"/>
        <v>0</v>
      </c>
      <c r="C3195" s="67"/>
      <c r="D3195" s="78"/>
      <c r="E3195" s="101"/>
      <c r="F3195" s="108"/>
      <c r="G3195" s="120"/>
      <c r="H3195" s="101"/>
      <c r="I3195" s="93"/>
      <c r="J3195" s="91"/>
      <c r="L3195" s="94" t="str">
        <f t="shared" si="2"/>
        <v>No infirmation</v>
      </c>
      <c r="M3195" s="94" t="str">
        <f t="shared" si="3"/>
        <v/>
      </c>
    </row>
    <row r="3196" ht="15.75" customHeight="1">
      <c r="B3196" s="77">
        <f t="shared" si="1"/>
        <v>0</v>
      </c>
      <c r="C3196" s="67"/>
      <c r="D3196" s="78"/>
      <c r="E3196" s="101"/>
      <c r="F3196" s="108"/>
      <c r="G3196" s="120"/>
      <c r="H3196" s="101"/>
      <c r="I3196" s="93"/>
      <c r="J3196" s="91"/>
      <c r="L3196" s="94" t="str">
        <f t="shared" si="2"/>
        <v>No infirmation</v>
      </c>
      <c r="M3196" s="94" t="str">
        <f t="shared" si="3"/>
        <v/>
      </c>
    </row>
    <row r="3197" ht="15.75" customHeight="1">
      <c r="B3197" s="77">
        <f t="shared" si="1"/>
        <v>0</v>
      </c>
      <c r="C3197" s="67"/>
      <c r="D3197" s="78"/>
      <c r="E3197" s="101"/>
      <c r="F3197" s="108"/>
      <c r="G3197" s="120"/>
      <c r="H3197" s="101"/>
      <c r="I3197" s="93"/>
      <c r="J3197" s="91"/>
      <c r="L3197" s="94" t="str">
        <f t="shared" si="2"/>
        <v>No infirmation</v>
      </c>
      <c r="M3197" s="94" t="str">
        <f t="shared" si="3"/>
        <v/>
      </c>
    </row>
    <row r="3198" ht="15.75" customHeight="1">
      <c r="B3198" s="77">
        <f t="shared" si="1"/>
        <v>0</v>
      </c>
      <c r="C3198" s="67"/>
      <c r="D3198" s="78"/>
      <c r="E3198" s="101"/>
      <c r="F3198" s="108"/>
      <c r="G3198" s="120"/>
      <c r="H3198" s="101"/>
      <c r="I3198" s="93"/>
      <c r="J3198" s="91"/>
      <c r="L3198" s="94" t="str">
        <f t="shared" si="2"/>
        <v>No infirmation</v>
      </c>
      <c r="M3198" s="94" t="str">
        <f t="shared" si="3"/>
        <v/>
      </c>
    </row>
    <row r="3199" ht="15.75" customHeight="1">
      <c r="B3199" s="77">
        <f t="shared" si="1"/>
        <v>0</v>
      </c>
      <c r="C3199" s="67"/>
      <c r="D3199" s="78"/>
      <c r="E3199" s="101"/>
      <c r="F3199" s="108"/>
      <c r="G3199" s="120"/>
      <c r="H3199" s="101"/>
      <c r="I3199" s="93"/>
      <c r="J3199" s="91"/>
      <c r="L3199" s="94" t="str">
        <f t="shared" si="2"/>
        <v>No infirmation</v>
      </c>
      <c r="M3199" s="94" t="str">
        <f t="shared" si="3"/>
        <v/>
      </c>
    </row>
    <row r="3200" ht="15.75" customHeight="1">
      <c r="B3200" s="77">
        <f t="shared" si="1"/>
        <v>0</v>
      </c>
      <c r="C3200" s="67"/>
      <c r="D3200" s="78"/>
      <c r="E3200" s="101"/>
      <c r="F3200" s="108"/>
      <c r="G3200" s="120"/>
      <c r="H3200" s="101"/>
      <c r="I3200" s="93"/>
      <c r="J3200" s="91"/>
      <c r="L3200" s="94" t="str">
        <f t="shared" si="2"/>
        <v>No infirmation</v>
      </c>
      <c r="M3200" s="94" t="str">
        <f t="shared" si="3"/>
        <v/>
      </c>
    </row>
    <row r="3201" ht="15.75" customHeight="1">
      <c r="B3201" s="77">
        <f t="shared" si="1"/>
        <v>0</v>
      </c>
      <c r="C3201" s="67"/>
      <c r="D3201" s="78"/>
      <c r="E3201" s="101"/>
      <c r="F3201" s="108"/>
      <c r="G3201" s="120"/>
      <c r="H3201" s="101"/>
      <c r="I3201" s="93"/>
      <c r="J3201" s="91"/>
      <c r="L3201" s="94" t="str">
        <f t="shared" si="2"/>
        <v>No infirmation</v>
      </c>
      <c r="M3201" s="94" t="str">
        <f t="shared" si="3"/>
        <v/>
      </c>
    </row>
    <row r="3202" ht="15.75" customHeight="1">
      <c r="B3202" s="77">
        <f t="shared" si="1"/>
        <v>0</v>
      </c>
      <c r="C3202" s="67"/>
      <c r="D3202" s="78"/>
      <c r="E3202" s="101"/>
      <c r="F3202" s="108"/>
      <c r="G3202" s="120"/>
      <c r="H3202" s="101"/>
      <c r="I3202" s="93"/>
      <c r="J3202" s="91"/>
      <c r="L3202" s="94" t="str">
        <f t="shared" si="2"/>
        <v>No infirmation</v>
      </c>
      <c r="M3202" s="94" t="str">
        <f t="shared" si="3"/>
        <v/>
      </c>
    </row>
    <row r="3203" ht="15.75" customHeight="1">
      <c r="B3203" s="77">
        <f t="shared" si="1"/>
        <v>0</v>
      </c>
      <c r="C3203" s="67"/>
      <c r="D3203" s="78"/>
      <c r="E3203" s="101"/>
      <c r="F3203" s="108"/>
      <c r="G3203" s="120"/>
      <c r="H3203" s="101"/>
      <c r="I3203" s="93"/>
      <c r="J3203" s="91"/>
      <c r="L3203" s="94" t="str">
        <f t="shared" si="2"/>
        <v>No infirmation</v>
      </c>
      <c r="M3203" s="94" t="str">
        <f t="shared" si="3"/>
        <v/>
      </c>
    </row>
    <row r="3204" ht="15.75" customHeight="1">
      <c r="B3204" s="77">
        <f t="shared" si="1"/>
        <v>0</v>
      </c>
      <c r="C3204" s="67"/>
      <c r="D3204" s="78"/>
      <c r="E3204" s="101"/>
      <c r="F3204" s="108"/>
      <c r="G3204" s="120"/>
      <c r="H3204" s="101"/>
      <c r="I3204" s="93"/>
      <c r="J3204" s="91"/>
      <c r="L3204" s="94" t="str">
        <f t="shared" si="2"/>
        <v>No infirmation</v>
      </c>
      <c r="M3204" s="94" t="str">
        <f t="shared" si="3"/>
        <v/>
      </c>
    </row>
    <row r="3205" ht="15.75" customHeight="1">
      <c r="B3205" s="77">
        <f t="shared" si="1"/>
        <v>0</v>
      </c>
      <c r="C3205" s="67"/>
      <c r="D3205" s="78"/>
      <c r="E3205" s="101"/>
      <c r="F3205" s="108"/>
      <c r="G3205" s="120"/>
      <c r="H3205" s="101"/>
      <c r="I3205" s="93"/>
      <c r="J3205" s="91"/>
      <c r="L3205" s="94" t="str">
        <f t="shared" si="2"/>
        <v>No infirmation</v>
      </c>
      <c r="M3205" s="94" t="str">
        <f t="shared" si="3"/>
        <v/>
      </c>
    </row>
    <row r="3206" ht="15.75" customHeight="1">
      <c r="B3206" s="77">
        <f t="shared" si="1"/>
        <v>0</v>
      </c>
      <c r="C3206" s="67"/>
      <c r="D3206" s="78"/>
      <c r="E3206" s="101"/>
      <c r="F3206" s="108"/>
      <c r="G3206" s="120"/>
      <c r="H3206" s="101"/>
      <c r="I3206" s="93"/>
      <c r="J3206" s="91"/>
      <c r="L3206" s="94" t="str">
        <f t="shared" si="2"/>
        <v>No infirmation</v>
      </c>
      <c r="M3206" s="94" t="str">
        <f t="shared" si="3"/>
        <v/>
      </c>
    </row>
    <row r="3207" ht="15.75" customHeight="1">
      <c r="B3207" s="77">
        <f t="shared" si="1"/>
        <v>0</v>
      </c>
      <c r="C3207" s="67"/>
      <c r="D3207" s="78"/>
      <c r="E3207" s="101"/>
      <c r="F3207" s="108"/>
      <c r="G3207" s="120"/>
      <c r="H3207" s="101"/>
      <c r="I3207" s="93"/>
      <c r="J3207" s="91"/>
      <c r="L3207" s="94" t="str">
        <f t="shared" si="2"/>
        <v>No infirmation</v>
      </c>
      <c r="M3207" s="94" t="str">
        <f t="shared" si="3"/>
        <v/>
      </c>
    </row>
    <row r="3208" ht="15.75" customHeight="1">
      <c r="B3208" s="77">
        <f t="shared" si="1"/>
        <v>0</v>
      </c>
      <c r="C3208" s="67"/>
      <c r="D3208" s="78"/>
      <c r="E3208" s="101"/>
      <c r="F3208" s="108"/>
      <c r="G3208" s="120"/>
      <c r="H3208" s="101"/>
      <c r="I3208" s="93"/>
      <c r="J3208" s="91"/>
      <c r="L3208" s="94" t="str">
        <f t="shared" si="2"/>
        <v>No infirmation</v>
      </c>
      <c r="M3208" s="94" t="str">
        <f t="shared" si="3"/>
        <v/>
      </c>
    </row>
    <row r="3209" ht="15.75" customHeight="1">
      <c r="B3209" s="77">
        <f t="shared" si="1"/>
        <v>0</v>
      </c>
      <c r="C3209" s="67"/>
      <c r="D3209" s="78"/>
      <c r="E3209" s="101"/>
      <c r="F3209" s="108"/>
      <c r="G3209" s="120"/>
      <c r="H3209" s="101"/>
      <c r="I3209" s="93"/>
      <c r="J3209" s="91"/>
      <c r="L3209" s="94" t="str">
        <f t="shared" si="2"/>
        <v>No infirmation</v>
      </c>
      <c r="M3209" s="94" t="str">
        <f t="shared" si="3"/>
        <v/>
      </c>
    </row>
    <row r="3210" ht="15.75" customHeight="1">
      <c r="B3210" s="77">
        <f t="shared" si="1"/>
        <v>0</v>
      </c>
      <c r="C3210" s="67"/>
      <c r="D3210" s="78"/>
      <c r="E3210" s="101"/>
      <c r="F3210" s="108"/>
      <c r="G3210" s="120"/>
      <c r="H3210" s="101"/>
      <c r="I3210" s="93"/>
      <c r="J3210" s="91"/>
      <c r="L3210" s="94" t="str">
        <f t="shared" si="2"/>
        <v>No infirmation</v>
      </c>
      <c r="M3210" s="94" t="str">
        <f t="shared" si="3"/>
        <v/>
      </c>
    </row>
    <row r="3211" ht="15.75" customHeight="1">
      <c r="B3211" s="77">
        <f t="shared" si="1"/>
        <v>0</v>
      </c>
      <c r="C3211" s="67"/>
      <c r="D3211" s="78"/>
      <c r="E3211" s="101"/>
      <c r="F3211" s="108"/>
      <c r="G3211" s="120"/>
      <c r="H3211" s="101"/>
      <c r="I3211" s="93"/>
      <c r="J3211" s="91"/>
      <c r="L3211" s="94" t="str">
        <f t="shared" si="2"/>
        <v>No infirmation</v>
      </c>
      <c r="M3211" s="94" t="str">
        <f t="shared" si="3"/>
        <v/>
      </c>
    </row>
    <row r="3212" ht="15.75" customHeight="1">
      <c r="B3212" s="77">
        <f t="shared" si="1"/>
        <v>0</v>
      </c>
      <c r="C3212" s="67"/>
      <c r="D3212" s="78"/>
      <c r="E3212" s="101"/>
      <c r="F3212" s="108"/>
      <c r="G3212" s="120"/>
      <c r="H3212" s="101"/>
      <c r="I3212" s="93"/>
      <c r="J3212" s="91"/>
      <c r="L3212" s="94" t="str">
        <f t="shared" si="2"/>
        <v>No infirmation</v>
      </c>
      <c r="M3212" s="94" t="str">
        <f t="shared" si="3"/>
        <v/>
      </c>
    </row>
    <row r="3213" ht="15.75" customHeight="1">
      <c r="B3213" s="77">
        <f t="shared" si="1"/>
        <v>0</v>
      </c>
      <c r="C3213" s="67"/>
      <c r="D3213" s="78"/>
      <c r="E3213" s="101"/>
      <c r="F3213" s="108"/>
      <c r="G3213" s="120"/>
      <c r="H3213" s="101"/>
      <c r="I3213" s="93"/>
      <c r="J3213" s="91"/>
      <c r="L3213" s="94" t="str">
        <f t="shared" si="2"/>
        <v>No infirmation</v>
      </c>
      <c r="M3213" s="94" t="str">
        <f t="shared" si="3"/>
        <v/>
      </c>
    </row>
    <row r="3214" ht="15.75" customHeight="1">
      <c r="B3214" s="77">
        <f t="shared" si="1"/>
        <v>0</v>
      </c>
      <c r="C3214" s="67"/>
      <c r="D3214" s="78"/>
      <c r="E3214" s="101"/>
      <c r="F3214" s="108"/>
      <c r="G3214" s="120"/>
      <c r="H3214" s="101"/>
      <c r="I3214" s="93"/>
      <c r="J3214" s="91"/>
      <c r="L3214" s="94" t="str">
        <f t="shared" si="2"/>
        <v>No infirmation</v>
      </c>
      <c r="M3214" s="94" t="str">
        <f t="shared" si="3"/>
        <v/>
      </c>
    </row>
    <row r="3215" ht="15.75" customHeight="1">
      <c r="B3215" s="77">
        <f t="shared" si="1"/>
        <v>0</v>
      </c>
      <c r="C3215" s="67"/>
      <c r="D3215" s="78"/>
      <c r="E3215" s="101"/>
      <c r="F3215" s="108"/>
      <c r="G3215" s="120"/>
      <c r="H3215" s="101"/>
      <c r="I3215" s="93"/>
      <c r="J3215" s="91"/>
      <c r="L3215" s="94" t="str">
        <f t="shared" si="2"/>
        <v>No infirmation</v>
      </c>
      <c r="M3215" s="94" t="str">
        <f t="shared" si="3"/>
        <v/>
      </c>
    </row>
    <row r="3216" ht="15.75" customHeight="1">
      <c r="B3216" s="77">
        <f t="shared" si="1"/>
        <v>0</v>
      </c>
      <c r="C3216" s="67"/>
      <c r="D3216" s="78"/>
      <c r="E3216" s="101"/>
      <c r="F3216" s="108"/>
      <c r="G3216" s="120"/>
      <c r="H3216" s="101"/>
      <c r="I3216" s="93"/>
      <c r="J3216" s="91"/>
      <c r="L3216" s="94" t="str">
        <f t="shared" si="2"/>
        <v>No infirmation</v>
      </c>
      <c r="M3216" s="94" t="str">
        <f t="shared" si="3"/>
        <v/>
      </c>
    </row>
    <row r="3217" ht="15.75" customHeight="1">
      <c r="B3217" s="77">
        <f t="shared" si="1"/>
        <v>0</v>
      </c>
      <c r="C3217" s="67"/>
      <c r="D3217" s="78"/>
      <c r="E3217" s="101"/>
      <c r="F3217" s="108"/>
      <c r="G3217" s="120"/>
      <c r="H3217" s="101"/>
      <c r="I3217" s="93"/>
      <c r="J3217" s="91"/>
      <c r="L3217" s="94" t="str">
        <f t="shared" si="2"/>
        <v>No infirmation</v>
      </c>
      <c r="M3217" s="94" t="str">
        <f t="shared" si="3"/>
        <v/>
      </c>
    </row>
    <row r="3218" ht="15.75" customHeight="1">
      <c r="B3218" s="77">
        <f t="shared" si="1"/>
        <v>0</v>
      </c>
      <c r="C3218" s="67"/>
      <c r="D3218" s="78"/>
      <c r="E3218" s="101"/>
      <c r="F3218" s="108"/>
      <c r="G3218" s="120"/>
      <c r="H3218" s="101"/>
      <c r="I3218" s="93"/>
      <c r="J3218" s="91"/>
      <c r="L3218" s="94" t="str">
        <f t="shared" si="2"/>
        <v>No infirmation</v>
      </c>
      <c r="M3218" s="94" t="str">
        <f t="shared" si="3"/>
        <v/>
      </c>
    </row>
    <row r="3219" ht="15.75" customHeight="1">
      <c r="B3219" s="77">
        <f t="shared" si="1"/>
        <v>0</v>
      </c>
      <c r="C3219" s="67"/>
      <c r="D3219" s="78"/>
      <c r="E3219" s="101"/>
      <c r="F3219" s="108"/>
      <c r="G3219" s="120"/>
      <c r="H3219" s="101"/>
      <c r="I3219" s="93"/>
      <c r="J3219" s="91"/>
      <c r="L3219" s="94" t="str">
        <f t="shared" si="2"/>
        <v>No infirmation</v>
      </c>
      <c r="M3219" s="94" t="str">
        <f t="shared" si="3"/>
        <v/>
      </c>
    </row>
    <row r="3220" ht="15.75" customHeight="1">
      <c r="B3220" s="77">
        <f t="shared" si="1"/>
        <v>0</v>
      </c>
      <c r="C3220" s="67"/>
      <c r="D3220" s="78"/>
      <c r="E3220" s="101"/>
      <c r="F3220" s="108"/>
      <c r="G3220" s="120"/>
      <c r="H3220" s="101"/>
      <c r="I3220" s="93"/>
      <c r="J3220" s="91"/>
      <c r="L3220" s="94" t="str">
        <f t="shared" si="2"/>
        <v>No infirmation</v>
      </c>
      <c r="M3220" s="94" t="str">
        <f t="shared" si="3"/>
        <v/>
      </c>
    </row>
    <row r="3221" ht="15.75" customHeight="1">
      <c r="B3221" s="77">
        <f t="shared" si="1"/>
        <v>0</v>
      </c>
      <c r="C3221" s="67"/>
      <c r="D3221" s="78"/>
      <c r="E3221" s="101"/>
      <c r="F3221" s="108"/>
      <c r="G3221" s="120"/>
      <c r="H3221" s="101"/>
      <c r="I3221" s="93"/>
      <c r="J3221" s="91"/>
      <c r="L3221" s="94" t="str">
        <f t="shared" si="2"/>
        <v>No infirmation</v>
      </c>
      <c r="M3221" s="94" t="str">
        <f t="shared" si="3"/>
        <v/>
      </c>
    </row>
    <row r="3222" ht="15.75" customHeight="1">
      <c r="B3222" s="77">
        <f t="shared" si="1"/>
        <v>0</v>
      </c>
      <c r="C3222" s="67"/>
      <c r="D3222" s="78"/>
      <c r="E3222" s="101"/>
      <c r="F3222" s="108"/>
      <c r="G3222" s="120"/>
      <c r="H3222" s="101"/>
      <c r="I3222" s="93"/>
      <c r="J3222" s="91"/>
      <c r="L3222" s="94" t="str">
        <f t="shared" si="2"/>
        <v>No infirmation</v>
      </c>
      <c r="M3222" s="94" t="str">
        <f t="shared" si="3"/>
        <v/>
      </c>
    </row>
    <row r="3223" ht="15.75" customHeight="1">
      <c r="B3223" s="77">
        <f t="shared" si="1"/>
        <v>0</v>
      </c>
      <c r="C3223" s="67"/>
      <c r="D3223" s="78"/>
      <c r="E3223" s="101"/>
      <c r="F3223" s="108"/>
      <c r="G3223" s="120"/>
      <c r="H3223" s="101"/>
      <c r="I3223" s="93"/>
      <c r="J3223" s="91"/>
      <c r="L3223" s="94" t="str">
        <f t="shared" si="2"/>
        <v>No infirmation</v>
      </c>
      <c r="M3223" s="94" t="str">
        <f t="shared" si="3"/>
        <v/>
      </c>
    </row>
    <row r="3224" ht="15.75" customHeight="1">
      <c r="B3224" s="77">
        <f t="shared" si="1"/>
        <v>0</v>
      </c>
      <c r="C3224" s="67"/>
      <c r="D3224" s="78"/>
      <c r="E3224" s="101"/>
      <c r="F3224" s="108"/>
      <c r="G3224" s="120"/>
      <c r="H3224" s="101"/>
      <c r="I3224" s="93"/>
      <c r="J3224" s="91"/>
      <c r="L3224" s="94" t="str">
        <f t="shared" si="2"/>
        <v>No infirmation</v>
      </c>
      <c r="M3224" s="94" t="str">
        <f t="shared" si="3"/>
        <v/>
      </c>
    </row>
    <row r="3225" ht="15.75" customHeight="1">
      <c r="B3225" s="77">
        <f t="shared" si="1"/>
        <v>0</v>
      </c>
      <c r="C3225" s="67"/>
      <c r="D3225" s="78"/>
      <c r="E3225" s="101"/>
      <c r="F3225" s="108"/>
      <c r="G3225" s="120"/>
      <c r="H3225" s="101"/>
      <c r="I3225" s="93"/>
      <c r="J3225" s="91"/>
      <c r="L3225" s="94" t="str">
        <f t="shared" si="2"/>
        <v>No infirmation</v>
      </c>
      <c r="M3225" s="94" t="str">
        <f t="shared" si="3"/>
        <v/>
      </c>
    </row>
    <row r="3226" ht="15.75" customHeight="1">
      <c r="B3226" s="77">
        <f t="shared" si="1"/>
        <v>0</v>
      </c>
      <c r="C3226" s="67"/>
      <c r="D3226" s="78"/>
      <c r="E3226" s="101"/>
      <c r="F3226" s="108"/>
      <c r="G3226" s="120"/>
      <c r="H3226" s="101"/>
      <c r="I3226" s="93"/>
      <c r="J3226" s="91"/>
      <c r="L3226" s="94" t="str">
        <f t="shared" si="2"/>
        <v>No infirmation</v>
      </c>
      <c r="M3226" s="94" t="str">
        <f t="shared" si="3"/>
        <v/>
      </c>
    </row>
    <row r="3227" ht="15.75" customHeight="1">
      <c r="B3227" s="77">
        <f t="shared" si="1"/>
        <v>0</v>
      </c>
      <c r="C3227" s="67"/>
      <c r="D3227" s="78"/>
      <c r="E3227" s="101"/>
      <c r="F3227" s="108"/>
      <c r="G3227" s="120"/>
      <c r="H3227" s="101"/>
      <c r="I3227" s="93"/>
      <c r="J3227" s="91"/>
      <c r="L3227" s="94" t="str">
        <f t="shared" si="2"/>
        <v>No infirmation</v>
      </c>
      <c r="M3227" s="94" t="str">
        <f t="shared" si="3"/>
        <v/>
      </c>
    </row>
    <row r="3228" ht="15.75" customHeight="1">
      <c r="B3228" s="77">
        <f t="shared" si="1"/>
        <v>0</v>
      </c>
      <c r="C3228" s="67"/>
      <c r="D3228" s="78"/>
      <c r="E3228" s="101"/>
      <c r="F3228" s="108"/>
      <c r="G3228" s="120"/>
      <c r="H3228" s="101"/>
      <c r="I3228" s="93"/>
      <c r="J3228" s="91"/>
      <c r="L3228" s="94" t="str">
        <f t="shared" si="2"/>
        <v>No infirmation</v>
      </c>
      <c r="M3228" s="94" t="str">
        <f t="shared" si="3"/>
        <v/>
      </c>
    </row>
    <row r="3229" ht="15.75" customHeight="1">
      <c r="B3229" s="77">
        <f t="shared" si="1"/>
        <v>0</v>
      </c>
      <c r="C3229" s="67"/>
      <c r="D3229" s="78"/>
      <c r="E3229" s="101"/>
      <c r="F3229" s="108"/>
      <c r="G3229" s="120"/>
      <c r="H3229" s="101"/>
      <c r="I3229" s="93"/>
      <c r="J3229" s="91"/>
      <c r="L3229" s="94" t="str">
        <f t="shared" si="2"/>
        <v>No infirmation</v>
      </c>
      <c r="M3229" s="94" t="str">
        <f t="shared" si="3"/>
        <v/>
      </c>
    </row>
    <row r="3230" ht="15.75" customHeight="1">
      <c r="B3230" s="77">
        <f t="shared" si="1"/>
        <v>0</v>
      </c>
      <c r="C3230" s="67"/>
      <c r="D3230" s="78"/>
      <c r="E3230" s="101"/>
      <c r="F3230" s="108"/>
      <c r="G3230" s="120"/>
      <c r="H3230" s="101"/>
      <c r="I3230" s="93"/>
      <c r="J3230" s="91"/>
      <c r="L3230" s="94" t="str">
        <f t="shared" si="2"/>
        <v>No infirmation</v>
      </c>
      <c r="M3230" s="94" t="str">
        <f t="shared" si="3"/>
        <v/>
      </c>
    </row>
    <row r="3231" ht="15.75" customHeight="1">
      <c r="B3231" s="77">
        <f t="shared" si="1"/>
        <v>0</v>
      </c>
      <c r="C3231" s="67"/>
      <c r="D3231" s="78"/>
      <c r="E3231" s="101"/>
      <c r="F3231" s="108"/>
      <c r="G3231" s="120"/>
      <c r="H3231" s="101"/>
      <c r="I3231" s="93"/>
      <c r="J3231" s="91"/>
      <c r="L3231" s="94" t="str">
        <f t="shared" si="2"/>
        <v>No infirmation</v>
      </c>
      <c r="M3231" s="94" t="str">
        <f t="shared" si="3"/>
        <v/>
      </c>
    </row>
    <row r="3232" ht="15.75" customHeight="1">
      <c r="B3232" s="77">
        <f t="shared" si="1"/>
        <v>0</v>
      </c>
      <c r="C3232" s="67"/>
      <c r="D3232" s="78"/>
      <c r="E3232" s="101"/>
      <c r="F3232" s="108"/>
      <c r="G3232" s="120"/>
      <c r="H3232" s="101"/>
      <c r="I3232" s="93"/>
      <c r="J3232" s="91"/>
      <c r="L3232" s="94" t="str">
        <f t="shared" si="2"/>
        <v>No infirmation</v>
      </c>
      <c r="M3232" s="94" t="str">
        <f t="shared" si="3"/>
        <v/>
      </c>
    </row>
    <row r="3233" ht="15.75" customHeight="1">
      <c r="B3233" s="77">
        <f t="shared" si="1"/>
        <v>0</v>
      </c>
      <c r="C3233" s="67"/>
      <c r="D3233" s="78"/>
      <c r="E3233" s="101"/>
      <c r="F3233" s="108"/>
      <c r="G3233" s="120"/>
      <c r="H3233" s="101"/>
      <c r="I3233" s="93"/>
      <c r="J3233" s="91"/>
      <c r="L3233" s="94" t="str">
        <f t="shared" si="2"/>
        <v>No infirmation</v>
      </c>
      <c r="M3233" s="94" t="str">
        <f t="shared" si="3"/>
        <v/>
      </c>
    </row>
    <row r="3234" ht="15.75" customHeight="1">
      <c r="B3234" s="77">
        <f t="shared" si="1"/>
        <v>0</v>
      </c>
      <c r="C3234" s="67"/>
      <c r="D3234" s="78"/>
      <c r="E3234" s="101"/>
      <c r="F3234" s="108"/>
      <c r="G3234" s="120"/>
      <c r="H3234" s="101"/>
      <c r="I3234" s="93"/>
      <c r="J3234" s="91"/>
      <c r="L3234" s="94" t="str">
        <f t="shared" si="2"/>
        <v>No infirmation</v>
      </c>
      <c r="M3234" s="94" t="str">
        <f t="shared" si="3"/>
        <v/>
      </c>
    </row>
    <row r="3235" ht="15.75" customHeight="1">
      <c r="B3235" s="77">
        <f t="shared" si="1"/>
        <v>0</v>
      </c>
      <c r="C3235" s="67"/>
      <c r="D3235" s="78"/>
      <c r="E3235" s="101"/>
      <c r="F3235" s="108"/>
      <c r="G3235" s="120"/>
      <c r="H3235" s="101"/>
      <c r="I3235" s="93"/>
      <c r="J3235" s="91"/>
      <c r="L3235" s="94" t="str">
        <f t="shared" si="2"/>
        <v>No infirmation</v>
      </c>
      <c r="M3235" s="94" t="str">
        <f t="shared" si="3"/>
        <v/>
      </c>
    </row>
    <row r="3236" ht="15.75" customHeight="1">
      <c r="B3236" s="77">
        <f t="shared" si="1"/>
        <v>0</v>
      </c>
      <c r="C3236" s="67"/>
      <c r="D3236" s="78"/>
      <c r="E3236" s="101"/>
      <c r="F3236" s="108"/>
      <c r="G3236" s="120"/>
      <c r="H3236" s="101"/>
      <c r="I3236" s="93"/>
      <c r="J3236" s="91"/>
      <c r="L3236" s="94" t="str">
        <f t="shared" si="2"/>
        <v>No infirmation</v>
      </c>
      <c r="M3236" s="94" t="str">
        <f t="shared" si="3"/>
        <v/>
      </c>
    </row>
    <row r="3237" ht="15.75" customHeight="1">
      <c r="B3237" s="77">
        <f t="shared" si="1"/>
        <v>0</v>
      </c>
      <c r="C3237" s="67"/>
      <c r="D3237" s="78"/>
      <c r="E3237" s="101"/>
      <c r="F3237" s="108"/>
      <c r="G3237" s="120"/>
      <c r="H3237" s="101"/>
      <c r="I3237" s="93"/>
      <c r="J3237" s="91"/>
      <c r="L3237" s="94" t="str">
        <f t="shared" si="2"/>
        <v>No infirmation</v>
      </c>
      <c r="M3237" s="94" t="str">
        <f t="shared" si="3"/>
        <v/>
      </c>
    </row>
    <row r="3238" ht="15.75" customHeight="1">
      <c r="B3238" s="77">
        <f t="shared" si="1"/>
        <v>0</v>
      </c>
      <c r="C3238" s="67"/>
      <c r="D3238" s="78"/>
      <c r="E3238" s="101"/>
      <c r="F3238" s="108"/>
      <c r="G3238" s="120"/>
      <c r="H3238" s="101"/>
      <c r="I3238" s="93"/>
      <c r="J3238" s="91"/>
      <c r="L3238" s="94" t="str">
        <f t="shared" si="2"/>
        <v>No infirmation</v>
      </c>
      <c r="M3238" s="94" t="str">
        <f t="shared" si="3"/>
        <v/>
      </c>
    </row>
    <row r="3239" ht="15.75" customHeight="1">
      <c r="B3239" s="77">
        <f t="shared" si="1"/>
        <v>0</v>
      </c>
      <c r="C3239" s="67"/>
      <c r="D3239" s="78"/>
      <c r="E3239" s="101"/>
      <c r="F3239" s="108"/>
      <c r="G3239" s="120"/>
      <c r="H3239" s="101"/>
      <c r="I3239" s="93"/>
      <c r="J3239" s="91"/>
      <c r="L3239" s="94" t="str">
        <f t="shared" si="2"/>
        <v>No infirmation</v>
      </c>
      <c r="M3239" s="94" t="str">
        <f t="shared" si="3"/>
        <v/>
      </c>
    </row>
    <row r="3240" ht="15.75" customHeight="1">
      <c r="B3240" s="77">
        <f t="shared" si="1"/>
        <v>0</v>
      </c>
      <c r="C3240" s="67"/>
      <c r="D3240" s="78"/>
      <c r="E3240" s="101"/>
      <c r="F3240" s="108"/>
      <c r="G3240" s="120"/>
      <c r="H3240" s="101"/>
      <c r="I3240" s="93"/>
      <c r="J3240" s="91"/>
      <c r="L3240" s="94" t="str">
        <f t="shared" si="2"/>
        <v>No infirmation</v>
      </c>
      <c r="M3240" s="94" t="str">
        <f t="shared" si="3"/>
        <v/>
      </c>
    </row>
    <row r="3241" ht="15.75" customHeight="1">
      <c r="B3241" s="77">
        <f t="shared" si="1"/>
        <v>0</v>
      </c>
      <c r="C3241" s="67"/>
      <c r="D3241" s="78"/>
      <c r="E3241" s="101"/>
      <c r="F3241" s="108"/>
      <c r="G3241" s="120"/>
      <c r="H3241" s="101"/>
      <c r="I3241" s="93"/>
      <c r="J3241" s="91"/>
      <c r="L3241" s="94" t="str">
        <f t="shared" si="2"/>
        <v>No infirmation</v>
      </c>
      <c r="M3241" s="94" t="str">
        <f t="shared" si="3"/>
        <v/>
      </c>
    </row>
    <row r="3242" ht="15.75" customHeight="1">
      <c r="B3242" s="77">
        <f t="shared" si="1"/>
        <v>0</v>
      </c>
      <c r="C3242" s="67"/>
      <c r="D3242" s="78"/>
      <c r="E3242" s="101"/>
      <c r="F3242" s="108"/>
      <c r="G3242" s="120"/>
      <c r="H3242" s="101"/>
      <c r="I3242" s="93"/>
      <c r="J3242" s="91"/>
      <c r="L3242" s="94" t="str">
        <f t="shared" si="2"/>
        <v>No infirmation</v>
      </c>
      <c r="M3242" s="94" t="str">
        <f t="shared" si="3"/>
        <v/>
      </c>
    </row>
    <row r="3243" ht="15.75" customHeight="1">
      <c r="B3243" s="77">
        <f t="shared" si="1"/>
        <v>0</v>
      </c>
      <c r="C3243" s="67"/>
      <c r="D3243" s="78"/>
      <c r="E3243" s="101"/>
      <c r="F3243" s="108"/>
      <c r="G3243" s="120"/>
      <c r="H3243" s="101"/>
      <c r="I3243" s="93"/>
      <c r="J3243" s="91"/>
      <c r="L3243" s="94" t="str">
        <f t="shared" si="2"/>
        <v>No infirmation</v>
      </c>
      <c r="M3243" s="94" t="str">
        <f t="shared" si="3"/>
        <v/>
      </c>
    </row>
    <row r="3244" ht="15.75" customHeight="1">
      <c r="B3244" s="77">
        <f t="shared" si="1"/>
        <v>0</v>
      </c>
      <c r="C3244" s="67"/>
      <c r="D3244" s="78"/>
      <c r="E3244" s="101"/>
      <c r="F3244" s="108"/>
      <c r="G3244" s="120"/>
      <c r="H3244" s="101"/>
      <c r="I3244" s="93"/>
      <c r="J3244" s="91"/>
      <c r="L3244" s="94" t="str">
        <f t="shared" si="2"/>
        <v>No infirmation</v>
      </c>
      <c r="M3244" s="94" t="str">
        <f t="shared" si="3"/>
        <v/>
      </c>
    </row>
    <row r="3245" ht="15.75" customHeight="1">
      <c r="B3245" s="77">
        <f t="shared" si="1"/>
        <v>0</v>
      </c>
      <c r="C3245" s="67"/>
      <c r="D3245" s="78"/>
      <c r="E3245" s="101"/>
      <c r="F3245" s="108"/>
      <c r="G3245" s="120"/>
      <c r="H3245" s="101"/>
      <c r="I3245" s="93"/>
      <c r="J3245" s="91"/>
      <c r="L3245" s="94" t="str">
        <f t="shared" si="2"/>
        <v>No infirmation</v>
      </c>
      <c r="M3245" s="94" t="str">
        <f t="shared" si="3"/>
        <v/>
      </c>
    </row>
    <row r="3246" ht="15.75" customHeight="1">
      <c r="B3246" s="77">
        <f t="shared" si="1"/>
        <v>0</v>
      </c>
      <c r="C3246" s="67"/>
      <c r="D3246" s="78"/>
      <c r="E3246" s="101"/>
      <c r="F3246" s="108"/>
      <c r="G3246" s="120"/>
      <c r="H3246" s="101"/>
      <c r="I3246" s="93"/>
      <c r="J3246" s="91"/>
      <c r="L3246" s="94" t="str">
        <f t="shared" si="2"/>
        <v>No infirmation</v>
      </c>
      <c r="M3246" s="94" t="str">
        <f t="shared" si="3"/>
        <v/>
      </c>
    </row>
    <row r="3247" ht="15.75" customHeight="1">
      <c r="B3247" s="77">
        <f t="shared" si="1"/>
        <v>0</v>
      </c>
      <c r="C3247" s="67"/>
      <c r="D3247" s="78"/>
      <c r="E3247" s="101"/>
      <c r="F3247" s="108"/>
      <c r="G3247" s="120"/>
      <c r="H3247" s="101"/>
      <c r="I3247" s="93"/>
      <c r="J3247" s="91"/>
      <c r="L3247" s="94" t="str">
        <f t="shared" si="2"/>
        <v>No infirmation</v>
      </c>
      <c r="M3247" s="94" t="str">
        <f t="shared" si="3"/>
        <v/>
      </c>
    </row>
    <row r="3248" ht="15.75" customHeight="1">
      <c r="B3248" s="77">
        <f t="shared" si="1"/>
        <v>0</v>
      </c>
      <c r="C3248" s="67"/>
      <c r="D3248" s="78"/>
      <c r="E3248" s="101"/>
      <c r="F3248" s="108"/>
      <c r="G3248" s="120"/>
      <c r="H3248" s="101"/>
      <c r="I3248" s="93"/>
      <c r="J3248" s="91"/>
      <c r="L3248" s="94" t="str">
        <f t="shared" si="2"/>
        <v>No infirmation</v>
      </c>
      <c r="M3248" s="94" t="str">
        <f t="shared" si="3"/>
        <v/>
      </c>
    </row>
    <row r="3249" ht="15.75" customHeight="1">
      <c r="B3249" s="77">
        <f t="shared" si="1"/>
        <v>0</v>
      </c>
      <c r="C3249" s="67"/>
      <c r="D3249" s="78"/>
      <c r="E3249" s="101"/>
      <c r="F3249" s="108"/>
      <c r="G3249" s="120"/>
      <c r="H3249" s="101"/>
      <c r="I3249" s="93"/>
      <c r="J3249" s="91"/>
      <c r="L3249" s="94" t="str">
        <f t="shared" si="2"/>
        <v>No infirmation</v>
      </c>
      <c r="M3249" s="94" t="str">
        <f t="shared" si="3"/>
        <v/>
      </c>
    </row>
    <row r="3250" ht="15.75" customHeight="1">
      <c r="B3250" s="77">
        <f t="shared" si="1"/>
        <v>0</v>
      </c>
      <c r="C3250" s="67"/>
      <c r="D3250" s="78"/>
      <c r="E3250" s="101"/>
      <c r="F3250" s="108"/>
      <c r="G3250" s="120"/>
      <c r="H3250" s="101"/>
      <c r="I3250" s="93"/>
      <c r="J3250" s="91"/>
      <c r="L3250" s="94" t="str">
        <f t="shared" si="2"/>
        <v>No infirmation</v>
      </c>
      <c r="M3250" s="94" t="str">
        <f t="shared" si="3"/>
        <v/>
      </c>
    </row>
    <row r="3251" ht="15.75" customHeight="1">
      <c r="B3251" s="77">
        <f t="shared" si="1"/>
        <v>0</v>
      </c>
      <c r="C3251" s="67"/>
      <c r="D3251" s="78"/>
      <c r="E3251" s="101"/>
      <c r="F3251" s="108"/>
      <c r="G3251" s="120"/>
      <c r="H3251" s="101"/>
      <c r="I3251" s="93"/>
      <c r="J3251" s="91"/>
      <c r="L3251" s="94" t="str">
        <f t="shared" si="2"/>
        <v>No infirmation</v>
      </c>
      <c r="M3251" s="94" t="str">
        <f t="shared" si="3"/>
        <v/>
      </c>
    </row>
    <row r="3252" ht="15.75" customHeight="1">
      <c r="B3252" s="77">
        <f t="shared" si="1"/>
        <v>0</v>
      </c>
      <c r="C3252" s="67"/>
      <c r="D3252" s="78"/>
      <c r="E3252" s="101"/>
      <c r="F3252" s="108"/>
      <c r="G3252" s="120"/>
      <c r="H3252" s="101"/>
      <c r="I3252" s="93"/>
      <c r="J3252" s="91"/>
      <c r="L3252" s="94" t="str">
        <f t="shared" si="2"/>
        <v>No infirmation</v>
      </c>
      <c r="M3252" s="94" t="str">
        <f t="shared" si="3"/>
        <v/>
      </c>
    </row>
    <row r="3253" ht="15.75" customHeight="1">
      <c r="B3253" s="77">
        <f t="shared" si="1"/>
        <v>0</v>
      </c>
      <c r="C3253" s="67"/>
      <c r="D3253" s="78"/>
      <c r="E3253" s="101"/>
      <c r="F3253" s="108"/>
      <c r="G3253" s="120"/>
      <c r="H3253" s="101"/>
      <c r="I3253" s="93"/>
      <c r="J3253" s="91"/>
      <c r="L3253" s="94" t="str">
        <f t="shared" si="2"/>
        <v>No infirmation</v>
      </c>
      <c r="M3253" s="94" t="str">
        <f t="shared" si="3"/>
        <v/>
      </c>
    </row>
    <row r="3254" ht="15.75" customHeight="1">
      <c r="B3254" s="77">
        <f t="shared" si="1"/>
        <v>0</v>
      </c>
      <c r="C3254" s="67"/>
      <c r="D3254" s="78"/>
      <c r="E3254" s="101"/>
      <c r="F3254" s="108"/>
      <c r="G3254" s="120"/>
      <c r="H3254" s="101"/>
      <c r="I3254" s="93"/>
      <c r="J3254" s="91"/>
      <c r="L3254" s="94" t="str">
        <f t="shared" si="2"/>
        <v>No infirmation</v>
      </c>
      <c r="M3254" s="94" t="str">
        <f t="shared" si="3"/>
        <v/>
      </c>
    </row>
    <row r="3255" ht="15.75" customHeight="1">
      <c r="B3255" s="77">
        <f t="shared" si="1"/>
        <v>0</v>
      </c>
      <c r="C3255" s="67"/>
      <c r="D3255" s="78"/>
      <c r="E3255" s="101"/>
      <c r="F3255" s="108"/>
      <c r="G3255" s="120"/>
      <c r="H3255" s="101"/>
      <c r="I3255" s="93"/>
      <c r="J3255" s="91"/>
      <c r="L3255" s="94" t="str">
        <f t="shared" si="2"/>
        <v>No infirmation</v>
      </c>
      <c r="M3255" s="94" t="str">
        <f t="shared" si="3"/>
        <v/>
      </c>
    </row>
    <row r="3256" ht="15.75" customHeight="1">
      <c r="B3256" s="77">
        <f t="shared" si="1"/>
        <v>0</v>
      </c>
      <c r="C3256" s="67"/>
      <c r="D3256" s="78"/>
      <c r="E3256" s="101"/>
      <c r="F3256" s="108"/>
      <c r="G3256" s="120"/>
      <c r="H3256" s="101"/>
      <c r="I3256" s="93"/>
      <c r="J3256" s="91"/>
      <c r="L3256" s="94" t="str">
        <f t="shared" si="2"/>
        <v>No infirmation</v>
      </c>
      <c r="M3256" s="94" t="str">
        <f t="shared" si="3"/>
        <v/>
      </c>
    </row>
    <row r="3257" ht="15.75" customHeight="1">
      <c r="B3257" s="77">
        <f t="shared" si="1"/>
        <v>0</v>
      </c>
      <c r="C3257" s="67"/>
      <c r="D3257" s="78"/>
      <c r="E3257" s="101"/>
      <c r="F3257" s="108"/>
      <c r="G3257" s="120"/>
      <c r="H3257" s="101"/>
      <c r="I3257" s="93"/>
      <c r="J3257" s="91"/>
      <c r="L3257" s="94" t="str">
        <f t="shared" si="2"/>
        <v>No infirmation</v>
      </c>
      <c r="M3257" s="94" t="str">
        <f t="shared" si="3"/>
        <v/>
      </c>
    </row>
    <row r="3258" ht="15.75" customHeight="1">
      <c r="B3258" s="77">
        <f t="shared" si="1"/>
        <v>0</v>
      </c>
      <c r="C3258" s="67"/>
      <c r="D3258" s="78"/>
      <c r="E3258" s="101"/>
      <c r="F3258" s="108"/>
      <c r="G3258" s="120"/>
      <c r="H3258" s="101"/>
      <c r="I3258" s="93"/>
      <c r="J3258" s="91"/>
      <c r="L3258" s="94" t="str">
        <f t="shared" si="2"/>
        <v>No infirmation</v>
      </c>
      <c r="M3258" s="94" t="str">
        <f t="shared" si="3"/>
        <v/>
      </c>
    </row>
    <row r="3259" ht="15.75" customHeight="1">
      <c r="B3259" s="77">
        <f t="shared" si="1"/>
        <v>0</v>
      </c>
      <c r="C3259" s="67"/>
      <c r="D3259" s="78"/>
      <c r="E3259" s="101"/>
      <c r="F3259" s="108"/>
      <c r="G3259" s="120"/>
      <c r="H3259" s="101"/>
      <c r="I3259" s="93"/>
      <c r="J3259" s="91"/>
      <c r="L3259" s="94" t="str">
        <f t="shared" si="2"/>
        <v>No infirmation</v>
      </c>
      <c r="M3259" s="94" t="str">
        <f t="shared" si="3"/>
        <v/>
      </c>
    </row>
    <row r="3260" ht="15.75" customHeight="1">
      <c r="B3260" s="77">
        <f t="shared" si="1"/>
        <v>0</v>
      </c>
      <c r="C3260" s="67"/>
      <c r="D3260" s="78"/>
      <c r="E3260" s="101"/>
      <c r="F3260" s="108"/>
      <c r="G3260" s="120"/>
      <c r="H3260" s="101"/>
      <c r="I3260" s="93"/>
      <c r="J3260" s="91"/>
      <c r="L3260" s="94" t="str">
        <f t="shared" si="2"/>
        <v>No infirmation</v>
      </c>
      <c r="M3260" s="94" t="str">
        <f t="shared" si="3"/>
        <v/>
      </c>
    </row>
    <row r="3261" ht="15.75" customHeight="1">
      <c r="B3261" s="77">
        <f t="shared" si="1"/>
        <v>0</v>
      </c>
      <c r="C3261" s="67"/>
      <c r="D3261" s="78"/>
      <c r="E3261" s="101"/>
      <c r="F3261" s="108"/>
      <c r="G3261" s="120"/>
      <c r="H3261" s="101"/>
      <c r="I3261" s="93"/>
      <c r="J3261" s="91"/>
      <c r="L3261" s="94" t="str">
        <f t="shared" si="2"/>
        <v>No infirmation</v>
      </c>
      <c r="M3261" s="94" t="str">
        <f t="shared" si="3"/>
        <v/>
      </c>
    </row>
    <row r="3262" ht="15.75" customHeight="1">
      <c r="B3262" s="77">
        <f t="shared" si="1"/>
        <v>0</v>
      </c>
      <c r="C3262" s="67"/>
      <c r="D3262" s="78"/>
      <c r="E3262" s="101"/>
      <c r="F3262" s="108"/>
      <c r="G3262" s="120"/>
      <c r="H3262" s="101"/>
      <c r="I3262" s="93"/>
      <c r="J3262" s="91"/>
      <c r="L3262" s="94" t="str">
        <f t="shared" si="2"/>
        <v>No infirmation</v>
      </c>
      <c r="M3262" s="94" t="str">
        <f t="shared" si="3"/>
        <v/>
      </c>
    </row>
    <row r="3263" ht="15.75" customHeight="1">
      <c r="B3263" s="77">
        <f t="shared" si="1"/>
        <v>0</v>
      </c>
      <c r="C3263" s="67"/>
      <c r="D3263" s="78"/>
      <c r="E3263" s="101"/>
      <c r="F3263" s="108"/>
      <c r="G3263" s="120"/>
      <c r="H3263" s="101"/>
      <c r="I3263" s="93"/>
      <c r="J3263" s="91"/>
      <c r="L3263" s="94" t="str">
        <f t="shared" si="2"/>
        <v>No infirmation</v>
      </c>
      <c r="M3263" s="94" t="str">
        <f t="shared" si="3"/>
        <v/>
      </c>
    </row>
    <row r="3264" ht="15.75" customHeight="1">
      <c r="B3264" s="77">
        <f t="shared" si="1"/>
        <v>0</v>
      </c>
      <c r="C3264" s="67"/>
      <c r="D3264" s="78"/>
      <c r="E3264" s="101"/>
      <c r="F3264" s="108"/>
      <c r="G3264" s="120"/>
      <c r="H3264" s="101"/>
      <c r="I3264" s="93"/>
      <c r="J3264" s="91"/>
      <c r="L3264" s="94" t="str">
        <f t="shared" si="2"/>
        <v>No infirmation</v>
      </c>
      <c r="M3264" s="94" t="str">
        <f t="shared" si="3"/>
        <v/>
      </c>
    </row>
    <row r="3265" ht="15.75" customHeight="1">
      <c r="B3265" s="77">
        <f t="shared" si="1"/>
        <v>0</v>
      </c>
      <c r="C3265" s="67"/>
      <c r="D3265" s="78"/>
      <c r="E3265" s="101"/>
      <c r="F3265" s="108"/>
      <c r="G3265" s="120"/>
      <c r="H3265" s="101"/>
      <c r="I3265" s="93"/>
      <c r="J3265" s="91"/>
      <c r="L3265" s="94" t="str">
        <f t="shared" si="2"/>
        <v>No infirmation</v>
      </c>
      <c r="M3265" s="94" t="str">
        <f t="shared" si="3"/>
        <v/>
      </c>
    </row>
    <row r="3266" ht="15.75" customHeight="1">
      <c r="B3266" s="77">
        <f t="shared" si="1"/>
        <v>0</v>
      </c>
      <c r="C3266" s="67"/>
      <c r="D3266" s="78"/>
      <c r="E3266" s="101"/>
      <c r="F3266" s="108"/>
      <c r="G3266" s="120"/>
      <c r="H3266" s="101"/>
      <c r="I3266" s="93"/>
      <c r="J3266" s="91"/>
      <c r="L3266" s="94" t="str">
        <f t="shared" si="2"/>
        <v>No infirmation</v>
      </c>
      <c r="M3266" s="94" t="str">
        <f t="shared" si="3"/>
        <v/>
      </c>
    </row>
    <row r="3267" ht="15.75" customHeight="1">
      <c r="B3267" s="77">
        <f t="shared" si="1"/>
        <v>0</v>
      </c>
      <c r="C3267" s="67"/>
      <c r="D3267" s="78"/>
      <c r="E3267" s="101"/>
      <c r="F3267" s="108"/>
      <c r="G3267" s="120"/>
      <c r="H3267" s="101"/>
      <c r="I3267" s="93"/>
      <c r="J3267" s="91"/>
      <c r="L3267" s="94" t="str">
        <f t="shared" si="2"/>
        <v>No infirmation</v>
      </c>
      <c r="M3267" s="94" t="str">
        <f t="shared" si="3"/>
        <v/>
      </c>
    </row>
    <row r="3268" ht="15.75" customHeight="1">
      <c r="B3268" s="77">
        <f t="shared" si="1"/>
        <v>0</v>
      </c>
      <c r="C3268" s="67"/>
      <c r="D3268" s="78"/>
      <c r="E3268" s="101"/>
      <c r="F3268" s="108"/>
      <c r="G3268" s="120"/>
      <c r="H3268" s="101"/>
      <c r="I3268" s="93"/>
      <c r="J3268" s="91"/>
      <c r="L3268" s="94" t="str">
        <f t="shared" si="2"/>
        <v>No infirmation</v>
      </c>
      <c r="M3268" s="94" t="str">
        <f t="shared" si="3"/>
        <v/>
      </c>
    </row>
    <row r="3269" ht="15.75" customHeight="1">
      <c r="B3269" s="77">
        <f t="shared" si="1"/>
        <v>0</v>
      </c>
      <c r="C3269" s="67"/>
      <c r="D3269" s="78"/>
      <c r="E3269" s="101"/>
      <c r="F3269" s="108"/>
      <c r="G3269" s="120"/>
      <c r="H3269" s="101"/>
      <c r="I3269" s="93"/>
      <c r="J3269" s="91"/>
      <c r="L3269" s="94" t="str">
        <f t="shared" si="2"/>
        <v>No infirmation</v>
      </c>
      <c r="M3269" s="94" t="str">
        <f t="shared" si="3"/>
        <v/>
      </c>
    </row>
    <row r="3270" ht="15.75" customHeight="1">
      <c r="B3270" s="77">
        <f t="shared" si="1"/>
        <v>0</v>
      </c>
      <c r="C3270" s="67"/>
      <c r="D3270" s="78"/>
      <c r="E3270" s="101"/>
      <c r="F3270" s="108"/>
      <c r="G3270" s="120"/>
      <c r="H3270" s="101"/>
      <c r="I3270" s="93"/>
      <c r="J3270" s="91"/>
      <c r="L3270" s="94" t="str">
        <f t="shared" si="2"/>
        <v>No infirmation</v>
      </c>
      <c r="M3270" s="94" t="str">
        <f t="shared" si="3"/>
        <v/>
      </c>
    </row>
    <row r="3271" ht="15.75" customHeight="1">
      <c r="B3271" s="77">
        <f t="shared" si="1"/>
        <v>0</v>
      </c>
      <c r="C3271" s="67"/>
      <c r="D3271" s="78"/>
      <c r="E3271" s="101"/>
      <c r="F3271" s="108"/>
      <c r="G3271" s="120"/>
      <c r="H3271" s="101"/>
      <c r="I3271" s="93"/>
      <c r="J3271" s="91"/>
      <c r="L3271" s="94" t="str">
        <f t="shared" si="2"/>
        <v>No infirmation</v>
      </c>
      <c r="M3271" s="94" t="str">
        <f t="shared" si="3"/>
        <v/>
      </c>
    </row>
    <row r="3272" ht="15.75" customHeight="1">
      <c r="B3272" s="77">
        <f t="shared" si="1"/>
        <v>0</v>
      </c>
      <c r="C3272" s="67"/>
      <c r="D3272" s="78"/>
      <c r="E3272" s="101"/>
      <c r="F3272" s="108"/>
      <c r="G3272" s="120"/>
      <c r="H3272" s="101"/>
      <c r="I3272" s="93"/>
      <c r="J3272" s="91"/>
      <c r="L3272" s="94" t="str">
        <f t="shared" si="2"/>
        <v>No infirmation</v>
      </c>
      <c r="M3272" s="94" t="str">
        <f t="shared" si="3"/>
        <v/>
      </c>
    </row>
    <row r="3273" ht="15.75" customHeight="1">
      <c r="B3273" s="77">
        <f t="shared" si="1"/>
        <v>0</v>
      </c>
      <c r="C3273" s="67"/>
      <c r="D3273" s="78"/>
      <c r="E3273" s="101"/>
      <c r="F3273" s="108"/>
      <c r="G3273" s="120"/>
      <c r="H3273" s="101"/>
      <c r="I3273" s="93"/>
      <c r="J3273" s="91"/>
      <c r="L3273" s="94" t="str">
        <f t="shared" si="2"/>
        <v>No infirmation</v>
      </c>
      <c r="M3273" s="94" t="str">
        <f t="shared" si="3"/>
        <v/>
      </c>
    </row>
    <row r="3274" ht="15.75" customHeight="1">
      <c r="B3274" s="77">
        <f t="shared" si="1"/>
        <v>0</v>
      </c>
      <c r="C3274" s="67"/>
      <c r="D3274" s="78"/>
      <c r="E3274" s="101"/>
      <c r="F3274" s="108"/>
      <c r="G3274" s="120"/>
      <c r="H3274" s="101"/>
      <c r="I3274" s="93"/>
      <c r="J3274" s="91"/>
      <c r="L3274" s="94" t="str">
        <f t="shared" si="2"/>
        <v>No infirmation</v>
      </c>
      <c r="M3274" s="94" t="str">
        <f t="shared" si="3"/>
        <v/>
      </c>
    </row>
    <row r="3275" ht="15.75" customHeight="1">
      <c r="B3275" s="77">
        <f t="shared" si="1"/>
        <v>0</v>
      </c>
      <c r="C3275" s="67"/>
      <c r="D3275" s="78"/>
      <c r="E3275" s="101"/>
      <c r="F3275" s="108"/>
      <c r="G3275" s="120"/>
      <c r="H3275" s="101"/>
      <c r="I3275" s="93"/>
      <c r="J3275" s="91"/>
      <c r="L3275" s="94" t="str">
        <f t="shared" si="2"/>
        <v>No infirmation</v>
      </c>
      <c r="M3275" s="94" t="str">
        <f t="shared" si="3"/>
        <v/>
      </c>
    </row>
    <row r="3276" ht="15.75" customHeight="1">
      <c r="B3276" s="77">
        <f t="shared" si="1"/>
        <v>0</v>
      </c>
      <c r="C3276" s="67"/>
      <c r="D3276" s="78"/>
      <c r="E3276" s="101"/>
      <c r="F3276" s="108"/>
      <c r="G3276" s="120"/>
      <c r="H3276" s="101"/>
      <c r="I3276" s="93"/>
      <c r="J3276" s="91"/>
      <c r="L3276" s="94" t="str">
        <f t="shared" si="2"/>
        <v>No infirmation</v>
      </c>
      <c r="M3276" s="94" t="str">
        <f t="shared" si="3"/>
        <v/>
      </c>
    </row>
    <row r="3277" ht="15.75" customHeight="1">
      <c r="B3277" s="77">
        <f t="shared" si="1"/>
        <v>0</v>
      </c>
      <c r="C3277" s="67"/>
      <c r="D3277" s="78"/>
      <c r="E3277" s="101"/>
      <c r="F3277" s="108"/>
      <c r="G3277" s="120"/>
      <c r="H3277" s="101"/>
      <c r="I3277" s="93"/>
      <c r="J3277" s="91"/>
      <c r="L3277" s="94" t="str">
        <f t="shared" si="2"/>
        <v>No infirmation</v>
      </c>
      <c r="M3277" s="94" t="str">
        <f t="shared" si="3"/>
        <v/>
      </c>
    </row>
    <row r="3278" ht="15.75" customHeight="1">
      <c r="B3278" s="77">
        <f t="shared" si="1"/>
        <v>0</v>
      </c>
      <c r="C3278" s="67"/>
      <c r="D3278" s="78"/>
      <c r="E3278" s="101"/>
      <c r="F3278" s="108"/>
      <c r="G3278" s="120"/>
      <c r="H3278" s="101"/>
      <c r="I3278" s="93"/>
      <c r="J3278" s="91"/>
      <c r="L3278" s="94" t="str">
        <f t="shared" si="2"/>
        <v>No infirmation</v>
      </c>
      <c r="M3278" s="94" t="str">
        <f t="shared" si="3"/>
        <v/>
      </c>
    </row>
    <row r="3279" ht="15.75" customHeight="1">
      <c r="B3279" s="77">
        <f t="shared" si="1"/>
        <v>0</v>
      </c>
      <c r="C3279" s="67"/>
      <c r="D3279" s="78"/>
      <c r="E3279" s="101"/>
      <c r="F3279" s="108"/>
      <c r="G3279" s="120"/>
      <c r="H3279" s="101"/>
      <c r="I3279" s="93"/>
      <c r="J3279" s="91"/>
      <c r="L3279" s="94" t="str">
        <f t="shared" si="2"/>
        <v>No infirmation</v>
      </c>
      <c r="M3279" s="94" t="str">
        <f t="shared" si="3"/>
        <v/>
      </c>
    </row>
    <row r="3280" ht="15.75" customHeight="1">
      <c r="B3280" s="77">
        <f t="shared" si="1"/>
        <v>0</v>
      </c>
      <c r="C3280" s="67"/>
      <c r="D3280" s="78"/>
      <c r="E3280" s="101"/>
      <c r="F3280" s="108"/>
      <c r="G3280" s="120"/>
      <c r="H3280" s="101"/>
      <c r="I3280" s="93"/>
      <c r="J3280" s="91"/>
      <c r="L3280" s="94" t="str">
        <f t="shared" si="2"/>
        <v>No infirmation</v>
      </c>
      <c r="M3280" s="94" t="str">
        <f t="shared" si="3"/>
        <v/>
      </c>
    </row>
    <row r="3281" ht="15.75" customHeight="1">
      <c r="B3281" s="77">
        <f t="shared" si="1"/>
        <v>0</v>
      </c>
      <c r="C3281" s="67"/>
      <c r="D3281" s="78"/>
      <c r="E3281" s="101"/>
      <c r="F3281" s="108"/>
      <c r="G3281" s="120"/>
      <c r="H3281" s="101"/>
      <c r="I3281" s="93"/>
      <c r="J3281" s="91"/>
      <c r="L3281" s="94" t="str">
        <f t="shared" si="2"/>
        <v>No infirmation</v>
      </c>
      <c r="M3281" s="94" t="str">
        <f t="shared" si="3"/>
        <v/>
      </c>
    </row>
    <row r="3282" ht="15.75" customHeight="1">
      <c r="B3282" s="77">
        <f t="shared" si="1"/>
        <v>0</v>
      </c>
      <c r="C3282" s="67"/>
      <c r="D3282" s="78"/>
      <c r="E3282" s="101"/>
      <c r="F3282" s="108"/>
      <c r="G3282" s="120"/>
      <c r="H3282" s="101"/>
      <c r="I3282" s="93"/>
      <c r="J3282" s="91"/>
      <c r="L3282" s="94" t="str">
        <f t="shared" si="2"/>
        <v>No infirmation</v>
      </c>
      <c r="M3282" s="94" t="str">
        <f t="shared" si="3"/>
        <v/>
      </c>
    </row>
    <row r="3283" ht="15.75" customHeight="1">
      <c r="B3283" s="77">
        <f t="shared" si="1"/>
        <v>0</v>
      </c>
      <c r="C3283" s="67"/>
      <c r="D3283" s="78"/>
      <c r="E3283" s="101"/>
      <c r="F3283" s="108"/>
      <c r="G3283" s="120"/>
      <c r="H3283" s="101"/>
      <c r="I3283" s="93"/>
      <c r="J3283" s="91"/>
      <c r="L3283" s="94" t="str">
        <f t="shared" si="2"/>
        <v>No infirmation</v>
      </c>
      <c r="M3283" s="94" t="str">
        <f t="shared" si="3"/>
        <v/>
      </c>
    </row>
    <row r="3284" ht="15.75" customHeight="1">
      <c r="B3284" s="77">
        <f t="shared" si="1"/>
        <v>0</v>
      </c>
      <c r="C3284" s="67"/>
      <c r="D3284" s="78"/>
      <c r="E3284" s="101"/>
      <c r="F3284" s="108"/>
      <c r="G3284" s="120"/>
      <c r="H3284" s="101"/>
      <c r="I3284" s="93"/>
      <c r="J3284" s="91"/>
      <c r="L3284" s="94" t="str">
        <f t="shared" si="2"/>
        <v>No infirmation</v>
      </c>
      <c r="M3284" s="94" t="str">
        <f t="shared" si="3"/>
        <v/>
      </c>
    </row>
    <row r="3285" ht="15.75" customHeight="1">
      <c r="B3285" s="77">
        <f t="shared" si="1"/>
        <v>0</v>
      </c>
      <c r="C3285" s="67"/>
      <c r="D3285" s="78"/>
      <c r="E3285" s="101"/>
      <c r="F3285" s="108"/>
      <c r="G3285" s="120"/>
      <c r="H3285" s="101"/>
      <c r="I3285" s="93"/>
      <c r="J3285" s="91"/>
      <c r="L3285" s="94" t="str">
        <f t="shared" si="2"/>
        <v>No infirmation</v>
      </c>
      <c r="M3285" s="94" t="str">
        <f t="shared" si="3"/>
        <v/>
      </c>
    </row>
    <row r="3286" ht="15.75" customHeight="1">
      <c r="B3286" s="77">
        <f t="shared" si="1"/>
        <v>0</v>
      </c>
      <c r="C3286" s="67"/>
      <c r="D3286" s="78"/>
      <c r="E3286" s="101"/>
      <c r="F3286" s="108"/>
      <c r="G3286" s="120"/>
      <c r="H3286" s="101"/>
      <c r="I3286" s="93"/>
      <c r="J3286" s="91"/>
      <c r="L3286" s="94" t="str">
        <f t="shared" si="2"/>
        <v>No infirmation</v>
      </c>
      <c r="M3286" s="94" t="str">
        <f t="shared" si="3"/>
        <v/>
      </c>
    </row>
    <row r="3287" ht="15.75" customHeight="1">
      <c r="B3287" s="77">
        <f t="shared" si="1"/>
        <v>0</v>
      </c>
      <c r="C3287" s="67"/>
      <c r="D3287" s="78"/>
      <c r="E3287" s="101"/>
      <c r="F3287" s="108"/>
      <c r="G3287" s="120"/>
      <c r="H3287" s="101"/>
      <c r="I3287" s="93"/>
      <c r="J3287" s="91"/>
      <c r="L3287" s="94" t="str">
        <f t="shared" si="2"/>
        <v>No infirmation</v>
      </c>
      <c r="M3287" s="94" t="str">
        <f t="shared" si="3"/>
        <v/>
      </c>
    </row>
    <row r="3288" ht="15.75" customHeight="1">
      <c r="B3288" s="77">
        <f t="shared" si="1"/>
        <v>0</v>
      </c>
      <c r="C3288" s="67"/>
      <c r="D3288" s="78"/>
      <c r="E3288" s="101"/>
      <c r="F3288" s="108"/>
      <c r="G3288" s="120"/>
      <c r="H3288" s="101"/>
      <c r="I3288" s="93"/>
      <c r="J3288" s="91"/>
      <c r="L3288" s="94" t="str">
        <f t="shared" si="2"/>
        <v>No infirmation</v>
      </c>
      <c r="M3288" s="94" t="str">
        <f t="shared" si="3"/>
        <v/>
      </c>
    </row>
    <row r="3289" ht="15.75" customHeight="1">
      <c r="B3289" s="77">
        <f t="shared" si="1"/>
        <v>0</v>
      </c>
      <c r="C3289" s="67"/>
      <c r="D3289" s="78"/>
      <c r="E3289" s="101"/>
      <c r="F3289" s="108"/>
      <c r="G3289" s="120"/>
      <c r="H3289" s="101"/>
      <c r="I3289" s="93"/>
      <c r="J3289" s="91"/>
      <c r="L3289" s="94" t="str">
        <f t="shared" si="2"/>
        <v>No infirmation</v>
      </c>
      <c r="M3289" s="94" t="str">
        <f t="shared" si="3"/>
        <v/>
      </c>
    </row>
    <row r="3290" ht="15.75" customHeight="1">
      <c r="B3290" s="77">
        <f t="shared" si="1"/>
        <v>0</v>
      </c>
      <c r="C3290" s="67"/>
      <c r="D3290" s="78"/>
      <c r="E3290" s="101"/>
      <c r="F3290" s="108"/>
      <c r="G3290" s="120"/>
      <c r="H3290" s="101"/>
      <c r="I3290" s="93"/>
      <c r="J3290" s="91"/>
      <c r="L3290" s="94" t="str">
        <f t="shared" si="2"/>
        <v>No infirmation</v>
      </c>
      <c r="M3290" s="94" t="str">
        <f t="shared" si="3"/>
        <v/>
      </c>
    </row>
    <row r="3291" ht="15.75" customHeight="1">
      <c r="B3291" s="77">
        <f t="shared" si="1"/>
        <v>0</v>
      </c>
      <c r="C3291" s="67"/>
      <c r="D3291" s="78"/>
      <c r="E3291" s="101"/>
      <c r="F3291" s="108"/>
      <c r="G3291" s="120"/>
      <c r="H3291" s="101"/>
      <c r="I3291" s="93"/>
      <c r="J3291" s="91"/>
      <c r="L3291" s="94" t="str">
        <f t="shared" si="2"/>
        <v>No infirmation</v>
      </c>
      <c r="M3291" s="94" t="str">
        <f t="shared" si="3"/>
        <v/>
      </c>
    </row>
    <row r="3292" ht="15.75" customHeight="1">
      <c r="B3292" s="77">
        <f t="shared" si="1"/>
        <v>0</v>
      </c>
      <c r="C3292" s="67"/>
      <c r="D3292" s="78"/>
      <c r="E3292" s="101"/>
      <c r="F3292" s="108"/>
      <c r="G3292" s="120"/>
      <c r="H3292" s="101"/>
      <c r="I3292" s="93"/>
      <c r="J3292" s="91"/>
      <c r="L3292" s="94" t="str">
        <f t="shared" si="2"/>
        <v>No infirmation</v>
      </c>
      <c r="M3292" s="94" t="str">
        <f t="shared" si="3"/>
        <v/>
      </c>
    </row>
    <row r="3293" ht="15.75" customHeight="1">
      <c r="B3293" s="77">
        <f t="shared" si="1"/>
        <v>0</v>
      </c>
      <c r="C3293" s="67"/>
      <c r="D3293" s="78"/>
      <c r="E3293" s="101"/>
      <c r="F3293" s="108"/>
      <c r="G3293" s="120"/>
      <c r="H3293" s="101"/>
      <c r="I3293" s="93"/>
      <c r="J3293" s="91"/>
      <c r="L3293" s="94" t="str">
        <f t="shared" si="2"/>
        <v>No infirmation</v>
      </c>
      <c r="M3293" s="94" t="str">
        <f t="shared" si="3"/>
        <v/>
      </c>
    </row>
    <row r="3294" ht="15.75" customHeight="1">
      <c r="B3294" s="77">
        <f t="shared" si="1"/>
        <v>0</v>
      </c>
      <c r="C3294" s="67"/>
      <c r="D3294" s="78"/>
      <c r="E3294" s="101"/>
      <c r="F3294" s="108"/>
      <c r="G3294" s="120"/>
      <c r="H3294" s="101"/>
      <c r="I3294" s="93"/>
      <c r="J3294" s="91"/>
      <c r="L3294" s="94" t="str">
        <f t="shared" si="2"/>
        <v>No infirmation</v>
      </c>
      <c r="M3294" s="94" t="str">
        <f t="shared" si="3"/>
        <v/>
      </c>
    </row>
    <row r="3295" ht="15.75" customHeight="1">
      <c r="B3295" s="77">
        <f t="shared" si="1"/>
        <v>0</v>
      </c>
      <c r="C3295" s="67"/>
      <c r="D3295" s="78"/>
      <c r="E3295" s="101"/>
      <c r="F3295" s="108"/>
      <c r="G3295" s="120"/>
      <c r="H3295" s="101"/>
      <c r="I3295" s="93"/>
      <c r="J3295" s="91"/>
      <c r="L3295" s="94" t="str">
        <f t="shared" si="2"/>
        <v>No infirmation</v>
      </c>
      <c r="M3295" s="94" t="str">
        <f t="shared" si="3"/>
        <v/>
      </c>
    </row>
    <row r="3296" ht="15.75" customHeight="1">
      <c r="B3296" s="77">
        <f t="shared" si="1"/>
        <v>0</v>
      </c>
      <c r="C3296" s="67"/>
      <c r="D3296" s="78"/>
      <c r="E3296" s="101"/>
      <c r="F3296" s="108"/>
      <c r="G3296" s="120"/>
      <c r="H3296" s="101"/>
      <c r="I3296" s="93"/>
      <c r="J3296" s="91"/>
      <c r="L3296" s="94" t="str">
        <f t="shared" si="2"/>
        <v>No infirmation</v>
      </c>
      <c r="M3296" s="94" t="str">
        <f t="shared" si="3"/>
        <v/>
      </c>
    </row>
    <row r="3297" ht="15.75" customHeight="1">
      <c r="B3297" s="77">
        <f t="shared" si="1"/>
        <v>0</v>
      </c>
      <c r="C3297" s="67"/>
      <c r="D3297" s="78"/>
      <c r="E3297" s="101"/>
      <c r="F3297" s="108"/>
      <c r="G3297" s="120"/>
      <c r="H3297" s="101"/>
      <c r="I3297" s="93"/>
      <c r="J3297" s="91"/>
      <c r="L3297" s="94" t="str">
        <f t="shared" si="2"/>
        <v>No infirmation</v>
      </c>
      <c r="M3297" s="94" t="str">
        <f t="shared" si="3"/>
        <v/>
      </c>
    </row>
    <row r="3298" ht="15.75" customHeight="1">
      <c r="B3298" s="77">
        <f t="shared" si="1"/>
        <v>0</v>
      </c>
      <c r="C3298" s="67"/>
      <c r="D3298" s="78"/>
      <c r="E3298" s="101"/>
      <c r="F3298" s="108"/>
      <c r="G3298" s="120"/>
      <c r="H3298" s="101"/>
      <c r="I3298" s="93"/>
      <c r="J3298" s="91"/>
      <c r="L3298" s="94" t="str">
        <f t="shared" si="2"/>
        <v>No infirmation</v>
      </c>
      <c r="M3298" s="94" t="str">
        <f t="shared" si="3"/>
        <v/>
      </c>
    </row>
    <row r="3299" ht="15.75" customHeight="1">
      <c r="B3299" s="77">
        <f t="shared" si="1"/>
        <v>0</v>
      </c>
      <c r="C3299" s="67"/>
      <c r="D3299" s="78"/>
      <c r="E3299" s="101"/>
      <c r="F3299" s="108"/>
      <c r="G3299" s="120"/>
      <c r="H3299" s="101"/>
      <c r="I3299" s="93"/>
      <c r="J3299" s="91"/>
      <c r="L3299" s="94" t="str">
        <f t="shared" si="2"/>
        <v>No infirmation</v>
      </c>
      <c r="M3299" s="94" t="str">
        <f t="shared" si="3"/>
        <v/>
      </c>
    </row>
    <row r="3300" ht="15.75" customHeight="1">
      <c r="B3300" s="77">
        <f t="shared" si="1"/>
        <v>0</v>
      </c>
      <c r="C3300" s="67"/>
      <c r="D3300" s="78"/>
      <c r="E3300" s="101"/>
      <c r="F3300" s="108"/>
      <c r="G3300" s="120"/>
      <c r="H3300" s="101"/>
      <c r="I3300" s="93"/>
      <c r="J3300" s="91"/>
      <c r="L3300" s="94" t="str">
        <f t="shared" si="2"/>
        <v>No infirmation</v>
      </c>
      <c r="M3300" s="94" t="str">
        <f t="shared" si="3"/>
        <v/>
      </c>
    </row>
    <row r="3301" ht="15.75" customHeight="1">
      <c r="B3301" s="77">
        <f t="shared" si="1"/>
        <v>0</v>
      </c>
      <c r="C3301" s="67"/>
      <c r="D3301" s="78"/>
      <c r="E3301" s="101"/>
      <c r="F3301" s="108"/>
      <c r="G3301" s="120"/>
      <c r="H3301" s="101"/>
      <c r="I3301" s="93"/>
      <c r="J3301" s="91"/>
      <c r="L3301" s="94" t="str">
        <f t="shared" si="2"/>
        <v>No infirmation</v>
      </c>
      <c r="M3301" s="94" t="str">
        <f t="shared" si="3"/>
        <v/>
      </c>
    </row>
    <row r="3302" ht="15.75" customHeight="1">
      <c r="B3302" s="77">
        <f t="shared" si="1"/>
        <v>0</v>
      </c>
      <c r="C3302" s="67"/>
      <c r="D3302" s="78"/>
      <c r="E3302" s="101"/>
      <c r="F3302" s="108"/>
      <c r="G3302" s="120"/>
      <c r="H3302" s="101"/>
      <c r="I3302" s="93"/>
      <c r="J3302" s="91"/>
      <c r="L3302" s="94" t="str">
        <f t="shared" si="2"/>
        <v>No infirmation</v>
      </c>
      <c r="M3302" s="94" t="str">
        <f t="shared" si="3"/>
        <v/>
      </c>
    </row>
    <row r="3303" ht="15.75" customHeight="1">
      <c r="B3303" s="77">
        <f t="shared" si="1"/>
        <v>0</v>
      </c>
      <c r="C3303" s="67"/>
      <c r="D3303" s="78"/>
      <c r="E3303" s="101"/>
      <c r="F3303" s="108"/>
      <c r="G3303" s="120"/>
      <c r="H3303" s="101"/>
      <c r="I3303" s="93"/>
      <c r="J3303" s="91"/>
      <c r="L3303" s="94" t="str">
        <f t="shared" si="2"/>
        <v>No infirmation</v>
      </c>
      <c r="M3303" s="94" t="str">
        <f t="shared" si="3"/>
        <v/>
      </c>
    </row>
    <row r="3304" ht="15.75" customHeight="1">
      <c r="B3304" s="77">
        <f t="shared" si="1"/>
        <v>0</v>
      </c>
      <c r="C3304" s="67"/>
      <c r="D3304" s="78"/>
      <c r="E3304" s="101"/>
      <c r="F3304" s="108"/>
      <c r="G3304" s="120"/>
      <c r="H3304" s="101"/>
      <c r="I3304" s="93"/>
      <c r="J3304" s="91"/>
      <c r="L3304" s="94" t="str">
        <f t="shared" si="2"/>
        <v>No infirmation</v>
      </c>
      <c r="M3304" s="94" t="str">
        <f t="shared" si="3"/>
        <v/>
      </c>
    </row>
    <row r="3305" ht="15.75" customHeight="1">
      <c r="B3305" s="77">
        <f t="shared" si="1"/>
        <v>0</v>
      </c>
      <c r="C3305" s="67"/>
      <c r="D3305" s="78"/>
      <c r="E3305" s="101"/>
      <c r="F3305" s="108"/>
      <c r="G3305" s="120"/>
      <c r="H3305" s="101"/>
      <c r="I3305" s="93"/>
      <c r="J3305" s="91"/>
      <c r="L3305" s="94" t="str">
        <f t="shared" si="2"/>
        <v>No infirmation</v>
      </c>
      <c r="M3305" s="94" t="str">
        <f t="shared" si="3"/>
        <v/>
      </c>
    </row>
    <row r="3306" ht="15.75" customHeight="1">
      <c r="B3306" s="77">
        <f t="shared" si="1"/>
        <v>0</v>
      </c>
      <c r="C3306" s="67"/>
      <c r="D3306" s="78"/>
      <c r="E3306" s="101"/>
      <c r="F3306" s="108"/>
      <c r="G3306" s="120"/>
      <c r="H3306" s="101"/>
      <c r="I3306" s="93"/>
      <c r="J3306" s="91"/>
      <c r="L3306" s="94" t="str">
        <f t="shared" si="2"/>
        <v>No infirmation</v>
      </c>
      <c r="M3306" s="94" t="str">
        <f t="shared" si="3"/>
        <v/>
      </c>
    </row>
    <row r="3307" ht="15.75" customHeight="1">
      <c r="B3307" s="77">
        <f t="shared" si="1"/>
        <v>0</v>
      </c>
      <c r="C3307" s="67"/>
      <c r="D3307" s="78"/>
      <c r="E3307" s="101"/>
      <c r="F3307" s="108"/>
      <c r="G3307" s="120"/>
      <c r="H3307" s="101"/>
      <c r="I3307" s="93"/>
      <c r="J3307" s="91"/>
      <c r="L3307" s="94" t="str">
        <f t="shared" si="2"/>
        <v>No infirmation</v>
      </c>
      <c r="M3307" s="94" t="str">
        <f t="shared" si="3"/>
        <v/>
      </c>
    </row>
    <row r="3308" ht="15.75" customHeight="1">
      <c r="B3308" s="77">
        <f t="shared" si="1"/>
        <v>0</v>
      </c>
      <c r="C3308" s="67"/>
      <c r="D3308" s="78"/>
      <c r="E3308" s="101"/>
      <c r="F3308" s="108"/>
      <c r="G3308" s="120"/>
      <c r="H3308" s="101"/>
      <c r="I3308" s="93"/>
      <c r="J3308" s="91"/>
      <c r="L3308" s="94" t="str">
        <f t="shared" si="2"/>
        <v>No infirmation</v>
      </c>
      <c r="M3308" s="94" t="str">
        <f t="shared" si="3"/>
        <v/>
      </c>
    </row>
    <row r="3309" ht="15.75" customHeight="1">
      <c r="B3309" s="77">
        <f t="shared" si="1"/>
        <v>0</v>
      </c>
      <c r="C3309" s="67"/>
      <c r="D3309" s="78"/>
      <c r="E3309" s="101"/>
      <c r="F3309" s="108"/>
      <c r="G3309" s="120"/>
      <c r="H3309" s="101"/>
      <c r="I3309" s="93"/>
      <c r="J3309" s="91"/>
      <c r="L3309" s="94" t="str">
        <f t="shared" si="2"/>
        <v>No infirmation</v>
      </c>
      <c r="M3309" s="94" t="str">
        <f t="shared" si="3"/>
        <v/>
      </c>
    </row>
    <row r="3310" ht="15.75" customHeight="1">
      <c r="B3310" s="77">
        <f t="shared" si="1"/>
        <v>0</v>
      </c>
      <c r="C3310" s="67"/>
      <c r="D3310" s="78"/>
      <c r="E3310" s="101"/>
      <c r="F3310" s="108"/>
      <c r="G3310" s="120"/>
      <c r="H3310" s="101"/>
      <c r="I3310" s="93"/>
      <c r="J3310" s="91"/>
      <c r="L3310" s="94" t="str">
        <f t="shared" si="2"/>
        <v>No infirmation</v>
      </c>
      <c r="M3310" s="94" t="str">
        <f t="shared" si="3"/>
        <v/>
      </c>
    </row>
    <row r="3311" ht="15.75" customHeight="1">
      <c r="B3311" s="77">
        <f t="shared" si="1"/>
        <v>0</v>
      </c>
      <c r="C3311" s="67"/>
      <c r="D3311" s="78"/>
      <c r="E3311" s="101"/>
      <c r="F3311" s="108"/>
      <c r="G3311" s="120"/>
      <c r="H3311" s="101"/>
      <c r="I3311" s="93"/>
      <c r="J3311" s="91"/>
      <c r="L3311" s="94" t="str">
        <f t="shared" si="2"/>
        <v>No infirmation</v>
      </c>
      <c r="M3311" s="94" t="str">
        <f t="shared" si="3"/>
        <v/>
      </c>
    </row>
    <row r="3312" ht="15.75" customHeight="1">
      <c r="B3312" s="77">
        <f t="shared" si="1"/>
        <v>0</v>
      </c>
      <c r="C3312" s="67"/>
      <c r="D3312" s="78"/>
      <c r="E3312" s="101"/>
      <c r="F3312" s="108"/>
      <c r="G3312" s="120"/>
      <c r="H3312" s="101"/>
      <c r="I3312" s="93"/>
      <c r="J3312" s="91"/>
      <c r="L3312" s="94" t="str">
        <f t="shared" si="2"/>
        <v>No infirmation</v>
      </c>
      <c r="M3312" s="94" t="str">
        <f t="shared" si="3"/>
        <v/>
      </c>
    </row>
    <row r="3313" ht="15.75" customHeight="1">
      <c r="B3313" s="77">
        <f t="shared" si="1"/>
        <v>0</v>
      </c>
      <c r="C3313" s="67"/>
      <c r="D3313" s="78"/>
      <c r="E3313" s="101"/>
      <c r="F3313" s="108"/>
      <c r="G3313" s="120"/>
      <c r="H3313" s="101"/>
      <c r="I3313" s="93"/>
      <c r="J3313" s="91"/>
      <c r="L3313" s="94" t="str">
        <f t="shared" si="2"/>
        <v>No infirmation</v>
      </c>
      <c r="M3313" s="94" t="str">
        <f t="shared" si="3"/>
        <v/>
      </c>
    </row>
    <row r="3314" ht="15.75" customHeight="1">
      <c r="B3314" s="77">
        <f t="shared" si="1"/>
        <v>0</v>
      </c>
      <c r="C3314" s="67"/>
      <c r="D3314" s="78"/>
      <c r="E3314" s="101"/>
      <c r="F3314" s="108"/>
      <c r="G3314" s="120"/>
      <c r="H3314" s="101"/>
      <c r="I3314" s="93"/>
      <c r="J3314" s="91"/>
      <c r="L3314" s="94" t="str">
        <f t="shared" si="2"/>
        <v>No infirmation</v>
      </c>
      <c r="M3314" s="94" t="str">
        <f t="shared" si="3"/>
        <v/>
      </c>
    </row>
    <row r="3315" ht="15.75" customHeight="1">
      <c r="B3315" s="77">
        <f t="shared" si="1"/>
        <v>0</v>
      </c>
      <c r="C3315" s="67"/>
      <c r="D3315" s="78"/>
      <c r="E3315" s="101"/>
      <c r="F3315" s="108"/>
      <c r="G3315" s="120"/>
      <c r="H3315" s="101"/>
      <c r="I3315" s="93"/>
      <c r="J3315" s="91"/>
      <c r="L3315" s="94" t="str">
        <f t="shared" si="2"/>
        <v>No infirmation</v>
      </c>
      <c r="M3315" s="94" t="str">
        <f t="shared" si="3"/>
        <v/>
      </c>
    </row>
    <row r="3316" ht="15.75" customHeight="1">
      <c r="B3316" s="77">
        <f t="shared" si="1"/>
        <v>0</v>
      </c>
      <c r="C3316" s="67"/>
      <c r="D3316" s="78"/>
      <c r="E3316" s="101"/>
      <c r="F3316" s="108"/>
      <c r="G3316" s="120"/>
      <c r="H3316" s="101"/>
      <c r="I3316" s="93"/>
      <c r="J3316" s="91"/>
      <c r="L3316" s="94" t="str">
        <f t="shared" si="2"/>
        <v>No infirmation</v>
      </c>
      <c r="M3316" s="94" t="str">
        <f t="shared" si="3"/>
        <v/>
      </c>
    </row>
    <row r="3317" ht="15.75" customHeight="1">
      <c r="B3317" s="77">
        <f t="shared" si="1"/>
        <v>0</v>
      </c>
      <c r="C3317" s="67"/>
      <c r="D3317" s="78"/>
      <c r="E3317" s="101"/>
      <c r="F3317" s="108"/>
      <c r="G3317" s="120"/>
      <c r="H3317" s="101"/>
      <c r="I3317" s="93"/>
      <c r="J3317" s="91"/>
      <c r="L3317" s="94" t="str">
        <f t="shared" si="2"/>
        <v>No infirmation</v>
      </c>
      <c r="M3317" s="94" t="str">
        <f t="shared" si="3"/>
        <v/>
      </c>
    </row>
    <row r="3318" ht="15.75" customHeight="1">
      <c r="B3318" s="77">
        <f t="shared" si="1"/>
        <v>0</v>
      </c>
      <c r="C3318" s="67"/>
      <c r="D3318" s="78"/>
      <c r="E3318" s="101"/>
      <c r="F3318" s="108"/>
      <c r="G3318" s="120"/>
      <c r="H3318" s="101"/>
      <c r="I3318" s="93"/>
      <c r="J3318" s="91"/>
      <c r="L3318" s="94" t="str">
        <f t="shared" si="2"/>
        <v>No infirmation</v>
      </c>
      <c r="M3318" s="94" t="str">
        <f t="shared" si="3"/>
        <v/>
      </c>
    </row>
    <row r="3319" ht="15.75" customHeight="1">
      <c r="B3319" s="77">
        <f t="shared" si="1"/>
        <v>0</v>
      </c>
      <c r="C3319" s="67"/>
      <c r="D3319" s="78"/>
      <c r="E3319" s="101"/>
      <c r="F3319" s="108"/>
      <c r="G3319" s="120"/>
      <c r="H3319" s="101"/>
      <c r="I3319" s="93"/>
      <c r="J3319" s="91"/>
      <c r="L3319" s="94" t="str">
        <f t="shared" si="2"/>
        <v>No infirmation</v>
      </c>
      <c r="M3319" s="94" t="str">
        <f t="shared" si="3"/>
        <v/>
      </c>
    </row>
    <row r="3320" ht="15.75" customHeight="1">
      <c r="B3320" s="77">
        <f t="shared" si="1"/>
        <v>0</v>
      </c>
      <c r="C3320" s="67"/>
      <c r="D3320" s="78"/>
      <c r="E3320" s="101"/>
      <c r="F3320" s="108"/>
      <c r="G3320" s="120"/>
      <c r="H3320" s="101"/>
      <c r="I3320" s="93"/>
      <c r="J3320" s="91"/>
      <c r="L3320" s="94" t="str">
        <f t="shared" si="2"/>
        <v>No infirmation</v>
      </c>
      <c r="M3320" s="94" t="str">
        <f t="shared" si="3"/>
        <v/>
      </c>
    </row>
    <row r="3321" ht="15.75" customHeight="1">
      <c r="B3321" s="77">
        <f t="shared" si="1"/>
        <v>0</v>
      </c>
      <c r="C3321" s="67"/>
      <c r="D3321" s="78"/>
      <c r="E3321" s="101"/>
      <c r="F3321" s="108"/>
      <c r="G3321" s="120"/>
      <c r="H3321" s="101"/>
      <c r="I3321" s="93"/>
      <c r="J3321" s="91"/>
      <c r="L3321" s="94" t="str">
        <f t="shared" si="2"/>
        <v>No infirmation</v>
      </c>
      <c r="M3321" s="94" t="str">
        <f t="shared" si="3"/>
        <v/>
      </c>
    </row>
    <row r="3322" ht="15.75" customHeight="1">
      <c r="B3322" s="77">
        <f t="shared" si="1"/>
        <v>0</v>
      </c>
      <c r="C3322" s="67"/>
      <c r="D3322" s="78"/>
      <c r="E3322" s="101"/>
      <c r="F3322" s="108"/>
      <c r="G3322" s="120"/>
      <c r="H3322" s="101"/>
      <c r="I3322" s="93"/>
      <c r="J3322" s="91"/>
      <c r="L3322" s="94" t="str">
        <f t="shared" si="2"/>
        <v>No infirmation</v>
      </c>
      <c r="M3322" s="94" t="str">
        <f t="shared" si="3"/>
        <v/>
      </c>
    </row>
    <row r="3323" ht="15.75" customHeight="1">
      <c r="B3323" s="77">
        <f t="shared" si="1"/>
        <v>0</v>
      </c>
      <c r="C3323" s="67"/>
      <c r="D3323" s="78"/>
      <c r="E3323" s="101"/>
      <c r="F3323" s="108"/>
      <c r="G3323" s="120"/>
      <c r="H3323" s="101"/>
      <c r="I3323" s="93"/>
      <c r="J3323" s="91"/>
      <c r="L3323" s="94" t="str">
        <f t="shared" si="2"/>
        <v>No infirmation</v>
      </c>
      <c r="M3323" s="94" t="str">
        <f t="shared" si="3"/>
        <v/>
      </c>
    </row>
    <row r="3324" ht="15.75" customHeight="1">
      <c r="B3324" s="77">
        <f t="shared" si="1"/>
        <v>0</v>
      </c>
      <c r="C3324" s="67"/>
      <c r="D3324" s="78"/>
      <c r="E3324" s="101"/>
      <c r="F3324" s="108"/>
      <c r="G3324" s="120"/>
      <c r="H3324" s="101"/>
      <c r="I3324" s="93"/>
      <c r="J3324" s="91"/>
      <c r="L3324" s="94" t="str">
        <f t="shared" si="2"/>
        <v>No infirmation</v>
      </c>
      <c r="M3324" s="94" t="str">
        <f t="shared" si="3"/>
        <v/>
      </c>
    </row>
    <row r="3325" ht="15.75" customHeight="1">
      <c r="B3325" s="77">
        <f t="shared" si="1"/>
        <v>0</v>
      </c>
      <c r="C3325" s="67"/>
      <c r="D3325" s="78"/>
      <c r="E3325" s="101"/>
      <c r="F3325" s="108"/>
      <c r="G3325" s="120"/>
      <c r="H3325" s="101"/>
      <c r="I3325" s="93"/>
      <c r="J3325" s="91"/>
      <c r="L3325" s="94" t="str">
        <f t="shared" si="2"/>
        <v>No infirmation</v>
      </c>
      <c r="M3325" s="94" t="str">
        <f t="shared" si="3"/>
        <v/>
      </c>
    </row>
    <row r="3326" ht="15.75" customHeight="1">
      <c r="B3326" s="77">
        <f t="shared" si="1"/>
        <v>0</v>
      </c>
      <c r="C3326" s="67"/>
      <c r="D3326" s="78"/>
      <c r="E3326" s="101"/>
      <c r="F3326" s="108"/>
      <c r="G3326" s="120"/>
      <c r="H3326" s="101"/>
      <c r="I3326" s="93"/>
      <c r="J3326" s="91"/>
      <c r="L3326" s="94" t="str">
        <f t="shared" si="2"/>
        <v>No infirmation</v>
      </c>
      <c r="M3326" s="94" t="str">
        <f t="shared" si="3"/>
        <v/>
      </c>
    </row>
    <row r="3327" ht="15.75" customHeight="1">
      <c r="B3327" s="77">
        <f t="shared" si="1"/>
        <v>0</v>
      </c>
      <c r="C3327" s="67"/>
      <c r="D3327" s="78"/>
      <c r="E3327" s="101"/>
      <c r="F3327" s="108"/>
      <c r="G3327" s="120"/>
      <c r="H3327" s="101"/>
      <c r="I3327" s="93"/>
      <c r="J3327" s="91"/>
      <c r="L3327" s="94" t="str">
        <f t="shared" si="2"/>
        <v>No infirmation</v>
      </c>
      <c r="M3327" s="94" t="str">
        <f t="shared" si="3"/>
        <v/>
      </c>
    </row>
    <row r="3328" ht="15.75" customHeight="1">
      <c r="B3328" s="77">
        <f t="shared" si="1"/>
        <v>0</v>
      </c>
      <c r="C3328" s="67"/>
      <c r="D3328" s="78"/>
      <c r="E3328" s="101"/>
      <c r="F3328" s="108"/>
      <c r="G3328" s="120"/>
      <c r="H3328" s="101"/>
      <c r="I3328" s="93"/>
      <c r="J3328" s="91"/>
      <c r="L3328" s="94" t="str">
        <f t="shared" si="2"/>
        <v>No infirmation</v>
      </c>
      <c r="M3328" s="94" t="str">
        <f t="shared" si="3"/>
        <v/>
      </c>
    </row>
    <row r="3329" ht="15.75" customHeight="1">
      <c r="B3329" s="77">
        <f t="shared" si="1"/>
        <v>0</v>
      </c>
      <c r="C3329" s="67"/>
      <c r="D3329" s="78"/>
      <c r="E3329" s="101"/>
      <c r="F3329" s="108"/>
      <c r="G3329" s="120"/>
      <c r="H3329" s="101"/>
      <c r="I3329" s="93"/>
      <c r="J3329" s="91"/>
      <c r="L3329" s="94" t="str">
        <f t="shared" si="2"/>
        <v>No infirmation</v>
      </c>
      <c r="M3329" s="94" t="str">
        <f t="shared" si="3"/>
        <v/>
      </c>
    </row>
    <row r="3330" ht="15.75" customHeight="1">
      <c r="B3330" s="77">
        <f t="shared" si="1"/>
        <v>0</v>
      </c>
      <c r="C3330" s="67"/>
      <c r="D3330" s="78"/>
      <c r="E3330" s="101"/>
      <c r="F3330" s="108"/>
      <c r="G3330" s="120"/>
      <c r="H3330" s="101"/>
      <c r="I3330" s="93"/>
      <c r="J3330" s="91"/>
      <c r="L3330" s="94" t="str">
        <f t="shared" si="2"/>
        <v>No infirmation</v>
      </c>
      <c r="M3330" s="94" t="str">
        <f t="shared" si="3"/>
        <v/>
      </c>
    </row>
    <row r="3331" ht="15.75" customHeight="1">
      <c r="B3331" s="77">
        <f t="shared" si="1"/>
        <v>0</v>
      </c>
      <c r="C3331" s="67"/>
      <c r="D3331" s="78"/>
      <c r="E3331" s="101"/>
      <c r="F3331" s="108"/>
      <c r="G3331" s="120"/>
      <c r="H3331" s="101"/>
      <c r="I3331" s="93"/>
      <c r="J3331" s="91"/>
      <c r="L3331" s="94" t="str">
        <f t="shared" si="2"/>
        <v>No infirmation</v>
      </c>
      <c r="M3331" s="94" t="str">
        <f t="shared" si="3"/>
        <v/>
      </c>
    </row>
    <row r="3332" ht="15.75" customHeight="1">
      <c r="B3332" s="77">
        <f t="shared" si="1"/>
        <v>0</v>
      </c>
      <c r="C3332" s="67"/>
      <c r="D3332" s="78"/>
      <c r="E3332" s="101"/>
      <c r="F3332" s="108"/>
      <c r="G3332" s="120"/>
      <c r="H3332" s="101"/>
      <c r="I3332" s="93"/>
      <c r="J3332" s="91"/>
      <c r="L3332" s="94" t="str">
        <f t="shared" si="2"/>
        <v>No infirmation</v>
      </c>
      <c r="M3332" s="94" t="str">
        <f t="shared" si="3"/>
        <v/>
      </c>
    </row>
    <row r="3333" ht="15.75" customHeight="1">
      <c r="B3333" s="77">
        <f t="shared" si="1"/>
        <v>0</v>
      </c>
      <c r="C3333" s="67"/>
      <c r="D3333" s="78"/>
      <c r="E3333" s="101"/>
      <c r="F3333" s="108"/>
      <c r="G3333" s="120"/>
      <c r="H3333" s="101"/>
      <c r="I3333" s="93"/>
      <c r="J3333" s="91"/>
      <c r="L3333" s="94" t="str">
        <f t="shared" si="2"/>
        <v>No infirmation</v>
      </c>
      <c r="M3333" s="94" t="str">
        <f t="shared" si="3"/>
        <v/>
      </c>
    </row>
    <row r="3334" ht="15.75" customHeight="1">
      <c r="B3334" s="77">
        <f t="shared" si="1"/>
        <v>0</v>
      </c>
      <c r="C3334" s="67"/>
      <c r="D3334" s="78"/>
      <c r="E3334" s="101"/>
      <c r="F3334" s="108"/>
      <c r="G3334" s="120"/>
      <c r="H3334" s="101"/>
      <c r="I3334" s="93"/>
      <c r="J3334" s="91"/>
      <c r="L3334" s="94" t="str">
        <f t="shared" si="2"/>
        <v>No infirmation</v>
      </c>
      <c r="M3334" s="94" t="str">
        <f t="shared" si="3"/>
        <v/>
      </c>
    </row>
    <row r="3335" ht="15.75" customHeight="1">
      <c r="B3335" s="77">
        <f t="shared" si="1"/>
        <v>0</v>
      </c>
      <c r="C3335" s="67"/>
      <c r="D3335" s="78"/>
      <c r="E3335" s="101"/>
      <c r="F3335" s="108"/>
      <c r="G3335" s="120"/>
      <c r="H3335" s="101"/>
      <c r="I3335" s="93"/>
      <c r="J3335" s="91"/>
      <c r="L3335" s="94" t="str">
        <f t="shared" si="2"/>
        <v>No infirmation</v>
      </c>
      <c r="M3335" s="94" t="str">
        <f t="shared" si="3"/>
        <v/>
      </c>
    </row>
    <row r="3336" ht="15.75" customHeight="1">
      <c r="B3336" s="77">
        <f t="shared" si="1"/>
        <v>0</v>
      </c>
      <c r="C3336" s="67"/>
      <c r="D3336" s="78"/>
      <c r="E3336" s="101"/>
      <c r="F3336" s="108"/>
      <c r="G3336" s="120"/>
      <c r="H3336" s="101"/>
      <c r="I3336" s="93"/>
      <c r="J3336" s="91"/>
      <c r="L3336" s="94" t="str">
        <f t="shared" si="2"/>
        <v>No infirmation</v>
      </c>
      <c r="M3336" s="94" t="str">
        <f t="shared" si="3"/>
        <v/>
      </c>
    </row>
    <row r="3337" ht="15.75" customHeight="1">
      <c r="B3337" s="77">
        <f t="shared" si="1"/>
        <v>0</v>
      </c>
      <c r="C3337" s="67"/>
      <c r="D3337" s="78"/>
      <c r="E3337" s="101"/>
      <c r="F3337" s="108"/>
      <c r="G3337" s="120"/>
      <c r="H3337" s="101"/>
      <c r="I3337" s="93"/>
      <c r="J3337" s="91"/>
      <c r="L3337" s="94" t="str">
        <f t="shared" si="2"/>
        <v>No infirmation</v>
      </c>
      <c r="M3337" s="94" t="str">
        <f t="shared" si="3"/>
        <v/>
      </c>
    </row>
    <row r="3338" ht="15.75" customHeight="1">
      <c r="B3338" s="77">
        <f t="shared" si="1"/>
        <v>0</v>
      </c>
      <c r="C3338" s="67"/>
      <c r="D3338" s="78"/>
      <c r="E3338" s="101"/>
      <c r="F3338" s="108"/>
      <c r="G3338" s="120"/>
      <c r="H3338" s="101"/>
      <c r="I3338" s="93"/>
      <c r="J3338" s="91"/>
      <c r="L3338" s="94" t="str">
        <f t="shared" si="2"/>
        <v>No infirmation</v>
      </c>
      <c r="M3338" s="94" t="str">
        <f t="shared" si="3"/>
        <v/>
      </c>
    </row>
    <row r="3339" ht="15.75" customHeight="1">
      <c r="B3339" s="77">
        <f t="shared" si="1"/>
        <v>0</v>
      </c>
      <c r="C3339" s="67"/>
      <c r="D3339" s="78"/>
      <c r="E3339" s="101"/>
      <c r="F3339" s="108"/>
      <c r="G3339" s="120"/>
      <c r="H3339" s="101"/>
      <c r="I3339" s="93"/>
      <c r="J3339" s="91"/>
      <c r="L3339" s="94" t="str">
        <f t="shared" si="2"/>
        <v>No infirmation</v>
      </c>
      <c r="M3339" s="94" t="str">
        <f t="shared" si="3"/>
        <v/>
      </c>
    </row>
    <row r="3340" ht="15.75" customHeight="1">
      <c r="B3340" s="77">
        <f t="shared" si="1"/>
        <v>0</v>
      </c>
      <c r="C3340" s="67"/>
      <c r="D3340" s="78"/>
      <c r="E3340" s="101"/>
      <c r="F3340" s="108"/>
      <c r="G3340" s="120"/>
      <c r="H3340" s="101"/>
      <c r="I3340" s="93"/>
      <c r="J3340" s="91"/>
      <c r="L3340" s="94" t="str">
        <f t="shared" si="2"/>
        <v>No infirmation</v>
      </c>
      <c r="M3340" s="94" t="str">
        <f t="shared" si="3"/>
        <v/>
      </c>
    </row>
    <row r="3341" ht="15.75" customHeight="1">
      <c r="B3341" s="77">
        <f t="shared" si="1"/>
        <v>0</v>
      </c>
      <c r="C3341" s="67"/>
      <c r="D3341" s="78"/>
      <c r="E3341" s="101"/>
      <c r="F3341" s="108"/>
      <c r="G3341" s="120"/>
      <c r="H3341" s="101"/>
      <c r="I3341" s="93"/>
      <c r="J3341" s="91"/>
      <c r="L3341" s="94" t="str">
        <f t="shared" si="2"/>
        <v>No infirmation</v>
      </c>
      <c r="M3341" s="94" t="str">
        <f t="shared" si="3"/>
        <v/>
      </c>
    </row>
    <row r="3342" ht="15.75" customHeight="1">
      <c r="B3342" s="77">
        <f t="shared" si="1"/>
        <v>0</v>
      </c>
      <c r="C3342" s="67"/>
      <c r="D3342" s="78"/>
      <c r="E3342" s="101"/>
      <c r="F3342" s="108"/>
      <c r="G3342" s="120"/>
      <c r="H3342" s="101"/>
      <c r="I3342" s="93"/>
      <c r="J3342" s="91"/>
      <c r="L3342" s="94" t="str">
        <f t="shared" si="2"/>
        <v>No infirmation</v>
      </c>
      <c r="M3342" s="94" t="str">
        <f t="shared" si="3"/>
        <v/>
      </c>
    </row>
    <row r="3343" ht="15.75" customHeight="1">
      <c r="B3343" s="77">
        <f t="shared" si="1"/>
        <v>0</v>
      </c>
      <c r="C3343" s="67"/>
      <c r="D3343" s="78"/>
      <c r="E3343" s="101"/>
      <c r="F3343" s="108"/>
      <c r="G3343" s="120"/>
      <c r="H3343" s="101"/>
      <c r="I3343" s="93"/>
      <c r="J3343" s="91"/>
      <c r="L3343" s="94" t="str">
        <f t="shared" si="2"/>
        <v>No infirmation</v>
      </c>
      <c r="M3343" s="94" t="str">
        <f t="shared" si="3"/>
        <v/>
      </c>
    </row>
    <row r="3344" ht="15.75" customHeight="1">
      <c r="B3344" s="77">
        <f t="shared" si="1"/>
        <v>0</v>
      </c>
      <c r="C3344" s="67"/>
      <c r="D3344" s="78"/>
      <c r="E3344" s="101"/>
      <c r="F3344" s="108"/>
      <c r="G3344" s="120"/>
      <c r="H3344" s="101"/>
      <c r="I3344" s="93"/>
      <c r="J3344" s="91"/>
      <c r="L3344" s="94" t="str">
        <f t="shared" si="2"/>
        <v>No infirmation</v>
      </c>
      <c r="M3344" s="94" t="str">
        <f t="shared" si="3"/>
        <v/>
      </c>
    </row>
    <row r="3345" ht="15.75" customHeight="1">
      <c r="B3345" s="77">
        <f t="shared" si="1"/>
        <v>0</v>
      </c>
      <c r="C3345" s="67"/>
      <c r="D3345" s="78"/>
      <c r="E3345" s="101"/>
      <c r="F3345" s="108"/>
      <c r="G3345" s="120"/>
      <c r="H3345" s="101"/>
      <c r="I3345" s="93"/>
      <c r="J3345" s="91"/>
      <c r="L3345" s="94" t="str">
        <f t="shared" si="2"/>
        <v>No infirmation</v>
      </c>
      <c r="M3345" s="94" t="str">
        <f t="shared" si="3"/>
        <v/>
      </c>
    </row>
    <row r="3346" ht="15.75" customHeight="1">
      <c r="B3346" s="77">
        <f t="shared" si="1"/>
        <v>0</v>
      </c>
      <c r="C3346" s="67"/>
      <c r="D3346" s="78"/>
      <c r="E3346" s="101"/>
      <c r="F3346" s="108"/>
      <c r="G3346" s="120"/>
      <c r="H3346" s="101"/>
      <c r="I3346" s="93"/>
      <c r="J3346" s="91"/>
      <c r="L3346" s="94" t="str">
        <f t="shared" si="2"/>
        <v>No infirmation</v>
      </c>
      <c r="M3346" s="94" t="str">
        <f t="shared" si="3"/>
        <v/>
      </c>
    </row>
    <row r="3347" ht="15.75" customHeight="1">
      <c r="B3347" s="77">
        <f t="shared" si="1"/>
        <v>0</v>
      </c>
      <c r="C3347" s="67"/>
      <c r="D3347" s="78"/>
      <c r="E3347" s="101"/>
      <c r="F3347" s="108"/>
      <c r="G3347" s="120"/>
      <c r="H3347" s="101"/>
      <c r="I3347" s="93"/>
      <c r="J3347" s="91"/>
      <c r="L3347" s="94" t="str">
        <f t="shared" si="2"/>
        <v>No infirmation</v>
      </c>
      <c r="M3347" s="94" t="str">
        <f t="shared" si="3"/>
        <v/>
      </c>
    </row>
    <row r="3348" ht="15.75" customHeight="1">
      <c r="B3348" s="77">
        <f t="shared" si="1"/>
        <v>0</v>
      </c>
      <c r="C3348" s="67"/>
      <c r="D3348" s="78"/>
      <c r="E3348" s="101"/>
      <c r="F3348" s="108"/>
      <c r="G3348" s="120"/>
      <c r="H3348" s="101"/>
      <c r="I3348" s="93"/>
      <c r="J3348" s="91"/>
      <c r="L3348" s="94" t="str">
        <f t="shared" si="2"/>
        <v>No infirmation</v>
      </c>
      <c r="M3348" s="94" t="str">
        <f t="shared" si="3"/>
        <v/>
      </c>
    </row>
    <row r="3349" ht="15.75" customHeight="1">
      <c r="B3349" s="77">
        <f t="shared" si="1"/>
        <v>0</v>
      </c>
      <c r="C3349" s="67"/>
      <c r="D3349" s="78"/>
      <c r="E3349" s="101"/>
      <c r="F3349" s="108"/>
      <c r="G3349" s="120"/>
      <c r="H3349" s="101"/>
      <c r="I3349" s="93"/>
      <c r="J3349" s="91"/>
      <c r="L3349" s="94" t="str">
        <f t="shared" si="2"/>
        <v>No infirmation</v>
      </c>
      <c r="M3349" s="94" t="str">
        <f t="shared" si="3"/>
        <v/>
      </c>
    </row>
    <row r="3350" ht="15.75" customHeight="1">
      <c r="B3350" s="77">
        <f t="shared" si="1"/>
        <v>0</v>
      </c>
      <c r="C3350" s="67"/>
      <c r="D3350" s="78"/>
      <c r="E3350" s="101"/>
      <c r="F3350" s="108"/>
      <c r="G3350" s="120"/>
      <c r="H3350" s="101"/>
      <c r="I3350" s="93"/>
      <c r="J3350" s="91"/>
      <c r="L3350" s="94" t="str">
        <f t="shared" si="2"/>
        <v>No infirmation</v>
      </c>
      <c r="M3350" s="94" t="str">
        <f t="shared" si="3"/>
        <v/>
      </c>
    </row>
    <row r="3351" ht="15.75" customHeight="1">
      <c r="B3351" s="77">
        <f t="shared" si="1"/>
        <v>0</v>
      </c>
      <c r="C3351" s="67"/>
      <c r="D3351" s="78"/>
      <c r="E3351" s="101"/>
      <c r="F3351" s="108"/>
      <c r="G3351" s="120"/>
      <c r="H3351" s="101"/>
      <c r="I3351" s="93"/>
      <c r="J3351" s="91"/>
      <c r="L3351" s="94" t="str">
        <f t="shared" si="2"/>
        <v>No infirmation</v>
      </c>
      <c r="M3351" s="94" t="str">
        <f t="shared" si="3"/>
        <v/>
      </c>
    </row>
    <row r="3352" ht="15.75" customHeight="1">
      <c r="B3352" s="77">
        <f t="shared" si="1"/>
        <v>0</v>
      </c>
      <c r="C3352" s="67"/>
      <c r="D3352" s="78"/>
      <c r="E3352" s="101"/>
      <c r="F3352" s="108"/>
      <c r="G3352" s="120"/>
      <c r="H3352" s="101"/>
      <c r="I3352" s="93"/>
      <c r="J3352" s="91"/>
      <c r="L3352" s="94" t="str">
        <f t="shared" si="2"/>
        <v>No infirmation</v>
      </c>
      <c r="M3352" s="94" t="str">
        <f t="shared" si="3"/>
        <v/>
      </c>
    </row>
    <row r="3353" ht="15.75" customHeight="1">
      <c r="B3353" s="77">
        <f t="shared" si="1"/>
        <v>0</v>
      </c>
      <c r="C3353" s="67"/>
      <c r="D3353" s="78"/>
      <c r="E3353" s="101"/>
      <c r="F3353" s="108"/>
      <c r="G3353" s="120"/>
      <c r="H3353" s="101"/>
      <c r="I3353" s="93"/>
      <c r="J3353" s="91"/>
      <c r="L3353" s="94" t="str">
        <f t="shared" si="2"/>
        <v>No infirmation</v>
      </c>
      <c r="M3353" s="94" t="str">
        <f t="shared" si="3"/>
        <v/>
      </c>
    </row>
    <row r="3354" ht="15.75" customHeight="1">
      <c r="B3354" s="77">
        <f t="shared" si="1"/>
        <v>0</v>
      </c>
      <c r="C3354" s="67"/>
      <c r="D3354" s="78"/>
      <c r="E3354" s="101"/>
      <c r="F3354" s="108"/>
      <c r="G3354" s="120"/>
      <c r="H3354" s="101"/>
      <c r="I3354" s="93"/>
      <c r="J3354" s="91"/>
      <c r="L3354" s="94" t="str">
        <f t="shared" si="2"/>
        <v>No infirmation</v>
      </c>
      <c r="M3354" s="94" t="str">
        <f t="shared" si="3"/>
        <v/>
      </c>
    </row>
    <row r="3355" ht="15.75" customHeight="1">
      <c r="B3355" s="77">
        <f t="shared" si="1"/>
        <v>0</v>
      </c>
      <c r="C3355" s="67"/>
      <c r="D3355" s="78"/>
      <c r="E3355" s="101"/>
      <c r="F3355" s="108"/>
      <c r="G3355" s="120"/>
      <c r="H3355" s="101"/>
      <c r="I3355" s="93"/>
      <c r="J3355" s="91"/>
      <c r="L3355" s="94" t="str">
        <f t="shared" si="2"/>
        <v>No infirmation</v>
      </c>
      <c r="M3355" s="94" t="str">
        <f t="shared" si="3"/>
        <v/>
      </c>
    </row>
    <row r="3356" ht="15.75" customHeight="1">
      <c r="B3356" s="77">
        <f t="shared" si="1"/>
        <v>0</v>
      </c>
      <c r="C3356" s="67"/>
      <c r="D3356" s="78"/>
      <c r="E3356" s="101"/>
      <c r="F3356" s="108"/>
      <c r="G3356" s="120"/>
      <c r="H3356" s="101"/>
      <c r="I3356" s="93"/>
      <c r="J3356" s="91"/>
      <c r="L3356" s="94" t="str">
        <f t="shared" si="2"/>
        <v>No infirmation</v>
      </c>
      <c r="M3356" s="94" t="str">
        <f t="shared" si="3"/>
        <v/>
      </c>
    </row>
    <row r="3357" ht="15.75" customHeight="1">
      <c r="B3357" s="77">
        <f t="shared" si="1"/>
        <v>0</v>
      </c>
      <c r="C3357" s="67"/>
      <c r="D3357" s="78"/>
      <c r="E3357" s="101"/>
      <c r="F3357" s="108"/>
      <c r="G3357" s="120"/>
      <c r="H3357" s="101"/>
      <c r="I3357" s="93"/>
      <c r="J3357" s="91"/>
      <c r="L3357" s="94" t="str">
        <f t="shared" si="2"/>
        <v>No infirmation</v>
      </c>
      <c r="M3357" s="94" t="str">
        <f t="shared" si="3"/>
        <v/>
      </c>
    </row>
    <row r="3358" ht="15.75" customHeight="1">
      <c r="B3358" s="77">
        <f t="shared" si="1"/>
        <v>0</v>
      </c>
      <c r="C3358" s="67"/>
      <c r="D3358" s="78"/>
      <c r="E3358" s="101"/>
      <c r="F3358" s="108"/>
      <c r="G3358" s="120"/>
      <c r="H3358" s="101"/>
      <c r="I3358" s="93"/>
      <c r="J3358" s="91"/>
      <c r="L3358" s="94" t="str">
        <f t="shared" si="2"/>
        <v>No infirmation</v>
      </c>
      <c r="M3358" s="94" t="str">
        <f t="shared" si="3"/>
        <v/>
      </c>
    </row>
    <row r="3359" ht="15.75" customHeight="1">
      <c r="B3359" s="77">
        <f t="shared" si="1"/>
        <v>0</v>
      </c>
      <c r="C3359" s="67"/>
      <c r="D3359" s="78"/>
      <c r="E3359" s="101"/>
      <c r="F3359" s="108"/>
      <c r="G3359" s="120"/>
      <c r="H3359" s="101"/>
      <c r="I3359" s="93"/>
      <c r="J3359" s="91"/>
      <c r="L3359" s="94" t="str">
        <f t="shared" si="2"/>
        <v>No infirmation</v>
      </c>
      <c r="M3359" s="94" t="str">
        <f t="shared" si="3"/>
        <v/>
      </c>
    </row>
    <row r="3360" ht="15.75" customHeight="1">
      <c r="B3360" s="77">
        <f t="shared" si="1"/>
        <v>0</v>
      </c>
      <c r="C3360" s="67"/>
      <c r="D3360" s="78"/>
      <c r="E3360" s="101"/>
      <c r="F3360" s="108"/>
      <c r="G3360" s="120"/>
      <c r="H3360" s="101"/>
      <c r="I3360" s="93"/>
      <c r="J3360" s="91"/>
      <c r="L3360" s="94" t="str">
        <f t="shared" si="2"/>
        <v>No infirmation</v>
      </c>
      <c r="M3360" s="94" t="str">
        <f t="shared" si="3"/>
        <v/>
      </c>
    </row>
    <row r="3361" ht="15.75" customHeight="1">
      <c r="B3361" s="77">
        <f t="shared" si="1"/>
        <v>0</v>
      </c>
      <c r="C3361" s="67"/>
      <c r="D3361" s="78"/>
      <c r="E3361" s="101"/>
      <c r="F3361" s="108"/>
      <c r="G3361" s="120"/>
      <c r="H3361" s="101"/>
      <c r="I3361" s="93"/>
      <c r="J3361" s="91"/>
      <c r="L3361" s="94" t="str">
        <f t="shared" si="2"/>
        <v>No infirmation</v>
      </c>
      <c r="M3361" s="94" t="str">
        <f t="shared" si="3"/>
        <v/>
      </c>
    </row>
    <row r="3362" ht="15.75" customHeight="1">
      <c r="B3362" s="77">
        <f t="shared" si="1"/>
        <v>0</v>
      </c>
      <c r="C3362" s="67"/>
      <c r="D3362" s="78"/>
      <c r="E3362" s="101"/>
      <c r="F3362" s="108"/>
      <c r="G3362" s="120"/>
      <c r="H3362" s="101"/>
      <c r="I3362" s="93"/>
      <c r="J3362" s="91"/>
      <c r="L3362" s="94" t="str">
        <f t="shared" si="2"/>
        <v>No infirmation</v>
      </c>
      <c r="M3362" s="94" t="str">
        <f t="shared" si="3"/>
        <v/>
      </c>
    </row>
    <row r="3363" ht="15.75" customHeight="1">
      <c r="B3363" s="77">
        <f t="shared" si="1"/>
        <v>0</v>
      </c>
      <c r="C3363" s="67"/>
      <c r="D3363" s="78"/>
      <c r="E3363" s="101"/>
      <c r="F3363" s="108"/>
      <c r="G3363" s="120"/>
      <c r="H3363" s="101"/>
      <c r="I3363" s="93"/>
      <c r="J3363" s="91"/>
      <c r="L3363" s="94" t="str">
        <f t="shared" si="2"/>
        <v>No infirmation</v>
      </c>
      <c r="M3363" s="94" t="str">
        <f t="shared" si="3"/>
        <v/>
      </c>
    </row>
    <row r="3364" ht="15.75" customHeight="1">
      <c r="B3364" s="77">
        <f t="shared" si="1"/>
        <v>0</v>
      </c>
      <c r="C3364" s="67"/>
      <c r="D3364" s="78"/>
      <c r="E3364" s="101"/>
      <c r="F3364" s="108"/>
      <c r="G3364" s="120"/>
      <c r="H3364" s="101"/>
      <c r="I3364" s="93"/>
      <c r="J3364" s="91"/>
      <c r="L3364" s="94" t="str">
        <f t="shared" si="2"/>
        <v>No infirmation</v>
      </c>
      <c r="M3364" s="94" t="str">
        <f t="shared" si="3"/>
        <v/>
      </c>
    </row>
    <row r="3365" ht="15.75" customHeight="1">
      <c r="B3365" s="77">
        <f t="shared" si="1"/>
        <v>0</v>
      </c>
      <c r="C3365" s="67"/>
      <c r="D3365" s="78"/>
      <c r="E3365" s="101"/>
      <c r="F3365" s="108"/>
      <c r="G3365" s="120"/>
      <c r="H3365" s="101"/>
      <c r="I3365" s="93"/>
      <c r="J3365" s="91"/>
      <c r="L3365" s="94" t="str">
        <f t="shared" si="2"/>
        <v>No infirmation</v>
      </c>
      <c r="M3365" s="94" t="str">
        <f t="shared" si="3"/>
        <v/>
      </c>
    </row>
    <row r="3366" ht="15.75" customHeight="1">
      <c r="B3366" s="77">
        <f t="shared" si="1"/>
        <v>0</v>
      </c>
      <c r="C3366" s="67"/>
      <c r="D3366" s="78"/>
      <c r="E3366" s="101"/>
      <c r="F3366" s="108"/>
      <c r="G3366" s="120"/>
      <c r="H3366" s="101"/>
      <c r="I3366" s="93"/>
      <c r="J3366" s="91"/>
      <c r="L3366" s="94" t="str">
        <f t="shared" si="2"/>
        <v>No infirmation</v>
      </c>
      <c r="M3366" s="94" t="str">
        <f t="shared" si="3"/>
        <v/>
      </c>
    </row>
    <row r="3367" ht="15.75" customHeight="1">
      <c r="B3367" s="77">
        <f t="shared" si="1"/>
        <v>0</v>
      </c>
      <c r="C3367" s="67"/>
      <c r="D3367" s="78"/>
      <c r="E3367" s="101"/>
      <c r="F3367" s="108"/>
      <c r="G3367" s="120"/>
      <c r="H3367" s="101"/>
      <c r="I3367" s="93"/>
      <c r="J3367" s="91"/>
      <c r="L3367" s="94" t="str">
        <f t="shared" si="2"/>
        <v>No infirmation</v>
      </c>
      <c r="M3367" s="94" t="str">
        <f t="shared" si="3"/>
        <v/>
      </c>
    </row>
    <row r="3368" ht="15.75" customHeight="1">
      <c r="B3368" s="77">
        <f t="shared" si="1"/>
        <v>0</v>
      </c>
      <c r="C3368" s="67"/>
      <c r="D3368" s="78"/>
      <c r="E3368" s="101"/>
      <c r="F3368" s="108"/>
      <c r="G3368" s="120"/>
      <c r="H3368" s="101"/>
      <c r="I3368" s="93"/>
      <c r="J3368" s="91"/>
      <c r="L3368" s="94" t="str">
        <f t="shared" si="2"/>
        <v>No infirmation</v>
      </c>
      <c r="M3368" s="94" t="str">
        <f t="shared" si="3"/>
        <v/>
      </c>
    </row>
    <row r="3369" ht="15.75" customHeight="1">
      <c r="B3369" s="77">
        <f t="shared" si="1"/>
        <v>0</v>
      </c>
      <c r="C3369" s="67"/>
      <c r="D3369" s="78"/>
      <c r="E3369" s="101"/>
      <c r="F3369" s="108"/>
      <c r="G3369" s="120"/>
      <c r="H3369" s="101"/>
      <c r="I3369" s="93"/>
      <c r="J3369" s="91"/>
      <c r="L3369" s="94" t="str">
        <f t="shared" si="2"/>
        <v>No infirmation</v>
      </c>
      <c r="M3369" s="94" t="str">
        <f t="shared" si="3"/>
        <v/>
      </c>
    </row>
    <row r="3370" ht="15.75" customHeight="1">
      <c r="B3370" s="77">
        <f t="shared" si="1"/>
        <v>0</v>
      </c>
      <c r="C3370" s="67"/>
      <c r="D3370" s="78"/>
      <c r="E3370" s="101"/>
      <c r="F3370" s="108"/>
      <c r="G3370" s="120"/>
      <c r="H3370" s="101"/>
      <c r="I3370" s="93"/>
      <c r="J3370" s="91"/>
      <c r="L3370" s="94" t="str">
        <f t="shared" si="2"/>
        <v>No infirmation</v>
      </c>
      <c r="M3370" s="94" t="str">
        <f t="shared" si="3"/>
        <v/>
      </c>
    </row>
    <row r="3371" ht="15.75" customHeight="1">
      <c r="B3371" s="77">
        <f t="shared" si="1"/>
        <v>0</v>
      </c>
      <c r="C3371" s="67"/>
      <c r="D3371" s="78"/>
      <c r="E3371" s="101"/>
      <c r="F3371" s="108"/>
      <c r="G3371" s="120"/>
      <c r="H3371" s="101"/>
      <c r="I3371" s="93"/>
      <c r="J3371" s="91"/>
      <c r="L3371" s="94" t="str">
        <f t="shared" si="2"/>
        <v>No infirmation</v>
      </c>
      <c r="M3371" s="94" t="str">
        <f t="shared" si="3"/>
        <v/>
      </c>
    </row>
    <row r="3372" ht="15.75" customHeight="1">
      <c r="B3372" s="77">
        <f t="shared" si="1"/>
        <v>0</v>
      </c>
      <c r="C3372" s="67"/>
      <c r="D3372" s="78"/>
      <c r="E3372" s="101"/>
      <c r="F3372" s="108"/>
      <c r="G3372" s="120"/>
      <c r="H3372" s="101"/>
      <c r="I3372" s="93"/>
      <c r="J3372" s="91"/>
      <c r="L3372" s="94" t="str">
        <f t="shared" si="2"/>
        <v>No infirmation</v>
      </c>
      <c r="M3372" s="94" t="str">
        <f t="shared" si="3"/>
        <v/>
      </c>
    </row>
    <row r="3373" ht="15.75" customHeight="1">
      <c r="B3373" s="77">
        <f t="shared" si="1"/>
        <v>0</v>
      </c>
      <c r="C3373" s="67"/>
      <c r="D3373" s="78"/>
      <c r="E3373" s="101"/>
      <c r="F3373" s="108"/>
      <c r="G3373" s="120"/>
      <c r="H3373" s="101"/>
      <c r="I3373" s="93"/>
      <c r="J3373" s="91"/>
      <c r="L3373" s="94" t="str">
        <f t="shared" si="2"/>
        <v>No infirmation</v>
      </c>
      <c r="M3373" s="94" t="str">
        <f t="shared" si="3"/>
        <v/>
      </c>
    </row>
    <row r="3374" ht="15.75" customHeight="1">
      <c r="B3374" s="77">
        <f t="shared" si="1"/>
        <v>0</v>
      </c>
      <c r="C3374" s="67"/>
      <c r="D3374" s="78"/>
      <c r="E3374" s="101"/>
      <c r="F3374" s="108"/>
      <c r="G3374" s="120"/>
      <c r="H3374" s="101"/>
      <c r="I3374" s="93"/>
      <c r="J3374" s="91"/>
      <c r="L3374" s="94" t="str">
        <f t="shared" si="2"/>
        <v>No infirmation</v>
      </c>
      <c r="M3374" s="94" t="str">
        <f t="shared" si="3"/>
        <v/>
      </c>
    </row>
    <row r="3375" ht="15.75" customHeight="1">
      <c r="B3375" s="77">
        <f t="shared" si="1"/>
        <v>0</v>
      </c>
      <c r="C3375" s="67"/>
      <c r="D3375" s="78"/>
      <c r="E3375" s="101"/>
      <c r="F3375" s="108"/>
      <c r="G3375" s="120"/>
      <c r="H3375" s="101"/>
      <c r="I3375" s="93"/>
      <c r="J3375" s="91"/>
      <c r="L3375" s="94" t="str">
        <f t="shared" si="2"/>
        <v>No infirmation</v>
      </c>
      <c r="M3375" s="94" t="str">
        <f t="shared" si="3"/>
        <v/>
      </c>
    </row>
    <row r="3376" ht="15.75" customHeight="1">
      <c r="B3376" s="77">
        <f t="shared" si="1"/>
        <v>0</v>
      </c>
      <c r="C3376" s="67"/>
      <c r="D3376" s="78"/>
      <c r="E3376" s="101"/>
      <c r="F3376" s="108"/>
      <c r="G3376" s="120"/>
      <c r="H3376" s="101"/>
      <c r="I3376" s="93"/>
      <c r="J3376" s="91"/>
      <c r="L3376" s="94" t="str">
        <f t="shared" si="2"/>
        <v>No infirmation</v>
      </c>
      <c r="M3376" s="94" t="str">
        <f t="shared" si="3"/>
        <v/>
      </c>
    </row>
    <row r="3377" ht="15.75" customHeight="1">
      <c r="B3377" s="77">
        <f t="shared" si="1"/>
        <v>0</v>
      </c>
      <c r="C3377" s="67"/>
      <c r="D3377" s="78"/>
      <c r="E3377" s="101"/>
      <c r="F3377" s="108"/>
      <c r="G3377" s="120"/>
      <c r="H3377" s="101"/>
      <c r="I3377" s="93"/>
      <c r="J3377" s="91"/>
      <c r="L3377" s="94" t="str">
        <f t="shared" si="2"/>
        <v>No infirmation</v>
      </c>
      <c r="M3377" s="94" t="str">
        <f t="shared" si="3"/>
        <v/>
      </c>
    </row>
    <row r="3378" ht="15.75" customHeight="1">
      <c r="B3378" s="77">
        <f t="shared" si="1"/>
        <v>0</v>
      </c>
      <c r="C3378" s="67"/>
      <c r="D3378" s="78"/>
      <c r="E3378" s="101"/>
      <c r="F3378" s="108"/>
      <c r="G3378" s="120"/>
      <c r="H3378" s="101"/>
      <c r="I3378" s="93"/>
      <c r="J3378" s="91"/>
      <c r="L3378" s="94" t="str">
        <f t="shared" si="2"/>
        <v>No infirmation</v>
      </c>
      <c r="M3378" s="94" t="str">
        <f t="shared" si="3"/>
        <v/>
      </c>
    </row>
    <row r="3379" ht="15.75" customHeight="1">
      <c r="B3379" s="77">
        <f t="shared" si="1"/>
        <v>0</v>
      </c>
      <c r="C3379" s="67"/>
      <c r="D3379" s="78"/>
      <c r="E3379" s="101"/>
      <c r="F3379" s="108"/>
      <c r="G3379" s="120"/>
      <c r="H3379" s="101"/>
      <c r="I3379" s="93"/>
      <c r="J3379" s="91"/>
      <c r="L3379" s="94" t="str">
        <f t="shared" si="2"/>
        <v>No infirmation</v>
      </c>
      <c r="M3379" s="94" t="str">
        <f t="shared" si="3"/>
        <v/>
      </c>
    </row>
    <row r="3380" ht="15.75" customHeight="1">
      <c r="B3380" s="77">
        <f t="shared" si="1"/>
        <v>0</v>
      </c>
      <c r="C3380" s="67"/>
      <c r="D3380" s="78"/>
      <c r="E3380" s="101"/>
      <c r="F3380" s="108"/>
      <c r="G3380" s="120"/>
      <c r="H3380" s="101"/>
      <c r="I3380" s="93"/>
      <c r="J3380" s="91"/>
      <c r="L3380" s="94" t="str">
        <f t="shared" si="2"/>
        <v>No infirmation</v>
      </c>
      <c r="M3380" s="94" t="str">
        <f t="shared" si="3"/>
        <v/>
      </c>
    </row>
    <row r="3381" ht="15.75" customHeight="1">
      <c r="B3381" s="77">
        <f t="shared" si="1"/>
        <v>0</v>
      </c>
      <c r="C3381" s="67"/>
      <c r="D3381" s="78"/>
      <c r="E3381" s="101"/>
      <c r="F3381" s="108"/>
      <c r="G3381" s="120"/>
      <c r="H3381" s="101"/>
      <c r="I3381" s="93"/>
      <c r="J3381" s="91"/>
      <c r="L3381" s="94" t="str">
        <f t="shared" si="2"/>
        <v>No infirmation</v>
      </c>
      <c r="M3381" s="94" t="str">
        <f t="shared" si="3"/>
        <v/>
      </c>
    </row>
    <row r="3382" ht="15.75" customHeight="1">
      <c r="B3382" s="77">
        <f t="shared" si="1"/>
        <v>0</v>
      </c>
      <c r="C3382" s="67"/>
      <c r="D3382" s="78"/>
      <c r="E3382" s="101"/>
      <c r="F3382" s="108"/>
      <c r="G3382" s="120"/>
      <c r="H3382" s="101"/>
      <c r="I3382" s="93"/>
      <c r="J3382" s="91"/>
      <c r="L3382" s="94" t="str">
        <f t="shared" si="2"/>
        <v>No infirmation</v>
      </c>
      <c r="M3382" s="94" t="str">
        <f t="shared" si="3"/>
        <v/>
      </c>
    </row>
    <row r="3383" ht="15.75" customHeight="1">
      <c r="B3383" s="77">
        <f t="shared" si="1"/>
        <v>0</v>
      </c>
      <c r="C3383" s="67"/>
      <c r="D3383" s="78"/>
      <c r="E3383" s="101"/>
      <c r="F3383" s="108"/>
      <c r="G3383" s="120"/>
      <c r="H3383" s="101"/>
      <c r="I3383" s="93"/>
      <c r="J3383" s="91"/>
      <c r="L3383" s="94" t="str">
        <f t="shared" si="2"/>
        <v>No infirmation</v>
      </c>
      <c r="M3383" s="94" t="str">
        <f t="shared" si="3"/>
        <v/>
      </c>
    </row>
    <row r="3384" ht="15.75" customHeight="1">
      <c r="B3384" s="77">
        <f t="shared" si="1"/>
        <v>0</v>
      </c>
      <c r="C3384" s="67"/>
      <c r="D3384" s="78"/>
      <c r="E3384" s="101"/>
      <c r="F3384" s="108"/>
      <c r="G3384" s="120"/>
      <c r="H3384" s="101"/>
      <c r="I3384" s="93"/>
      <c r="J3384" s="91"/>
      <c r="L3384" s="94" t="str">
        <f t="shared" si="2"/>
        <v>No infirmation</v>
      </c>
      <c r="M3384" s="94" t="str">
        <f t="shared" si="3"/>
        <v/>
      </c>
    </row>
    <row r="3385" ht="15.75" customHeight="1">
      <c r="B3385" s="77">
        <f t="shared" si="1"/>
        <v>0</v>
      </c>
      <c r="C3385" s="67"/>
      <c r="D3385" s="78"/>
      <c r="E3385" s="101"/>
      <c r="F3385" s="108"/>
      <c r="G3385" s="120"/>
      <c r="H3385" s="101"/>
      <c r="I3385" s="93"/>
      <c r="J3385" s="91"/>
      <c r="L3385" s="94" t="str">
        <f t="shared" si="2"/>
        <v>No infirmation</v>
      </c>
      <c r="M3385" s="94" t="str">
        <f t="shared" si="3"/>
        <v/>
      </c>
    </row>
    <row r="3386" ht="15.75" customHeight="1">
      <c r="B3386" s="77">
        <f t="shared" si="1"/>
        <v>0</v>
      </c>
      <c r="C3386" s="67"/>
      <c r="D3386" s="78"/>
      <c r="E3386" s="101"/>
      <c r="F3386" s="108"/>
      <c r="G3386" s="120"/>
      <c r="H3386" s="101"/>
      <c r="I3386" s="93"/>
      <c r="J3386" s="91"/>
      <c r="L3386" s="94" t="str">
        <f t="shared" si="2"/>
        <v>No infirmation</v>
      </c>
      <c r="M3386" s="94" t="str">
        <f t="shared" si="3"/>
        <v/>
      </c>
    </row>
    <row r="3387" ht="15.75" customHeight="1">
      <c r="B3387" s="77">
        <f t="shared" si="1"/>
        <v>0</v>
      </c>
      <c r="C3387" s="67"/>
      <c r="D3387" s="78"/>
      <c r="E3387" s="101"/>
      <c r="F3387" s="108"/>
      <c r="G3387" s="120"/>
      <c r="H3387" s="101"/>
      <c r="I3387" s="93"/>
      <c r="J3387" s="91"/>
      <c r="L3387" s="94" t="str">
        <f t="shared" si="2"/>
        <v>No infirmation</v>
      </c>
      <c r="M3387" s="94" t="str">
        <f t="shared" si="3"/>
        <v/>
      </c>
    </row>
    <row r="3388" ht="15.75" customHeight="1">
      <c r="B3388" s="77">
        <f t="shared" si="1"/>
        <v>0</v>
      </c>
      <c r="C3388" s="67"/>
      <c r="D3388" s="78"/>
      <c r="E3388" s="101"/>
      <c r="F3388" s="108"/>
      <c r="G3388" s="120"/>
      <c r="H3388" s="101"/>
      <c r="I3388" s="93"/>
      <c r="J3388" s="91"/>
      <c r="L3388" s="94" t="str">
        <f t="shared" si="2"/>
        <v>No infirmation</v>
      </c>
      <c r="M3388" s="94" t="str">
        <f t="shared" si="3"/>
        <v/>
      </c>
    </row>
    <row r="3389" ht="15.75" customHeight="1">
      <c r="B3389" s="77">
        <f t="shared" si="1"/>
        <v>0</v>
      </c>
      <c r="C3389" s="67"/>
      <c r="D3389" s="78"/>
      <c r="E3389" s="101"/>
      <c r="F3389" s="108"/>
      <c r="G3389" s="120"/>
      <c r="H3389" s="101"/>
      <c r="I3389" s="93"/>
      <c r="J3389" s="91"/>
      <c r="L3389" s="94" t="str">
        <f t="shared" si="2"/>
        <v>No infirmation</v>
      </c>
      <c r="M3389" s="94" t="str">
        <f t="shared" si="3"/>
        <v/>
      </c>
    </row>
    <row r="3390" ht="15.75" customHeight="1">
      <c r="B3390" s="77">
        <f t="shared" si="1"/>
        <v>0</v>
      </c>
      <c r="C3390" s="67"/>
      <c r="D3390" s="78"/>
      <c r="E3390" s="101"/>
      <c r="F3390" s="108"/>
      <c r="G3390" s="120"/>
      <c r="H3390" s="101"/>
      <c r="I3390" s="93"/>
      <c r="J3390" s="91"/>
      <c r="L3390" s="94" t="str">
        <f t="shared" si="2"/>
        <v>No infirmation</v>
      </c>
      <c r="M3390" s="94" t="str">
        <f t="shared" si="3"/>
        <v/>
      </c>
    </row>
    <row r="3391" ht="15.75" customHeight="1">
      <c r="B3391" s="77">
        <f t="shared" si="1"/>
        <v>0</v>
      </c>
      <c r="C3391" s="67"/>
      <c r="D3391" s="78"/>
      <c r="E3391" s="101"/>
      <c r="F3391" s="108"/>
      <c r="G3391" s="120"/>
      <c r="H3391" s="101"/>
      <c r="I3391" s="93"/>
      <c r="J3391" s="91"/>
      <c r="L3391" s="94" t="str">
        <f t="shared" si="2"/>
        <v>No infirmation</v>
      </c>
      <c r="M3391" s="94" t="str">
        <f t="shared" si="3"/>
        <v/>
      </c>
    </row>
    <row r="3392" ht="15.75" customHeight="1">
      <c r="B3392" s="77">
        <f t="shared" si="1"/>
        <v>0</v>
      </c>
      <c r="C3392" s="67"/>
      <c r="D3392" s="78"/>
      <c r="E3392" s="101"/>
      <c r="F3392" s="108"/>
      <c r="G3392" s="120"/>
      <c r="H3392" s="101"/>
      <c r="I3392" s="93"/>
      <c r="J3392" s="91"/>
      <c r="L3392" s="94" t="str">
        <f t="shared" si="2"/>
        <v>No infirmation</v>
      </c>
      <c r="M3392" s="94" t="str">
        <f t="shared" si="3"/>
        <v/>
      </c>
    </row>
    <row r="3393" ht="15.75" customHeight="1">
      <c r="B3393" s="77">
        <f t="shared" si="1"/>
        <v>0</v>
      </c>
      <c r="C3393" s="67"/>
      <c r="D3393" s="78"/>
      <c r="E3393" s="101"/>
      <c r="F3393" s="108"/>
      <c r="G3393" s="120"/>
      <c r="H3393" s="101"/>
      <c r="I3393" s="93"/>
      <c r="J3393" s="91"/>
      <c r="L3393" s="94" t="str">
        <f t="shared" si="2"/>
        <v>No infirmation</v>
      </c>
      <c r="M3393" s="94" t="str">
        <f t="shared" si="3"/>
        <v/>
      </c>
    </row>
    <row r="3394" ht="15.75" customHeight="1">
      <c r="B3394" s="77">
        <f t="shared" si="1"/>
        <v>0</v>
      </c>
      <c r="C3394" s="67"/>
      <c r="D3394" s="78"/>
      <c r="E3394" s="101"/>
      <c r="F3394" s="108"/>
      <c r="G3394" s="120"/>
      <c r="H3394" s="101"/>
      <c r="I3394" s="93"/>
      <c r="J3394" s="91"/>
      <c r="L3394" s="94" t="str">
        <f t="shared" si="2"/>
        <v>No infirmation</v>
      </c>
      <c r="M3394" s="94" t="str">
        <f t="shared" si="3"/>
        <v/>
      </c>
    </row>
    <row r="3395" ht="15.75" customHeight="1">
      <c r="B3395" s="77">
        <f t="shared" si="1"/>
        <v>0</v>
      </c>
      <c r="C3395" s="67"/>
      <c r="D3395" s="78"/>
      <c r="E3395" s="101"/>
      <c r="F3395" s="108"/>
      <c r="G3395" s="120"/>
      <c r="H3395" s="101"/>
      <c r="I3395" s="93"/>
      <c r="J3395" s="91"/>
      <c r="L3395" s="94" t="str">
        <f t="shared" si="2"/>
        <v>No infirmation</v>
      </c>
      <c r="M3395" s="94" t="str">
        <f t="shared" si="3"/>
        <v/>
      </c>
    </row>
    <row r="3396" ht="15.75" customHeight="1">
      <c r="B3396" s="77">
        <f t="shared" si="1"/>
        <v>0</v>
      </c>
      <c r="C3396" s="67"/>
      <c r="D3396" s="78"/>
      <c r="E3396" s="101"/>
      <c r="F3396" s="108"/>
      <c r="G3396" s="120"/>
      <c r="H3396" s="101"/>
      <c r="I3396" s="93"/>
      <c r="J3396" s="91"/>
      <c r="L3396" s="94" t="str">
        <f t="shared" si="2"/>
        <v>No infirmation</v>
      </c>
      <c r="M3396" s="94" t="str">
        <f t="shared" si="3"/>
        <v/>
      </c>
    </row>
    <row r="3397" ht="15.75" customHeight="1">
      <c r="B3397" s="77">
        <f t="shared" si="1"/>
        <v>0</v>
      </c>
      <c r="C3397" s="67"/>
      <c r="D3397" s="78"/>
      <c r="E3397" s="101"/>
      <c r="F3397" s="108"/>
      <c r="G3397" s="120"/>
      <c r="H3397" s="101"/>
      <c r="I3397" s="93"/>
      <c r="J3397" s="91"/>
      <c r="L3397" s="94" t="str">
        <f t="shared" si="2"/>
        <v>No infirmation</v>
      </c>
      <c r="M3397" s="94" t="str">
        <f t="shared" si="3"/>
        <v/>
      </c>
    </row>
    <row r="3398" ht="15.75" customHeight="1">
      <c r="B3398" s="77">
        <f t="shared" si="1"/>
        <v>0</v>
      </c>
      <c r="C3398" s="67"/>
      <c r="D3398" s="78"/>
      <c r="E3398" s="101"/>
      <c r="F3398" s="108"/>
      <c r="G3398" s="120"/>
      <c r="H3398" s="101"/>
      <c r="I3398" s="93"/>
      <c r="J3398" s="91"/>
      <c r="L3398" s="94" t="str">
        <f t="shared" si="2"/>
        <v>No infirmation</v>
      </c>
      <c r="M3398" s="94" t="str">
        <f t="shared" si="3"/>
        <v/>
      </c>
    </row>
    <row r="3399" ht="15.75" customHeight="1">
      <c r="B3399" s="77">
        <f t="shared" si="1"/>
        <v>0</v>
      </c>
      <c r="C3399" s="67"/>
      <c r="D3399" s="78"/>
      <c r="E3399" s="101"/>
      <c r="F3399" s="108"/>
      <c r="G3399" s="120"/>
      <c r="H3399" s="101"/>
      <c r="I3399" s="93"/>
      <c r="J3399" s="91"/>
      <c r="L3399" s="94" t="str">
        <f t="shared" si="2"/>
        <v>No infirmation</v>
      </c>
      <c r="M3399" s="94" t="str">
        <f t="shared" si="3"/>
        <v/>
      </c>
    </row>
    <row r="3400" ht="15.75" customHeight="1">
      <c r="B3400" s="77">
        <f t="shared" si="1"/>
        <v>0</v>
      </c>
      <c r="C3400" s="67"/>
      <c r="D3400" s="78"/>
      <c r="E3400" s="101"/>
      <c r="F3400" s="108"/>
      <c r="G3400" s="120"/>
      <c r="H3400" s="101"/>
      <c r="I3400" s="93"/>
      <c r="J3400" s="91"/>
      <c r="L3400" s="94" t="str">
        <f t="shared" si="2"/>
        <v>No infirmation</v>
      </c>
      <c r="M3400" s="94" t="str">
        <f t="shared" si="3"/>
        <v/>
      </c>
    </row>
    <row r="3401" ht="15.75" customHeight="1">
      <c r="B3401" s="77">
        <f t="shared" si="1"/>
        <v>0</v>
      </c>
      <c r="C3401" s="67"/>
      <c r="D3401" s="78"/>
      <c r="E3401" s="101"/>
      <c r="F3401" s="108"/>
      <c r="G3401" s="120"/>
      <c r="H3401" s="101"/>
      <c r="I3401" s="93"/>
      <c r="J3401" s="91"/>
      <c r="L3401" s="94" t="str">
        <f t="shared" si="2"/>
        <v>No infirmation</v>
      </c>
      <c r="M3401" s="94" t="str">
        <f t="shared" si="3"/>
        <v/>
      </c>
    </row>
    <row r="3402" ht="15.75" customHeight="1">
      <c r="B3402" s="77">
        <f t="shared" si="1"/>
        <v>0</v>
      </c>
      <c r="C3402" s="67"/>
      <c r="D3402" s="78"/>
      <c r="E3402" s="101"/>
      <c r="F3402" s="108"/>
      <c r="G3402" s="120"/>
      <c r="H3402" s="101"/>
      <c r="I3402" s="93"/>
      <c r="J3402" s="91"/>
      <c r="L3402" s="94" t="str">
        <f t="shared" si="2"/>
        <v>No infirmation</v>
      </c>
      <c r="M3402" s="94" t="str">
        <f t="shared" si="3"/>
        <v/>
      </c>
    </row>
    <row r="3403" ht="15.75" customHeight="1">
      <c r="B3403" s="77">
        <f t="shared" si="1"/>
        <v>0</v>
      </c>
      <c r="C3403" s="67"/>
      <c r="D3403" s="78"/>
      <c r="E3403" s="101"/>
      <c r="F3403" s="108"/>
      <c r="G3403" s="120"/>
      <c r="H3403" s="101"/>
      <c r="I3403" s="93"/>
      <c r="J3403" s="91"/>
      <c r="L3403" s="94" t="str">
        <f t="shared" si="2"/>
        <v>No infirmation</v>
      </c>
      <c r="M3403" s="94" t="str">
        <f t="shared" si="3"/>
        <v/>
      </c>
    </row>
    <row r="3404" ht="15.75" customHeight="1">
      <c r="B3404" s="77">
        <f t="shared" si="1"/>
        <v>0</v>
      </c>
      <c r="C3404" s="67"/>
      <c r="D3404" s="78"/>
      <c r="E3404" s="101"/>
      <c r="F3404" s="108"/>
      <c r="G3404" s="120"/>
      <c r="H3404" s="101"/>
      <c r="I3404" s="93"/>
      <c r="J3404" s="91"/>
      <c r="L3404" s="94" t="str">
        <f t="shared" si="2"/>
        <v>No infirmation</v>
      </c>
      <c r="M3404" s="94" t="str">
        <f t="shared" si="3"/>
        <v/>
      </c>
    </row>
    <row r="3405" ht="15.75" customHeight="1">
      <c r="B3405" s="77">
        <f t="shared" si="1"/>
        <v>0</v>
      </c>
      <c r="C3405" s="67"/>
      <c r="D3405" s="78"/>
      <c r="E3405" s="101"/>
      <c r="F3405" s="108"/>
      <c r="G3405" s="120"/>
      <c r="H3405" s="101"/>
      <c r="I3405" s="93"/>
      <c r="J3405" s="91"/>
      <c r="L3405" s="94" t="str">
        <f t="shared" si="2"/>
        <v>No infirmation</v>
      </c>
      <c r="M3405" s="94" t="str">
        <f t="shared" si="3"/>
        <v/>
      </c>
    </row>
    <row r="3406" ht="15.75" customHeight="1">
      <c r="B3406" s="77">
        <f t="shared" si="1"/>
        <v>0</v>
      </c>
      <c r="C3406" s="67"/>
      <c r="D3406" s="78"/>
      <c r="E3406" s="101"/>
      <c r="F3406" s="108"/>
      <c r="G3406" s="120"/>
      <c r="H3406" s="101"/>
      <c r="I3406" s="93"/>
      <c r="J3406" s="91"/>
      <c r="L3406" s="94" t="str">
        <f t="shared" si="2"/>
        <v>No infirmation</v>
      </c>
      <c r="M3406" s="94" t="str">
        <f t="shared" si="3"/>
        <v/>
      </c>
    </row>
    <row r="3407" ht="15.75" customHeight="1">
      <c r="B3407" s="77">
        <f t="shared" si="1"/>
        <v>0</v>
      </c>
      <c r="C3407" s="67"/>
      <c r="D3407" s="78"/>
      <c r="E3407" s="101"/>
      <c r="F3407" s="108"/>
      <c r="G3407" s="120"/>
      <c r="H3407" s="101"/>
      <c r="I3407" s="93"/>
      <c r="J3407" s="91"/>
      <c r="L3407" s="94" t="str">
        <f t="shared" si="2"/>
        <v>No infirmation</v>
      </c>
      <c r="M3407" s="94" t="str">
        <f t="shared" si="3"/>
        <v/>
      </c>
    </row>
    <row r="3408" ht="15.75" customHeight="1">
      <c r="B3408" s="77">
        <f t="shared" si="1"/>
        <v>0</v>
      </c>
      <c r="C3408" s="67"/>
      <c r="D3408" s="78"/>
      <c r="E3408" s="101"/>
      <c r="F3408" s="108"/>
      <c r="G3408" s="120"/>
      <c r="H3408" s="101"/>
      <c r="I3408" s="93"/>
      <c r="J3408" s="91"/>
      <c r="L3408" s="94" t="str">
        <f t="shared" si="2"/>
        <v>No infirmation</v>
      </c>
      <c r="M3408" s="94" t="str">
        <f t="shared" si="3"/>
        <v/>
      </c>
    </row>
    <row r="3409" ht="15.75" customHeight="1">
      <c r="B3409" s="77">
        <f t="shared" si="1"/>
        <v>0</v>
      </c>
      <c r="C3409" s="67"/>
      <c r="D3409" s="78"/>
      <c r="E3409" s="101"/>
      <c r="F3409" s="108"/>
      <c r="G3409" s="120"/>
      <c r="H3409" s="101"/>
      <c r="I3409" s="93"/>
      <c r="J3409" s="91"/>
      <c r="L3409" s="94" t="str">
        <f t="shared" si="2"/>
        <v>No infirmation</v>
      </c>
      <c r="M3409" s="94" t="str">
        <f t="shared" si="3"/>
        <v/>
      </c>
    </row>
    <row r="3410" ht="15.75" customHeight="1">
      <c r="B3410" s="77">
        <f t="shared" si="1"/>
        <v>0</v>
      </c>
      <c r="C3410" s="67"/>
      <c r="D3410" s="78"/>
      <c r="E3410" s="101"/>
      <c r="F3410" s="108"/>
      <c r="G3410" s="120"/>
      <c r="H3410" s="101"/>
      <c r="I3410" s="93"/>
      <c r="J3410" s="91"/>
      <c r="L3410" s="94" t="str">
        <f t="shared" si="2"/>
        <v>No infirmation</v>
      </c>
      <c r="M3410" s="94" t="str">
        <f t="shared" si="3"/>
        <v/>
      </c>
    </row>
    <row r="3411" ht="15.75" customHeight="1">
      <c r="B3411" s="77">
        <f t="shared" si="1"/>
        <v>0</v>
      </c>
      <c r="C3411" s="67"/>
      <c r="D3411" s="78"/>
      <c r="E3411" s="101"/>
      <c r="F3411" s="108"/>
      <c r="G3411" s="120"/>
      <c r="H3411" s="101"/>
      <c r="I3411" s="93"/>
      <c r="J3411" s="91"/>
      <c r="L3411" s="94" t="str">
        <f t="shared" si="2"/>
        <v>No infirmation</v>
      </c>
      <c r="M3411" s="94" t="str">
        <f t="shared" si="3"/>
        <v/>
      </c>
    </row>
    <row r="3412" ht="15.75" customHeight="1">
      <c r="B3412" s="77">
        <f t="shared" si="1"/>
        <v>0</v>
      </c>
      <c r="C3412" s="67"/>
      <c r="D3412" s="78"/>
      <c r="E3412" s="101"/>
      <c r="F3412" s="108"/>
      <c r="G3412" s="120"/>
      <c r="H3412" s="101"/>
      <c r="I3412" s="93"/>
      <c r="J3412" s="91"/>
      <c r="L3412" s="94" t="str">
        <f t="shared" si="2"/>
        <v>No infirmation</v>
      </c>
      <c r="M3412" s="94" t="str">
        <f t="shared" si="3"/>
        <v/>
      </c>
    </row>
    <row r="3413" ht="15.75" customHeight="1">
      <c r="B3413" s="77">
        <f t="shared" si="1"/>
        <v>0</v>
      </c>
      <c r="C3413" s="67"/>
      <c r="D3413" s="78"/>
      <c r="E3413" s="101"/>
      <c r="F3413" s="108"/>
      <c r="G3413" s="120"/>
      <c r="H3413" s="101"/>
      <c r="I3413" s="93"/>
      <c r="J3413" s="91"/>
      <c r="L3413" s="94" t="str">
        <f t="shared" si="2"/>
        <v>No infirmation</v>
      </c>
      <c r="M3413" s="94" t="str">
        <f t="shared" si="3"/>
        <v/>
      </c>
    </row>
    <row r="3414" ht="15.75" customHeight="1">
      <c r="B3414" s="77">
        <f t="shared" si="1"/>
        <v>0</v>
      </c>
      <c r="C3414" s="67"/>
      <c r="D3414" s="78"/>
      <c r="E3414" s="101"/>
      <c r="F3414" s="108"/>
      <c r="G3414" s="120"/>
      <c r="H3414" s="101"/>
      <c r="I3414" s="93"/>
      <c r="J3414" s="91"/>
      <c r="L3414" s="94" t="str">
        <f t="shared" si="2"/>
        <v>No infirmation</v>
      </c>
      <c r="M3414" s="94" t="str">
        <f t="shared" si="3"/>
        <v/>
      </c>
    </row>
    <row r="3415" ht="15.75" customHeight="1">
      <c r="B3415" s="77">
        <f t="shared" si="1"/>
        <v>0</v>
      </c>
      <c r="C3415" s="67"/>
      <c r="D3415" s="78"/>
      <c r="E3415" s="101"/>
      <c r="F3415" s="108"/>
      <c r="G3415" s="120"/>
      <c r="H3415" s="101"/>
      <c r="I3415" s="93"/>
      <c r="J3415" s="91"/>
      <c r="L3415" s="94" t="str">
        <f t="shared" si="2"/>
        <v>No infirmation</v>
      </c>
      <c r="M3415" s="94" t="str">
        <f t="shared" si="3"/>
        <v/>
      </c>
    </row>
    <row r="3416" ht="15.75" customHeight="1">
      <c r="B3416" s="77">
        <f t="shared" si="1"/>
        <v>0</v>
      </c>
      <c r="C3416" s="67"/>
      <c r="D3416" s="78"/>
      <c r="E3416" s="101"/>
      <c r="F3416" s="108"/>
      <c r="G3416" s="120"/>
      <c r="H3416" s="101"/>
      <c r="I3416" s="93"/>
      <c r="J3416" s="91"/>
      <c r="L3416" s="94" t="str">
        <f t="shared" si="2"/>
        <v>No infirmation</v>
      </c>
      <c r="M3416" s="94" t="str">
        <f t="shared" si="3"/>
        <v/>
      </c>
    </row>
    <row r="3417" ht="15.75" customHeight="1">
      <c r="B3417" s="77">
        <f t="shared" si="1"/>
        <v>0</v>
      </c>
      <c r="C3417" s="67"/>
      <c r="D3417" s="78"/>
      <c r="E3417" s="101"/>
      <c r="F3417" s="108"/>
      <c r="G3417" s="120"/>
      <c r="H3417" s="101"/>
      <c r="I3417" s="93"/>
      <c r="J3417" s="91"/>
      <c r="L3417" s="94" t="str">
        <f t="shared" si="2"/>
        <v>No infirmation</v>
      </c>
      <c r="M3417" s="94" t="str">
        <f t="shared" si="3"/>
        <v/>
      </c>
    </row>
    <row r="3418" ht="15.75" customHeight="1">
      <c r="B3418" s="77">
        <f t="shared" si="1"/>
        <v>0</v>
      </c>
      <c r="C3418" s="67"/>
      <c r="D3418" s="78"/>
      <c r="E3418" s="101"/>
      <c r="F3418" s="108"/>
      <c r="G3418" s="120"/>
      <c r="H3418" s="101"/>
      <c r="I3418" s="93"/>
      <c r="J3418" s="91"/>
      <c r="L3418" s="94" t="str">
        <f t="shared" si="2"/>
        <v>No infirmation</v>
      </c>
      <c r="M3418" s="94" t="str">
        <f t="shared" si="3"/>
        <v/>
      </c>
    </row>
    <row r="3419" ht="15.75" customHeight="1">
      <c r="B3419" s="77">
        <f t="shared" si="1"/>
        <v>0</v>
      </c>
      <c r="C3419" s="67"/>
      <c r="D3419" s="78"/>
      <c r="E3419" s="101"/>
      <c r="F3419" s="108"/>
      <c r="G3419" s="120"/>
      <c r="H3419" s="101"/>
      <c r="I3419" s="93"/>
      <c r="J3419" s="91"/>
      <c r="L3419" s="94" t="str">
        <f t="shared" si="2"/>
        <v>No infirmation</v>
      </c>
      <c r="M3419" s="94" t="str">
        <f t="shared" si="3"/>
        <v/>
      </c>
    </row>
    <row r="3420" ht="15.75" customHeight="1">
      <c r="B3420" s="77">
        <f t="shared" si="1"/>
        <v>0</v>
      </c>
      <c r="C3420" s="67"/>
      <c r="D3420" s="78"/>
      <c r="E3420" s="101"/>
      <c r="F3420" s="108"/>
      <c r="G3420" s="120"/>
      <c r="H3420" s="101"/>
      <c r="I3420" s="93"/>
      <c r="J3420" s="91"/>
      <c r="L3420" s="94" t="str">
        <f t="shared" si="2"/>
        <v>No infirmation</v>
      </c>
      <c r="M3420" s="94" t="str">
        <f t="shared" si="3"/>
        <v/>
      </c>
    </row>
    <row r="3421" ht="15.75" customHeight="1">
      <c r="B3421" s="77">
        <f t="shared" si="1"/>
        <v>0</v>
      </c>
      <c r="C3421" s="67"/>
      <c r="D3421" s="78"/>
      <c r="E3421" s="101"/>
      <c r="F3421" s="108"/>
      <c r="G3421" s="120"/>
      <c r="H3421" s="101"/>
      <c r="I3421" s="93"/>
      <c r="J3421" s="91"/>
      <c r="L3421" s="94" t="str">
        <f t="shared" si="2"/>
        <v>No infirmation</v>
      </c>
      <c r="M3421" s="94" t="str">
        <f t="shared" si="3"/>
        <v/>
      </c>
    </row>
    <row r="3422" ht="15.75" customHeight="1">
      <c r="B3422" s="77">
        <f t="shared" si="1"/>
        <v>0</v>
      </c>
      <c r="C3422" s="67"/>
      <c r="D3422" s="78"/>
      <c r="E3422" s="101"/>
      <c r="F3422" s="108"/>
      <c r="G3422" s="120"/>
      <c r="H3422" s="101"/>
      <c r="I3422" s="93"/>
      <c r="J3422" s="91"/>
      <c r="L3422" s="94" t="str">
        <f t="shared" si="2"/>
        <v>No infirmation</v>
      </c>
      <c r="M3422" s="94" t="str">
        <f t="shared" si="3"/>
        <v/>
      </c>
    </row>
    <row r="3423" ht="15.75" customHeight="1">
      <c r="B3423" s="77">
        <f t="shared" si="1"/>
        <v>0</v>
      </c>
      <c r="C3423" s="67"/>
      <c r="D3423" s="78"/>
      <c r="E3423" s="101"/>
      <c r="F3423" s="108"/>
      <c r="G3423" s="120"/>
      <c r="H3423" s="101"/>
      <c r="I3423" s="93"/>
      <c r="J3423" s="91"/>
      <c r="L3423" s="94" t="str">
        <f t="shared" si="2"/>
        <v>No infirmation</v>
      </c>
      <c r="M3423" s="94" t="str">
        <f t="shared" si="3"/>
        <v/>
      </c>
    </row>
    <row r="3424" ht="15.75" customHeight="1">
      <c r="B3424" s="77">
        <f t="shared" si="1"/>
        <v>0</v>
      </c>
      <c r="C3424" s="67"/>
      <c r="D3424" s="78"/>
      <c r="E3424" s="101"/>
      <c r="F3424" s="108"/>
      <c r="G3424" s="120"/>
      <c r="H3424" s="101"/>
      <c r="I3424" s="93"/>
      <c r="J3424" s="91"/>
      <c r="L3424" s="94" t="str">
        <f t="shared" si="2"/>
        <v>No infirmation</v>
      </c>
      <c r="M3424" s="94" t="str">
        <f t="shared" si="3"/>
        <v/>
      </c>
    </row>
    <row r="3425" ht="15.75" customHeight="1">
      <c r="B3425" s="77">
        <f t="shared" si="1"/>
        <v>0</v>
      </c>
      <c r="C3425" s="67"/>
      <c r="D3425" s="78"/>
      <c r="E3425" s="101"/>
      <c r="F3425" s="108"/>
      <c r="G3425" s="120"/>
      <c r="H3425" s="101"/>
      <c r="I3425" s="93"/>
      <c r="J3425" s="91"/>
      <c r="L3425" s="94" t="str">
        <f t="shared" si="2"/>
        <v>No infirmation</v>
      </c>
      <c r="M3425" s="94" t="str">
        <f t="shared" si="3"/>
        <v/>
      </c>
    </row>
    <row r="3426" ht="15.75" customHeight="1">
      <c r="B3426" s="77">
        <f t="shared" si="1"/>
        <v>0</v>
      </c>
      <c r="C3426" s="67"/>
      <c r="D3426" s="78"/>
      <c r="E3426" s="101"/>
      <c r="F3426" s="108"/>
      <c r="G3426" s="120"/>
      <c r="H3426" s="101"/>
      <c r="I3426" s="93"/>
      <c r="J3426" s="91"/>
      <c r="L3426" s="94" t="str">
        <f t="shared" si="2"/>
        <v>No infirmation</v>
      </c>
      <c r="M3426" s="94" t="str">
        <f t="shared" si="3"/>
        <v/>
      </c>
    </row>
    <row r="3427" ht="15.75" customHeight="1">
      <c r="B3427" s="77">
        <f t="shared" si="1"/>
        <v>0</v>
      </c>
      <c r="C3427" s="67"/>
      <c r="D3427" s="78"/>
      <c r="E3427" s="101"/>
      <c r="F3427" s="108"/>
      <c r="G3427" s="120"/>
      <c r="H3427" s="101"/>
      <c r="I3427" s="93"/>
      <c r="J3427" s="91"/>
      <c r="L3427" s="94" t="str">
        <f t="shared" si="2"/>
        <v>No infirmation</v>
      </c>
      <c r="M3427" s="94" t="str">
        <f t="shared" si="3"/>
        <v/>
      </c>
    </row>
    <row r="3428" ht="15.75" customHeight="1">
      <c r="B3428" s="77">
        <f t="shared" si="1"/>
        <v>0</v>
      </c>
      <c r="C3428" s="67"/>
      <c r="D3428" s="78"/>
      <c r="E3428" s="101"/>
      <c r="F3428" s="108"/>
      <c r="G3428" s="120"/>
      <c r="H3428" s="101"/>
      <c r="I3428" s="93"/>
      <c r="J3428" s="91"/>
      <c r="L3428" s="94" t="str">
        <f t="shared" si="2"/>
        <v>No infirmation</v>
      </c>
      <c r="M3428" s="94" t="str">
        <f t="shared" si="3"/>
        <v/>
      </c>
    </row>
    <row r="3429" ht="15.75" customHeight="1">
      <c r="B3429" s="77">
        <f t="shared" si="1"/>
        <v>0</v>
      </c>
      <c r="C3429" s="67"/>
      <c r="D3429" s="78"/>
      <c r="E3429" s="101"/>
      <c r="F3429" s="108"/>
      <c r="G3429" s="120"/>
      <c r="H3429" s="101"/>
      <c r="I3429" s="93"/>
      <c r="J3429" s="91"/>
      <c r="L3429" s="94" t="str">
        <f t="shared" si="2"/>
        <v>No infirmation</v>
      </c>
      <c r="M3429" s="94" t="str">
        <f t="shared" si="3"/>
        <v/>
      </c>
    </row>
    <row r="3430" ht="15.75" customHeight="1">
      <c r="B3430" s="77">
        <f t="shared" si="1"/>
        <v>0</v>
      </c>
      <c r="C3430" s="67"/>
      <c r="D3430" s="78"/>
      <c r="E3430" s="101"/>
      <c r="F3430" s="108"/>
      <c r="G3430" s="120"/>
      <c r="H3430" s="101"/>
      <c r="I3430" s="93"/>
      <c r="J3430" s="91"/>
      <c r="L3430" s="94" t="str">
        <f t="shared" si="2"/>
        <v>No infirmation</v>
      </c>
      <c r="M3430" s="94" t="str">
        <f t="shared" si="3"/>
        <v/>
      </c>
    </row>
    <row r="3431" ht="15.75" customHeight="1">
      <c r="B3431" s="77">
        <f t="shared" si="1"/>
        <v>0</v>
      </c>
      <c r="C3431" s="67"/>
      <c r="D3431" s="78"/>
      <c r="E3431" s="101"/>
      <c r="F3431" s="108"/>
      <c r="G3431" s="120"/>
      <c r="H3431" s="101"/>
      <c r="I3431" s="93"/>
      <c r="J3431" s="91"/>
      <c r="L3431" s="94" t="str">
        <f t="shared" si="2"/>
        <v>No infirmation</v>
      </c>
      <c r="M3431" s="94" t="str">
        <f t="shared" si="3"/>
        <v/>
      </c>
    </row>
    <row r="3432" ht="15.75" customHeight="1">
      <c r="B3432" s="77">
        <f t="shared" si="1"/>
        <v>0</v>
      </c>
      <c r="C3432" s="67"/>
      <c r="D3432" s="78"/>
      <c r="E3432" s="101"/>
      <c r="F3432" s="108"/>
      <c r="G3432" s="120"/>
      <c r="H3432" s="101"/>
      <c r="I3432" s="93"/>
      <c r="J3432" s="91"/>
      <c r="L3432" s="94" t="str">
        <f t="shared" si="2"/>
        <v>No infirmation</v>
      </c>
      <c r="M3432" s="94" t="str">
        <f t="shared" si="3"/>
        <v/>
      </c>
    </row>
    <row r="3433" ht="15.75" customHeight="1">
      <c r="B3433" s="77">
        <f t="shared" si="1"/>
        <v>0</v>
      </c>
      <c r="C3433" s="67"/>
      <c r="D3433" s="78"/>
      <c r="E3433" s="101"/>
      <c r="F3433" s="108"/>
      <c r="G3433" s="120"/>
      <c r="H3433" s="101"/>
      <c r="I3433" s="93"/>
      <c r="J3433" s="91"/>
      <c r="L3433" s="94" t="str">
        <f t="shared" si="2"/>
        <v>No infirmation</v>
      </c>
      <c r="M3433" s="94" t="str">
        <f t="shared" si="3"/>
        <v/>
      </c>
    </row>
    <row r="3434" ht="15.75" customHeight="1">
      <c r="B3434" s="77">
        <f t="shared" si="1"/>
        <v>0</v>
      </c>
      <c r="C3434" s="67"/>
      <c r="D3434" s="78"/>
      <c r="E3434" s="101"/>
      <c r="F3434" s="108"/>
      <c r="G3434" s="120"/>
      <c r="H3434" s="101"/>
      <c r="I3434" s="93"/>
      <c r="J3434" s="91"/>
      <c r="L3434" s="94" t="str">
        <f t="shared" si="2"/>
        <v>No infirmation</v>
      </c>
      <c r="M3434" s="94" t="str">
        <f t="shared" si="3"/>
        <v/>
      </c>
    </row>
    <row r="3435" ht="15.75" customHeight="1">
      <c r="B3435" s="77">
        <f t="shared" si="1"/>
        <v>0</v>
      </c>
      <c r="C3435" s="67"/>
      <c r="D3435" s="78"/>
      <c r="E3435" s="101"/>
      <c r="F3435" s="108"/>
      <c r="G3435" s="120"/>
      <c r="H3435" s="101"/>
      <c r="I3435" s="93"/>
      <c r="J3435" s="91"/>
      <c r="L3435" s="94" t="str">
        <f t="shared" si="2"/>
        <v>No infirmation</v>
      </c>
      <c r="M3435" s="94" t="str">
        <f t="shared" si="3"/>
        <v/>
      </c>
    </row>
    <row r="3436" ht="15.75" customHeight="1">
      <c r="B3436" s="77">
        <f t="shared" si="1"/>
        <v>0</v>
      </c>
      <c r="C3436" s="67"/>
      <c r="D3436" s="78"/>
      <c r="E3436" s="101"/>
      <c r="F3436" s="108"/>
      <c r="G3436" s="120"/>
      <c r="H3436" s="101"/>
      <c r="I3436" s="93"/>
      <c r="J3436" s="91"/>
      <c r="L3436" s="94" t="str">
        <f t="shared" si="2"/>
        <v>No infirmation</v>
      </c>
      <c r="M3436" s="94" t="str">
        <f t="shared" si="3"/>
        <v/>
      </c>
    </row>
    <row r="3437" ht="15.75" customHeight="1">
      <c r="B3437" s="77">
        <f t="shared" si="1"/>
        <v>0</v>
      </c>
      <c r="C3437" s="67"/>
      <c r="D3437" s="78"/>
      <c r="E3437" s="101"/>
      <c r="F3437" s="108"/>
      <c r="G3437" s="120"/>
      <c r="H3437" s="101"/>
      <c r="I3437" s="93"/>
      <c r="J3437" s="91"/>
      <c r="L3437" s="94" t="str">
        <f t="shared" si="2"/>
        <v>No infirmation</v>
      </c>
      <c r="M3437" s="94" t="str">
        <f t="shared" si="3"/>
        <v/>
      </c>
    </row>
    <row r="3438" ht="15.75" customHeight="1">
      <c r="B3438" s="77">
        <f t="shared" si="1"/>
        <v>0</v>
      </c>
      <c r="C3438" s="67"/>
      <c r="D3438" s="78"/>
      <c r="E3438" s="101"/>
      <c r="F3438" s="108"/>
      <c r="G3438" s="120"/>
      <c r="H3438" s="101"/>
      <c r="I3438" s="93"/>
      <c r="J3438" s="91"/>
      <c r="L3438" s="94" t="str">
        <f t="shared" si="2"/>
        <v>No infirmation</v>
      </c>
      <c r="M3438" s="94" t="str">
        <f t="shared" si="3"/>
        <v/>
      </c>
    </row>
    <row r="3439" ht="15.75" customHeight="1">
      <c r="B3439" s="77">
        <f t="shared" si="1"/>
        <v>0</v>
      </c>
      <c r="C3439" s="67"/>
      <c r="D3439" s="78"/>
      <c r="E3439" s="101"/>
      <c r="F3439" s="108"/>
      <c r="G3439" s="120"/>
      <c r="H3439" s="101"/>
      <c r="I3439" s="93"/>
      <c r="J3439" s="91"/>
      <c r="L3439" s="94" t="str">
        <f t="shared" si="2"/>
        <v>No infirmation</v>
      </c>
      <c r="M3439" s="94" t="str">
        <f t="shared" si="3"/>
        <v/>
      </c>
    </row>
    <row r="3440" ht="15.75" customHeight="1">
      <c r="B3440" s="77">
        <f t="shared" si="1"/>
        <v>0</v>
      </c>
      <c r="C3440" s="67"/>
      <c r="D3440" s="78"/>
      <c r="E3440" s="101"/>
      <c r="F3440" s="108"/>
      <c r="G3440" s="120"/>
      <c r="H3440" s="101"/>
      <c r="I3440" s="93"/>
      <c r="J3440" s="91"/>
      <c r="L3440" s="94" t="str">
        <f t="shared" si="2"/>
        <v>No infirmation</v>
      </c>
      <c r="M3440" s="94" t="str">
        <f t="shared" si="3"/>
        <v/>
      </c>
    </row>
    <row r="3441" ht="15.75" customHeight="1">
      <c r="B3441" s="77">
        <f t="shared" si="1"/>
        <v>0</v>
      </c>
      <c r="C3441" s="67"/>
      <c r="D3441" s="78"/>
      <c r="E3441" s="101"/>
      <c r="F3441" s="108"/>
      <c r="G3441" s="120"/>
      <c r="H3441" s="101"/>
      <c r="I3441" s="93"/>
      <c r="J3441" s="91"/>
      <c r="L3441" s="94" t="str">
        <f t="shared" si="2"/>
        <v>No infirmation</v>
      </c>
      <c r="M3441" s="94" t="str">
        <f t="shared" si="3"/>
        <v/>
      </c>
    </row>
    <row r="3442" ht="15.75" customHeight="1">
      <c r="B3442" s="77">
        <f t="shared" si="1"/>
        <v>0</v>
      </c>
      <c r="C3442" s="67"/>
      <c r="D3442" s="78"/>
      <c r="E3442" s="101"/>
      <c r="F3442" s="108"/>
      <c r="G3442" s="120"/>
      <c r="H3442" s="101"/>
      <c r="I3442" s="93"/>
      <c r="J3442" s="91"/>
      <c r="L3442" s="94" t="str">
        <f t="shared" si="2"/>
        <v>No infirmation</v>
      </c>
      <c r="M3442" s="94" t="str">
        <f t="shared" si="3"/>
        <v/>
      </c>
    </row>
    <row r="3443" ht="15.75" customHeight="1">
      <c r="B3443" s="77">
        <f t="shared" si="1"/>
        <v>0</v>
      </c>
      <c r="C3443" s="67"/>
      <c r="D3443" s="78"/>
      <c r="E3443" s="101"/>
      <c r="F3443" s="108"/>
      <c r="G3443" s="120"/>
      <c r="H3443" s="101"/>
      <c r="I3443" s="93"/>
      <c r="J3443" s="91"/>
      <c r="L3443" s="94" t="str">
        <f t="shared" si="2"/>
        <v>No infirmation</v>
      </c>
      <c r="M3443" s="94" t="str">
        <f t="shared" si="3"/>
        <v/>
      </c>
    </row>
    <row r="3444" ht="15.75" customHeight="1">
      <c r="B3444" s="77">
        <f t="shared" si="1"/>
        <v>0</v>
      </c>
      <c r="C3444" s="67"/>
      <c r="D3444" s="78"/>
      <c r="E3444" s="101"/>
      <c r="F3444" s="108"/>
      <c r="G3444" s="120"/>
      <c r="H3444" s="101"/>
      <c r="I3444" s="93"/>
      <c r="J3444" s="91"/>
      <c r="L3444" s="94" t="str">
        <f t="shared" si="2"/>
        <v>No infirmation</v>
      </c>
      <c r="M3444" s="94" t="str">
        <f t="shared" si="3"/>
        <v/>
      </c>
    </row>
    <row r="3445" ht="15.75" customHeight="1">
      <c r="B3445" s="77">
        <f t="shared" si="1"/>
        <v>0</v>
      </c>
      <c r="C3445" s="67"/>
      <c r="D3445" s="78"/>
      <c r="E3445" s="101"/>
      <c r="F3445" s="108"/>
      <c r="G3445" s="120"/>
      <c r="H3445" s="101"/>
      <c r="I3445" s="93"/>
      <c r="J3445" s="91"/>
      <c r="L3445" s="94" t="str">
        <f t="shared" si="2"/>
        <v>No infirmation</v>
      </c>
      <c r="M3445" s="94" t="str">
        <f t="shared" si="3"/>
        <v/>
      </c>
    </row>
    <row r="3446" ht="15.75" customHeight="1">
      <c r="B3446" s="77">
        <f t="shared" si="1"/>
        <v>0</v>
      </c>
      <c r="C3446" s="67"/>
      <c r="D3446" s="78"/>
      <c r="E3446" s="101"/>
      <c r="F3446" s="108"/>
      <c r="G3446" s="120"/>
      <c r="H3446" s="101"/>
      <c r="I3446" s="93"/>
      <c r="J3446" s="91"/>
      <c r="L3446" s="94" t="str">
        <f t="shared" si="2"/>
        <v>No infirmation</v>
      </c>
      <c r="M3446" s="94" t="str">
        <f t="shared" si="3"/>
        <v/>
      </c>
    </row>
    <row r="3447" ht="15.75" customHeight="1">
      <c r="B3447" s="77">
        <f t="shared" si="1"/>
        <v>0</v>
      </c>
      <c r="C3447" s="67"/>
      <c r="D3447" s="78"/>
      <c r="E3447" s="101"/>
      <c r="F3447" s="108"/>
      <c r="G3447" s="120"/>
      <c r="H3447" s="101"/>
      <c r="I3447" s="93"/>
      <c r="J3447" s="91"/>
      <c r="L3447" s="94" t="str">
        <f t="shared" si="2"/>
        <v>No infirmation</v>
      </c>
      <c r="M3447" s="94" t="str">
        <f t="shared" si="3"/>
        <v/>
      </c>
    </row>
    <row r="3448" ht="15.75" customHeight="1">
      <c r="B3448" s="77">
        <f t="shared" si="1"/>
        <v>0</v>
      </c>
      <c r="C3448" s="67"/>
      <c r="D3448" s="78"/>
      <c r="E3448" s="101"/>
      <c r="F3448" s="108"/>
      <c r="G3448" s="120"/>
      <c r="H3448" s="101"/>
      <c r="I3448" s="93"/>
      <c r="J3448" s="91"/>
      <c r="L3448" s="94" t="str">
        <f t="shared" si="2"/>
        <v>No infirmation</v>
      </c>
      <c r="M3448" s="94" t="str">
        <f t="shared" si="3"/>
        <v/>
      </c>
    </row>
    <row r="3449" ht="15.75" customHeight="1">
      <c r="B3449" s="77">
        <f t="shared" si="1"/>
        <v>0</v>
      </c>
      <c r="C3449" s="67"/>
      <c r="D3449" s="78"/>
      <c r="E3449" s="101"/>
      <c r="F3449" s="108"/>
      <c r="G3449" s="120"/>
      <c r="H3449" s="101"/>
      <c r="I3449" s="93"/>
      <c r="J3449" s="91"/>
      <c r="L3449" s="94" t="str">
        <f t="shared" si="2"/>
        <v>No infirmation</v>
      </c>
      <c r="M3449" s="94" t="str">
        <f t="shared" si="3"/>
        <v/>
      </c>
    </row>
    <row r="3450" ht="15.75" customHeight="1">
      <c r="B3450" s="77">
        <f t="shared" si="1"/>
        <v>0</v>
      </c>
      <c r="C3450" s="67"/>
      <c r="D3450" s="78"/>
      <c r="E3450" s="101"/>
      <c r="F3450" s="108"/>
      <c r="G3450" s="120"/>
      <c r="H3450" s="101"/>
      <c r="I3450" s="93"/>
      <c r="J3450" s="91"/>
      <c r="L3450" s="94" t="str">
        <f t="shared" si="2"/>
        <v>No infirmation</v>
      </c>
      <c r="M3450" s="94" t="str">
        <f t="shared" si="3"/>
        <v/>
      </c>
    </row>
    <row r="3451" ht="15.75" customHeight="1">
      <c r="B3451" s="77">
        <f t="shared" si="1"/>
        <v>0</v>
      </c>
      <c r="C3451" s="67"/>
      <c r="D3451" s="78"/>
      <c r="E3451" s="101"/>
      <c r="F3451" s="108"/>
      <c r="G3451" s="120"/>
      <c r="H3451" s="101"/>
      <c r="I3451" s="93"/>
      <c r="J3451" s="91"/>
      <c r="L3451" s="94" t="str">
        <f t="shared" si="2"/>
        <v>No infirmation</v>
      </c>
      <c r="M3451" s="94" t="str">
        <f t="shared" si="3"/>
        <v/>
      </c>
    </row>
    <row r="3452" ht="15.75" customHeight="1">
      <c r="B3452" s="77">
        <f t="shared" si="1"/>
        <v>0</v>
      </c>
      <c r="C3452" s="67"/>
      <c r="D3452" s="78"/>
      <c r="E3452" s="101"/>
      <c r="F3452" s="108"/>
      <c r="G3452" s="120"/>
      <c r="H3452" s="101"/>
      <c r="I3452" s="93"/>
      <c r="J3452" s="91"/>
      <c r="L3452" s="94" t="str">
        <f t="shared" si="2"/>
        <v>No infirmation</v>
      </c>
      <c r="M3452" s="94" t="str">
        <f t="shared" si="3"/>
        <v/>
      </c>
    </row>
    <row r="3453" ht="15.75" customHeight="1">
      <c r="B3453" s="77">
        <f t="shared" si="1"/>
        <v>0</v>
      </c>
      <c r="C3453" s="67"/>
      <c r="D3453" s="78"/>
      <c r="E3453" s="101"/>
      <c r="F3453" s="108"/>
      <c r="G3453" s="120"/>
      <c r="H3453" s="101"/>
      <c r="I3453" s="93"/>
      <c r="J3453" s="91"/>
      <c r="L3453" s="94" t="str">
        <f t="shared" si="2"/>
        <v>No infirmation</v>
      </c>
      <c r="M3453" s="94" t="str">
        <f t="shared" si="3"/>
        <v/>
      </c>
    </row>
    <row r="3454" ht="15.75" customHeight="1">
      <c r="B3454" s="77">
        <f t="shared" si="1"/>
        <v>0</v>
      </c>
      <c r="C3454" s="67"/>
      <c r="D3454" s="78"/>
      <c r="E3454" s="101"/>
      <c r="F3454" s="108"/>
      <c r="G3454" s="120"/>
      <c r="H3454" s="101"/>
      <c r="I3454" s="93"/>
      <c r="J3454" s="91"/>
      <c r="L3454" s="94" t="str">
        <f t="shared" si="2"/>
        <v>No infirmation</v>
      </c>
      <c r="M3454" s="94" t="str">
        <f t="shared" si="3"/>
        <v/>
      </c>
    </row>
    <row r="3455" ht="15.75" customHeight="1">
      <c r="B3455" s="77">
        <f t="shared" si="1"/>
        <v>0</v>
      </c>
      <c r="C3455" s="67"/>
      <c r="D3455" s="78"/>
      <c r="E3455" s="101"/>
      <c r="F3455" s="108"/>
      <c r="G3455" s="120"/>
      <c r="H3455" s="101"/>
      <c r="I3455" s="93"/>
      <c r="J3455" s="91"/>
      <c r="L3455" s="94" t="str">
        <f t="shared" si="2"/>
        <v>No infirmation</v>
      </c>
      <c r="M3455" s="94" t="str">
        <f t="shared" si="3"/>
        <v/>
      </c>
    </row>
    <row r="3456" ht="15.75" customHeight="1">
      <c r="B3456" s="77">
        <f t="shared" si="1"/>
        <v>0</v>
      </c>
      <c r="C3456" s="67"/>
      <c r="D3456" s="78"/>
      <c r="E3456" s="101"/>
      <c r="F3456" s="108"/>
      <c r="G3456" s="120"/>
      <c r="H3456" s="101"/>
      <c r="I3456" s="93"/>
      <c r="J3456" s="91"/>
      <c r="L3456" s="94" t="str">
        <f t="shared" si="2"/>
        <v>No infirmation</v>
      </c>
      <c r="M3456" s="94" t="str">
        <f t="shared" si="3"/>
        <v/>
      </c>
    </row>
    <row r="3457" ht="15.75" customHeight="1">
      <c r="B3457" s="77">
        <f t="shared" si="1"/>
        <v>0</v>
      </c>
      <c r="C3457" s="67"/>
      <c r="D3457" s="78"/>
      <c r="E3457" s="101"/>
      <c r="F3457" s="108"/>
      <c r="G3457" s="120"/>
      <c r="H3457" s="101"/>
      <c r="I3457" s="93"/>
      <c r="J3457" s="91"/>
      <c r="L3457" s="94" t="str">
        <f t="shared" si="2"/>
        <v>No infirmation</v>
      </c>
      <c r="M3457" s="94" t="str">
        <f t="shared" si="3"/>
        <v/>
      </c>
    </row>
    <row r="3458" ht="15.75" customHeight="1">
      <c r="B3458" s="77">
        <f t="shared" si="1"/>
        <v>0</v>
      </c>
      <c r="C3458" s="67"/>
      <c r="D3458" s="78"/>
      <c r="E3458" s="101"/>
      <c r="F3458" s="108"/>
      <c r="G3458" s="120"/>
      <c r="H3458" s="101"/>
      <c r="I3458" s="93"/>
      <c r="J3458" s="91"/>
      <c r="L3458" s="94" t="str">
        <f t="shared" si="2"/>
        <v>No infirmation</v>
      </c>
      <c r="M3458" s="94" t="str">
        <f t="shared" si="3"/>
        <v/>
      </c>
    </row>
    <row r="3459" ht="15.75" customHeight="1">
      <c r="B3459" s="77">
        <f t="shared" si="1"/>
        <v>0</v>
      </c>
      <c r="C3459" s="67"/>
      <c r="D3459" s="78"/>
      <c r="E3459" s="101"/>
      <c r="F3459" s="108"/>
      <c r="G3459" s="120"/>
      <c r="H3459" s="101"/>
      <c r="I3459" s="93"/>
      <c r="J3459" s="91"/>
      <c r="L3459" s="94" t="str">
        <f t="shared" si="2"/>
        <v>No infirmation</v>
      </c>
      <c r="M3459" s="94" t="str">
        <f t="shared" si="3"/>
        <v/>
      </c>
    </row>
    <row r="3460" ht="15.75" customHeight="1">
      <c r="B3460" s="77">
        <f t="shared" si="1"/>
        <v>0</v>
      </c>
      <c r="C3460" s="67"/>
      <c r="D3460" s="78"/>
      <c r="E3460" s="101"/>
      <c r="F3460" s="108"/>
      <c r="G3460" s="120"/>
      <c r="H3460" s="101"/>
      <c r="I3460" s="93"/>
      <c r="J3460" s="91"/>
      <c r="L3460" s="94" t="str">
        <f t="shared" si="2"/>
        <v>No infirmation</v>
      </c>
      <c r="M3460" s="94" t="str">
        <f t="shared" si="3"/>
        <v/>
      </c>
    </row>
    <row r="3461" ht="15.75" customHeight="1">
      <c r="B3461" s="77">
        <f t="shared" si="1"/>
        <v>0</v>
      </c>
      <c r="C3461" s="67"/>
      <c r="D3461" s="78"/>
      <c r="E3461" s="101"/>
      <c r="F3461" s="108"/>
      <c r="G3461" s="120"/>
      <c r="H3461" s="101"/>
      <c r="I3461" s="93"/>
      <c r="J3461" s="91"/>
      <c r="L3461" s="94" t="str">
        <f t="shared" si="2"/>
        <v>No infirmation</v>
      </c>
      <c r="M3461" s="94" t="str">
        <f t="shared" si="3"/>
        <v/>
      </c>
    </row>
    <row r="3462" ht="15.75" customHeight="1">
      <c r="B3462" s="77">
        <f t="shared" si="1"/>
        <v>0</v>
      </c>
      <c r="C3462" s="67"/>
      <c r="D3462" s="78"/>
      <c r="E3462" s="101"/>
      <c r="F3462" s="108"/>
      <c r="G3462" s="120"/>
      <c r="H3462" s="101"/>
      <c r="I3462" s="93"/>
      <c r="J3462" s="91"/>
      <c r="L3462" s="94" t="str">
        <f t="shared" si="2"/>
        <v>No infirmation</v>
      </c>
      <c r="M3462" s="94" t="str">
        <f t="shared" si="3"/>
        <v/>
      </c>
    </row>
    <row r="3463" ht="15.75" customHeight="1">
      <c r="B3463" s="77">
        <f t="shared" si="1"/>
        <v>0</v>
      </c>
      <c r="C3463" s="67"/>
      <c r="D3463" s="78"/>
      <c r="E3463" s="101"/>
      <c r="F3463" s="108"/>
      <c r="G3463" s="120"/>
      <c r="H3463" s="101"/>
      <c r="I3463" s="93"/>
      <c r="J3463" s="91"/>
      <c r="L3463" s="94" t="str">
        <f t="shared" si="2"/>
        <v>No infirmation</v>
      </c>
      <c r="M3463" s="94" t="str">
        <f t="shared" si="3"/>
        <v/>
      </c>
    </row>
    <row r="3464" ht="15.75" customHeight="1">
      <c r="B3464" s="77">
        <f t="shared" si="1"/>
        <v>0</v>
      </c>
      <c r="C3464" s="67"/>
      <c r="D3464" s="78"/>
      <c r="E3464" s="101"/>
      <c r="F3464" s="108"/>
      <c r="G3464" s="120"/>
      <c r="H3464" s="101"/>
      <c r="I3464" s="93"/>
      <c r="J3464" s="91"/>
      <c r="L3464" s="94" t="str">
        <f t="shared" si="2"/>
        <v>No infirmation</v>
      </c>
      <c r="M3464" s="94" t="str">
        <f t="shared" si="3"/>
        <v/>
      </c>
    </row>
    <row r="3465" ht="15.75" customHeight="1">
      <c r="B3465" s="77">
        <f t="shared" si="1"/>
        <v>0</v>
      </c>
      <c r="C3465" s="67"/>
      <c r="D3465" s="78"/>
      <c r="E3465" s="101"/>
      <c r="F3465" s="108"/>
      <c r="G3465" s="120"/>
      <c r="H3465" s="101"/>
      <c r="I3465" s="93"/>
      <c r="J3465" s="91"/>
      <c r="L3465" s="94" t="str">
        <f t="shared" si="2"/>
        <v>No infirmation</v>
      </c>
      <c r="M3465" s="94" t="str">
        <f t="shared" si="3"/>
        <v/>
      </c>
    </row>
    <row r="3466" ht="15.75" customHeight="1">
      <c r="B3466" s="77">
        <f t="shared" si="1"/>
        <v>0</v>
      </c>
      <c r="C3466" s="67"/>
      <c r="D3466" s="78"/>
      <c r="E3466" s="101"/>
      <c r="F3466" s="108"/>
      <c r="G3466" s="120"/>
      <c r="H3466" s="101"/>
      <c r="I3466" s="93"/>
      <c r="J3466" s="91"/>
      <c r="L3466" s="94" t="str">
        <f t="shared" si="2"/>
        <v>No infirmation</v>
      </c>
      <c r="M3466" s="94" t="str">
        <f t="shared" si="3"/>
        <v/>
      </c>
    </row>
    <row r="3467" ht="15.75" customHeight="1">
      <c r="B3467" s="77">
        <f t="shared" si="1"/>
        <v>0</v>
      </c>
      <c r="C3467" s="67"/>
      <c r="D3467" s="78"/>
      <c r="E3467" s="101"/>
      <c r="F3467" s="108"/>
      <c r="G3467" s="120"/>
      <c r="H3467" s="101"/>
      <c r="I3467" s="93"/>
      <c r="J3467" s="91"/>
      <c r="L3467" s="94" t="str">
        <f t="shared" si="2"/>
        <v>No infirmation</v>
      </c>
      <c r="M3467" s="94" t="str">
        <f t="shared" si="3"/>
        <v/>
      </c>
    </row>
    <row r="3468" ht="15.75" customHeight="1">
      <c r="B3468" s="77">
        <f t="shared" si="1"/>
        <v>0</v>
      </c>
      <c r="C3468" s="67"/>
      <c r="D3468" s="78"/>
      <c r="E3468" s="101"/>
      <c r="F3468" s="108"/>
      <c r="G3468" s="120"/>
      <c r="H3468" s="101"/>
      <c r="I3468" s="93"/>
      <c r="J3468" s="91"/>
      <c r="L3468" s="94" t="str">
        <f t="shared" si="2"/>
        <v>No infirmation</v>
      </c>
      <c r="M3468" s="94" t="str">
        <f t="shared" si="3"/>
        <v/>
      </c>
    </row>
    <row r="3469" ht="15.75" customHeight="1">
      <c r="B3469" s="77">
        <f t="shared" si="1"/>
        <v>0</v>
      </c>
      <c r="C3469" s="67"/>
      <c r="D3469" s="78"/>
      <c r="E3469" s="101"/>
      <c r="F3469" s="108"/>
      <c r="G3469" s="120"/>
      <c r="H3469" s="101"/>
      <c r="I3469" s="93"/>
      <c r="J3469" s="91"/>
      <c r="L3469" s="94" t="str">
        <f t="shared" si="2"/>
        <v>No infirmation</v>
      </c>
      <c r="M3469" s="94" t="str">
        <f t="shared" si="3"/>
        <v/>
      </c>
    </row>
    <row r="3470" ht="15.75" customHeight="1">
      <c r="B3470" s="77">
        <f t="shared" si="1"/>
        <v>0</v>
      </c>
      <c r="C3470" s="67"/>
      <c r="D3470" s="78"/>
      <c r="E3470" s="101"/>
      <c r="F3470" s="108"/>
      <c r="G3470" s="120"/>
      <c r="H3470" s="101"/>
      <c r="I3470" s="93"/>
      <c r="J3470" s="91"/>
      <c r="L3470" s="94" t="str">
        <f t="shared" si="2"/>
        <v>No infirmation</v>
      </c>
      <c r="M3470" s="94" t="str">
        <f t="shared" si="3"/>
        <v/>
      </c>
    </row>
    <row r="3471" ht="15.75" customHeight="1">
      <c r="B3471" s="77">
        <f t="shared" si="1"/>
        <v>0</v>
      </c>
      <c r="C3471" s="67"/>
      <c r="D3471" s="78"/>
      <c r="E3471" s="101"/>
      <c r="F3471" s="108"/>
      <c r="G3471" s="120"/>
      <c r="H3471" s="101"/>
      <c r="I3471" s="93"/>
      <c r="J3471" s="91"/>
      <c r="L3471" s="94" t="str">
        <f t="shared" si="2"/>
        <v>No infirmation</v>
      </c>
      <c r="M3471" s="94" t="str">
        <f t="shared" si="3"/>
        <v/>
      </c>
    </row>
    <row r="3472" ht="15.75" customHeight="1">
      <c r="B3472" s="77">
        <f t="shared" si="1"/>
        <v>0</v>
      </c>
      <c r="C3472" s="67"/>
      <c r="D3472" s="78"/>
      <c r="E3472" s="101"/>
      <c r="F3472" s="108"/>
      <c r="G3472" s="120"/>
      <c r="H3472" s="101"/>
      <c r="I3472" s="93"/>
      <c r="J3472" s="91"/>
      <c r="L3472" s="94" t="str">
        <f t="shared" si="2"/>
        <v>No infirmation</v>
      </c>
      <c r="M3472" s="94" t="str">
        <f t="shared" si="3"/>
        <v/>
      </c>
    </row>
    <row r="3473" ht="15.75" customHeight="1">
      <c r="B3473" s="77">
        <f t="shared" si="1"/>
        <v>0</v>
      </c>
      <c r="C3473" s="67"/>
      <c r="D3473" s="78"/>
      <c r="E3473" s="101"/>
      <c r="F3473" s="108"/>
      <c r="G3473" s="120"/>
      <c r="H3473" s="101"/>
      <c r="I3473" s="93"/>
      <c r="J3473" s="91"/>
      <c r="L3473" s="94" t="str">
        <f t="shared" si="2"/>
        <v>No infirmation</v>
      </c>
      <c r="M3473" s="94" t="str">
        <f t="shared" si="3"/>
        <v/>
      </c>
    </row>
    <row r="3474" ht="15.75" customHeight="1">
      <c r="B3474" s="77">
        <f t="shared" si="1"/>
        <v>0</v>
      </c>
      <c r="C3474" s="67"/>
      <c r="D3474" s="78"/>
      <c r="E3474" s="101"/>
      <c r="F3474" s="108"/>
      <c r="G3474" s="120"/>
      <c r="H3474" s="101"/>
      <c r="I3474" s="93"/>
      <c r="J3474" s="91"/>
      <c r="L3474" s="94" t="str">
        <f t="shared" si="2"/>
        <v>No infirmation</v>
      </c>
      <c r="M3474" s="94" t="str">
        <f t="shared" si="3"/>
        <v/>
      </c>
    </row>
    <row r="3475" ht="15.75" customHeight="1">
      <c r="B3475" s="77">
        <f t="shared" si="1"/>
        <v>0</v>
      </c>
      <c r="C3475" s="67"/>
      <c r="D3475" s="78"/>
      <c r="E3475" s="101"/>
      <c r="F3475" s="108"/>
      <c r="G3475" s="120"/>
      <c r="H3475" s="101"/>
      <c r="I3475" s="93"/>
      <c r="J3475" s="91"/>
      <c r="L3475" s="94" t="str">
        <f t="shared" si="2"/>
        <v>No infirmation</v>
      </c>
      <c r="M3475" s="94" t="str">
        <f t="shared" si="3"/>
        <v/>
      </c>
    </row>
    <row r="3476" ht="15.75" customHeight="1">
      <c r="B3476" s="77">
        <f t="shared" si="1"/>
        <v>0</v>
      </c>
      <c r="C3476" s="67"/>
      <c r="D3476" s="78"/>
      <c r="E3476" s="101"/>
      <c r="F3476" s="108"/>
      <c r="G3476" s="120"/>
      <c r="H3476" s="101"/>
      <c r="I3476" s="93"/>
      <c r="J3476" s="91"/>
      <c r="L3476" s="94" t="str">
        <f t="shared" si="2"/>
        <v>No infirmation</v>
      </c>
      <c r="M3476" s="94" t="str">
        <f t="shared" si="3"/>
        <v/>
      </c>
    </row>
    <row r="3477" ht="15.75" customHeight="1">
      <c r="B3477" s="77">
        <f t="shared" si="1"/>
        <v>0</v>
      </c>
      <c r="C3477" s="67"/>
      <c r="D3477" s="78"/>
      <c r="E3477" s="101"/>
      <c r="F3477" s="108"/>
      <c r="G3477" s="120"/>
      <c r="H3477" s="101"/>
      <c r="I3477" s="93"/>
      <c r="J3477" s="91"/>
      <c r="L3477" s="94" t="str">
        <f t="shared" si="2"/>
        <v>No infirmation</v>
      </c>
      <c r="M3477" s="94" t="str">
        <f t="shared" si="3"/>
        <v/>
      </c>
    </row>
    <row r="3478" ht="15.75" customHeight="1">
      <c r="B3478" s="77">
        <f t="shared" si="1"/>
        <v>0</v>
      </c>
      <c r="C3478" s="67"/>
      <c r="D3478" s="78"/>
      <c r="E3478" s="101"/>
      <c r="F3478" s="108"/>
      <c r="G3478" s="120"/>
      <c r="H3478" s="101"/>
      <c r="I3478" s="93"/>
      <c r="J3478" s="91"/>
      <c r="L3478" s="94" t="str">
        <f t="shared" si="2"/>
        <v>No infirmation</v>
      </c>
      <c r="M3478" s="94" t="str">
        <f t="shared" si="3"/>
        <v/>
      </c>
    </row>
    <row r="3479" ht="15.75" customHeight="1">
      <c r="B3479" s="77">
        <f t="shared" si="1"/>
        <v>0</v>
      </c>
      <c r="C3479" s="67"/>
      <c r="D3479" s="78"/>
      <c r="E3479" s="101"/>
      <c r="F3479" s="108"/>
      <c r="G3479" s="120"/>
      <c r="H3479" s="101"/>
      <c r="I3479" s="93"/>
      <c r="J3479" s="91"/>
      <c r="L3479" s="94" t="str">
        <f t="shared" si="2"/>
        <v>No infirmation</v>
      </c>
      <c r="M3479" s="94" t="str">
        <f t="shared" si="3"/>
        <v/>
      </c>
    </row>
    <row r="3480" ht="15.75" customHeight="1">
      <c r="B3480" s="77">
        <f t="shared" si="1"/>
        <v>0</v>
      </c>
      <c r="C3480" s="67"/>
      <c r="D3480" s="78"/>
      <c r="E3480" s="101"/>
      <c r="F3480" s="108"/>
      <c r="G3480" s="120"/>
      <c r="H3480" s="101"/>
      <c r="I3480" s="93"/>
      <c r="J3480" s="91"/>
      <c r="L3480" s="94" t="str">
        <f t="shared" si="2"/>
        <v>No infirmation</v>
      </c>
      <c r="M3480" s="94" t="str">
        <f t="shared" si="3"/>
        <v/>
      </c>
    </row>
    <row r="3481" ht="15.75" customHeight="1">
      <c r="B3481" s="77">
        <f t="shared" si="1"/>
        <v>0</v>
      </c>
      <c r="C3481" s="67"/>
      <c r="D3481" s="78"/>
      <c r="E3481" s="101"/>
      <c r="F3481" s="108"/>
      <c r="G3481" s="120"/>
      <c r="H3481" s="101"/>
      <c r="I3481" s="93"/>
      <c r="J3481" s="91"/>
      <c r="L3481" s="94" t="str">
        <f t="shared" si="2"/>
        <v>No infirmation</v>
      </c>
      <c r="M3481" s="94" t="str">
        <f t="shared" si="3"/>
        <v/>
      </c>
    </row>
    <row r="3482" ht="15.75" customHeight="1">
      <c r="B3482" s="77">
        <f t="shared" si="1"/>
        <v>0</v>
      </c>
      <c r="C3482" s="67"/>
      <c r="D3482" s="78"/>
      <c r="E3482" s="101"/>
      <c r="F3482" s="108"/>
      <c r="G3482" s="120"/>
      <c r="H3482" s="101"/>
      <c r="I3482" s="93"/>
      <c r="J3482" s="91"/>
      <c r="L3482" s="94" t="str">
        <f t="shared" si="2"/>
        <v>No infirmation</v>
      </c>
      <c r="M3482" s="94" t="str">
        <f t="shared" si="3"/>
        <v/>
      </c>
    </row>
    <row r="3483" ht="15.75" customHeight="1">
      <c r="B3483" s="77">
        <f t="shared" si="1"/>
        <v>0</v>
      </c>
      <c r="C3483" s="67"/>
      <c r="D3483" s="78"/>
      <c r="E3483" s="101"/>
      <c r="F3483" s="108"/>
      <c r="G3483" s="120"/>
      <c r="H3483" s="101"/>
      <c r="I3483" s="93"/>
      <c r="J3483" s="91"/>
      <c r="L3483" s="94" t="str">
        <f t="shared" si="2"/>
        <v>No infirmation</v>
      </c>
      <c r="M3483" s="94" t="str">
        <f t="shared" si="3"/>
        <v/>
      </c>
    </row>
    <row r="3484" ht="15.75" customHeight="1">
      <c r="B3484" s="77">
        <f t="shared" si="1"/>
        <v>0</v>
      </c>
      <c r="C3484" s="67"/>
      <c r="D3484" s="78"/>
      <c r="E3484" s="101"/>
      <c r="F3484" s="108"/>
      <c r="G3484" s="120"/>
      <c r="H3484" s="101"/>
      <c r="I3484" s="93"/>
      <c r="J3484" s="91"/>
      <c r="L3484" s="94" t="str">
        <f t="shared" si="2"/>
        <v>No infirmation</v>
      </c>
      <c r="M3484" s="94" t="str">
        <f t="shared" si="3"/>
        <v/>
      </c>
    </row>
    <row r="3485" ht="15.75" customHeight="1">
      <c r="B3485" s="77">
        <f t="shared" si="1"/>
        <v>0</v>
      </c>
      <c r="C3485" s="67"/>
      <c r="D3485" s="78"/>
      <c r="E3485" s="101"/>
      <c r="F3485" s="108"/>
      <c r="G3485" s="120"/>
      <c r="H3485" s="101"/>
      <c r="I3485" s="93"/>
      <c r="J3485" s="91"/>
      <c r="L3485" s="94" t="str">
        <f t="shared" si="2"/>
        <v>No infirmation</v>
      </c>
      <c r="M3485" s="94" t="str">
        <f t="shared" si="3"/>
        <v/>
      </c>
    </row>
    <row r="3486" ht="15.75" customHeight="1">
      <c r="B3486" s="77">
        <f t="shared" si="1"/>
        <v>0</v>
      </c>
      <c r="C3486" s="67"/>
      <c r="D3486" s="78"/>
      <c r="E3486" s="101"/>
      <c r="F3486" s="108"/>
      <c r="G3486" s="120"/>
      <c r="H3486" s="101"/>
      <c r="I3486" s="93"/>
      <c r="J3486" s="91"/>
      <c r="L3486" s="94" t="str">
        <f t="shared" si="2"/>
        <v>No infirmation</v>
      </c>
      <c r="M3486" s="94" t="str">
        <f t="shared" si="3"/>
        <v/>
      </c>
    </row>
    <row r="3487" ht="15.75" customHeight="1">
      <c r="B3487" s="77">
        <f t="shared" si="1"/>
        <v>0</v>
      </c>
      <c r="C3487" s="67"/>
      <c r="D3487" s="78"/>
      <c r="E3487" s="101"/>
      <c r="F3487" s="108"/>
      <c r="G3487" s="120"/>
      <c r="H3487" s="101"/>
      <c r="I3487" s="93"/>
      <c r="J3487" s="91"/>
      <c r="L3487" s="94" t="str">
        <f t="shared" si="2"/>
        <v>No infirmation</v>
      </c>
      <c r="M3487" s="94" t="str">
        <f t="shared" si="3"/>
        <v/>
      </c>
    </row>
    <row r="3488" ht="15.75" customHeight="1">
      <c r="B3488" s="77">
        <f t="shared" si="1"/>
        <v>0</v>
      </c>
      <c r="C3488" s="67"/>
      <c r="D3488" s="78"/>
      <c r="E3488" s="101"/>
      <c r="F3488" s="108"/>
      <c r="G3488" s="120"/>
      <c r="H3488" s="101"/>
      <c r="I3488" s="93"/>
      <c r="J3488" s="91"/>
      <c r="L3488" s="94" t="str">
        <f t="shared" si="2"/>
        <v>No infirmation</v>
      </c>
      <c r="M3488" s="94" t="str">
        <f t="shared" si="3"/>
        <v/>
      </c>
    </row>
    <row r="3489" ht="15.75" customHeight="1">
      <c r="B3489" s="77">
        <f t="shared" si="1"/>
        <v>0</v>
      </c>
      <c r="C3489" s="67"/>
      <c r="D3489" s="78"/>
      <c r="E3489" s="101"/>
      <c r="F3489" s="108"/>
      <c r="G3489" s="120"/>
      <c r="H3489" s="101"/>
      <c r="I3489" s="93"/>
      <c r="J3489" s="91"/>
      <c r="L3489" s="94" t="str">
        <f t="shared" si="2"/>
        <v>No infirmation</v>
      </c>
      <c r="M3489" s="94" t="str">
        <f t="shared" si="3"/>
        <v/>
      </c>
    </row>
    <row r="3490" ht="15.75" customHeight="1">
      <c r="B3490" s="77">
        <f t="shared" si="1"/>
        <v>0</v>
      </c>
      <c r="C3490" s="67"/>
      <c r="D3490" s="78"/>
      <c r="E3490" s="101"/>
      <c r="F3490" s="108"/>
      <c r="G3490" s="120"/>
      <c r="H3490" s="101"/>
      <c r="I3490" s="93"/>
      <c r="J3490" s="91"/>
      <c r="L3490" s="94" t="str">
        <f t="shared" si="2"/>
        <v>No infirmation</v>
      </c>
      <c r="M3490" s="94" t="str">
        <f t="shared" si="3"/>
        <v/>
      </c>
    </row>
    <row r="3491" ht="15.75" customHeight="1">
      <c r="B3491" s="77">
        <f t="shared" si="1"/>
        <v>0</v>
      </c>
      <c r="C3491" s="67"/>
      <c r="D3491" s="78"/>
      <c r="E3491" s="101"/>
      <c r="F3491" s="108"/>
      <c r="G3491" s="120"/>
      <c r="H3491" s="101"/>
      <c r="I3491" s="93"/>
      <c r="J3491" s="91"/>
      <c r="L3491" s="94" t="str">
        <f t="shared" si="2"/>
        <v>No infirmation</v>
      </c>
      <c r="M3491" s="94" t="str">
        <f t="shared" si="3"/>
        <v/>
      </c>
    </row>
    <row r="3492" ht="15.75" customHeight="1">
      <c r="B3492" s="77">
        <f t="shared" si="1"/>
        <v>0</v>
      </c>
      <c r="C3492" s="67"/>
      <c r="D3492" s="78"/>
      <c r="E3492" s="101"/>
      <c r="F3492" s="108"/>
      <c r="G3492" s="120"/>
      <c r="H3492" s="101"/>
      <c r="I3492" s="93"/>
      <c r="J3492" s="91"/>
      <c r="L3492" s="94" t="str">
        <f t="shared" si="2"/>
        <v>No infirmation</v>
      </c>
      <c r="M3492" s="94" t="str">
        <f t="shared" si="3"/>
        <v/>
      </c>
    </row>
    <row r="3493" ht="15.75" customHeight="1">
      <c r="B3493" s="77">
        <f t="shared" si="1"/>
        <v>0</v>
      </c>
      <c r="C3493" s="67"/>
      <c r="D3493" s="78"/>
      <c r="E3493" s="101"/>
      <c r="F3493" s="108"/>
      <c r="G3493" s="120"/>
      <c r="H3493" s="101"/>
      <c r="I3493" s="93"/>
      <c r="J3493" s="91"/>
      <c r="L3493" s="94" t="str">
        <f t="shared" si="2"/>
        <v>No infirmation</v>
      </c>
      <c r="M3493" s="94" t="str">
        <f t="shared" si="3"/>
        <v/>
      </c>
    </row>
    <row r="3494" ht="15.75" customHeight="1">
      <c r="B3494" s="77">
        <f t="shared" si="1"/>
        <v>0</v>
      </c>
      <c r="C3494" s="67"/>
      <c r="D3494" s="78"/>
      <c r="E3494" s="101"/>
      <c r="F3494" s="108"/>
      <c r="G3494" s="120"/>
      <c r="H3494" s="101"/>
      <c r="I3494" s="93"/>
      <c r="J3494" s="91"/>
      <c r="L3494" s="94" t="str">
        <f t="shared" si="2"/>
        <v>No infirmation</v>
      </c>
      <c r="M3494" s="94" t="str">
        <f t="shared" si="3"/>
        <v/>
      </c>
    </row>
    <row r="3495" ht="15.75" customHeight="1">
      <c r="B3495" s="77">
        <f t="shared" si="1"/>
        <v>0</v>
      </c>
      <c r="C3495" s="67"/>
      <c r="D3495" s="78"/>
      <c r="E3495" s="101"/>
      <c r="F3495" s="108"/>
      <c r="G3495" s="120"/>
      <c r="H3495" s="101"/>
      <c r="I3495" s="93"/>
      <c r="J3495" s="91"/>
      <c r="L3495" s="94" t="str">
        <f t="shared" si="2"/>
        <v>No infirmation</v>
      </c>
      <c r="M3495" s="94" t="str">
        <f t="shared" si="3"/>
        <v/>
      </c>
    </row>
    <row r="3496" ht="15.75" customHeight="1">
      <c r="B3496" s="77">
        <f t="shared" si="1"/>
        <v>0</v>
      </c>
      <c r="C3496" s="67"/>
      <c r="D3496" s="78"/>
      <c r="E3496" s="101"/>
      <c r="F3496" s="108"/>
      <c r="G3496" s="120"/>
      <c r="H3496" s="101"/>
      <c r="I3496" s="93"/>
      <c r="J3496" s="91"/>
      <c r="L3496" s="94" t="str">
        <f t="shared" si="2"/>
        <v>No infirmation</v>
      </c>
      <c r="M3496" s="94" t="str">
        <f t="shared" si="3"/>
        <v/>
      </c>
    </row>
    <row r="3497" ht="15.75" customHeight="1">
      <c r="B3497" s="77">
        <f t="shared" si="1"/>
        <v>0</v>
      </c>
      <c r="C3497" s="67"/>
      <c r="D3497" s="78"/>
      <c r="E3497" s="101"/>
      <c r="F3497" s="108"/>
      <c r="G3497" s="120"/>
      <c r="H3497" s="101"/>
      <c r="I3497" s="93"/>
      <c r="J3497" s="91"/>
      <c r="L3497" s="94" t="str">
        <f t="shared" si="2"/>
        <v>No infirmation</v>
      </c>
      <c r="M3497" s="94" t="str">
        <f t="shared" si="3"/>
        <v/>
      </c>
    </row>
    <row r="3498" ht="15.75" customHeight="1">
      <c r="B3498" s="77">
        <f t="shared" si="1"/>
        <v>0</v>
      </c>
      <c r="C3498" s="67"/>
      <c r="D3498" s="78"/>
      <c r="E3498" s="101"/>
      <c r="F3498" s="108"/>
      <c r="G3498" s="120"/>
      <c r="H3498" s="101"/>
      <c r="I3498" s="93"/>
      <c r="J3498" s="91"/>
      <c r="L3498" s="94" t="str">
        <f t="shared" si="2"/>
        <v>No infirmation</v>
      </c>
      <c r="M3498" s="94" t="str">
        <f t="shared" si="3"/>
        <v/>
      </c>
    </row>
    <row r="3499" ht="15.75" customHeight="1">
      <c r="B3499" s="77">
        <f t="shared" si="1"/>
        <v>0</v>
      </c>
      <c r="C3499" s="67"/>
      <c r="D3499" s="78"/>
      <c r="E3499" s="101"/>
      <c r="F3499" s="108"/>
      <c r="G3499" s="120"/>
      <c r="H3499" s="101"/>
      <c r="I3499" s="93"/>
      <c r="J3499" s="91"/>
      <c r="L3499" s="94" t="str">
        <f t="shared" si="2"/>
        <v>No infirmation</v>
      </c>
      <c r="M3499" s="94" t="str">
        <f t="shared" si="3"/>
        <v/>
      </c>
    </row>
    <row r="3500" ht="15.75" customHeight="1">
      <c r="B3500" s="77">
        <f t="shared" si="1"/>
        <v>0</v>
      </c>
      <c r="C3500" s="67"/>
      <c r="D3500" s="78"/>
      <c r="E3500" s="101"/>
      <c r="F3500" s="108"/>
      <c r="G3500" s="120"/>
      <c r="H3500" s="101"/>
      <c r="I3500" s="93"/>
      <c r="J3500" s="91"/>
      <c r="L3500" s="94" t="str">
        <f t="shared" si="2"/>
        <v>No infirmation</v>
      </c>
      <c r="M3500" s="94" t="str">
        <f t="shared" si="3"/>
        <v/>
      </c>
    </row>
    <row r="3501" ht="15.75" customHeight="1">
      <c r="B3501" s="77">
        <f t="shared" si="1"/>
        <v>0</v>
      </c>
      <c r="C3501" s="67"/>
      <c r="D3501" s="78"/>
      <c r="E3501" s="101"/>
      <c r="F3501" s="108"/>
      <c r="G3501" s="120"/>
      <c r="H3501" s="101"/>
      <c r="I3501" s="93"/>
      <c r="J3501" s="91"/>
      <c r="L3501" s="94" t="str">
        <f t="shared" si="2"/>
        <v>No infirmation</v>
      </c>
      <c r="M3501" s="94" t="str">
        <f t="shared" si="3"/>
        <v/>
      </c>
    </row>
    <row r="3502" ht="15.75" customHeight="1">
      <c r="B3502" s="77">
        <f t="shared" si="1"/>
        <v>0</v>
      </c>
      <c r="C3502" s="67"/>
      <c r="D3502" s="78"/>
      <c r="E3502" s="101"/>
      <c r="F3502" s="108"/>
      <c r="G3502" s="120"/>
      <c r="H3502" s="101"/>
      <c r="I3502" s="93"/>
      <c r="J3502" s="91"/>
      <c r="L3502" s="94" t="str">
        <f t="shared" si="2"/>
        <v>No infirmation</v>
      </c>
      <c r="M3502" s="94" t="str">
        <f t="shared" si="3"/>
        <v/>
      </c>
    </row>
    <row r="3503" ht="15.75" customHeight="1">
      <c r="B3503" s="77">
        <f t="shared" si="1"/>
        <v>0</v>
      </c>
      <c r="C3503" s="67"/>
      <c r="D3503" s="78"/>
      <c r="E3503" s="101"/>
      <c r="F3503" s="108"/>
      <c r="G3503" s="120"/>
      <c r="H3503" s="101"/>
      <c r="I3503" s="93"/>
      <c r="J3503" s="91"/>
      <c r="L3503" s="94" t="str">
        <f t="shared" si="2"/>
        <v>No infirmation</v>
      </c>
      <c r="M3503" s="94" t="str">
        <f t="shared" si="3"/>
        <v/>
      </c>
    </row>
    <row r="3504" ht="15.75" customHeight="1">
      <c r="B3504" s="77">
        <f t="shared" si="1"/>
        <v>0</v>
      </c>
      <c r="C3504" s="67"/>
      <c r="D3504" s="78"/>
      <c r="E3504" s="101"/>
      <c r="F3504" s="108"/>
      <c r="G3504" s="120"/>
      <c r="H3504" s="101"/>
      <c r="I3504" s="93"/>
      <c r="J3504" s="91"/>
      <c r="L3504" s="94" t="str">
        <f t="shared" si="2"/>
        <v>No infirmation</v>
      </c>
      <c r="M3504" s="94" t="str">
        <f t="shared" si="3"/>
        <v/>
      </c>
    </row>
    <row r="3505" ht="15.75" customHeight="1">
      <c r="B3505" s="77">
        <f t="shared" si="1"/>
        <v>0</v>
      </c>
      <c r="C3505" s="67"/>
      <c r="D3505" s="78"/>
      <c r="E3505" s="101"/>
      <c r="F3505" s="108"/>
      <c r="G3505" s="120"/>
      <c r="H3505" s="101"/>
      <c r="I3505" s="93"/>
      <c r="J3505" s="91"/>
      <c r="L3505" s="94" t="str">
        <f t="shared" si="2"/>
        <v>No infirmation</v>
      </c>
      <c r="M3505" s="94" t="str">
        <f t="shared" si="3"/>
        <v/>
      </c>
    </row>
    <row r="3506" ht="15.75" customHeight="1">
      <c r="B3506" s="77">
        <f t="shared" si="1"/>
        <v>0</v>
      </c>
      <c r="C3506" s="67"/>
      <c r="D3506" s="78"/>
      <c r="E3506" s="101"/>
      <c r="F3506" s="108"/>
      <c r="G3506" s="120"/>
      <c r="H3506" s="101"/>
      <c r="I3506" s="93"/>
      <c r="J3506" s="91"/>
      <c r="L3506" s="94" t="str">
        <f t="shared" si="2"/>
        <v>No infirmation</v>
      </c>
      <c r="M3506" s="94" t="str">
        <f t="shared" si="3"/>
        <v/>
      </c>
    </row>
    <row r="3507" ht="15.75" customHeight="1">
      <c r="B3507" s="77">
        <f t="shared" si="1"/>
        <v>0</v>
      </c>
      <c r="C3507" s="67"/>
      <c r="D3507" s="78"/>
      <c r="E3507" s="101"/>
      <c r="F3507" s="108"/>
      <c r="G3507" s="120"/>
      <c r="H3507" s="101"/>
      <c r="I3507" s="93"/>
      <c r="J3507" s="91"/>
      <c r="L3507" s="94" t="str">
        <f t="shared" si="2"/>
        <v>No infirmation</v>
      </c>
      <c r="M3507" s="94" t="str">
        <f t="shared" si="3"/>
        <v/>
      </c>
    </row>
    <row r="3508" ht="15.75" customHeight="1">
      <c r="B3508" s="77">
        <f t="shared" si="1"/>
        <v>0</v>
      </c>
      <c r="C3508" s="67"/>
      <c r="D3508" s="78"/>
      <c r="E3508" s="101"/>
      <c r="F3508" s="108"/>
      <c r="G3508" s="120"/>
      <c r="H3508" s="101"/>
      <c r="I3508" s="93"/>
      <c r="J3508" s="91"/>
      <c r="L3508" s="94" t="str">
        <f t="shared" si="2"/>
        <v>No infirmation</v>
      </c>
      <c r="M3508" s="94" t="str">
        <f t="shared" si="3"/>
        <v/>
      </c>
    </row>
    <row r="3509" ht="15.75" customHeight="1">
      <c r="B3509" s="77">
        <f t="shared" si="1"/>
        <v>0</v>
      </c>
      <c r="C3509" s="67"/>
      <c r="D3509" s="78"/>
      <c r="E3509" s="101"/>
      <c r="F3509" s="108"/>
      <c r="G3509" s="120"/>
      <c r="H3509" s="101"/>
      <c r="I3509" s="93"/>
      <c r="J3509" s="91"/>
      <c r="L3509" s="94" t="str">
        <f t="shared" si="2"/>
        <v>No infirmation</v>
      </c>
      <c r="M3509" s="94" t="str">
        <f t="shared" si="3"/>
        <v/>
      </c>
    </row>
    <row r="3510" ht="15.75" customHeight="1">
      <c r="B3510" s="77">
        <f t="shared" si="1"/>
        <v>0</v>
      </c>
      <c r="C3510" s="67"/>
      <c r="D3510" s="78"/>
      <c r="E3510" s="101"/>
      <c r="F3510" s="108"/>
      <c r="G3510" s="120"/>
      <c r="H3510" s="101"/>
      <c r="I3510" s="93"/>
      <c r="J3510" s="91"/>
      <c r="L3510" s="94" t="str">
        <f t="shared" si="2"/>
        <v>No infirmation</v>
      </c>
      <c r="M3510" s="94" t="str">
        <f t="shared" si="3"/>
        <v/>
      </c>
    </row>
    <row r="3511" ht="15.75" customHeight="1">
      <c r="B3511" s="77">
        <f t="shared" si="1"/>
        <v>0</v>
      </c>
      <c r="C3511" s="67"/>
      <c r="D3511" s="78"/>
      <c r="E3511" s="101"/>
      <c r="F3511" s="108"/>
      <c r="G3511" s="120"/>
      <c r="H3511" s="101"/>
      <c r="I3511" s="93"/>
      <c r="J3511" s="91"/>
      <c r="L3511" s="94" t="str">
        <f t="shared" si="2"/>
        <v>No infirmation</v>
      </c>
      <c r="M3511" s="94" t="str">
        <f t="shared" si="3"/>
        <v/>
      </c>
    </row>
    <row r="3512" ht="15.75" customHeight="1">
      <c r="B3512" s="77">
        <f t="shared" si="1"/>
        <v>0</v>
      </c>
      <c r="C3512" s="67"/>
      <c r="D3512" s="78"/>
      <c r="E3512" s="101"/>
      <c r="F3512" s="108"/>
      <c r="G3512" s="120"/>
      <c r="H3512" s="101"/>
      <c r="I3512" s="93"/>
      <c r="J3512" s="91"/>
      <c r="L3512" s="94" t="str">
        <f t="shared" si="2"/>
        <v>No infirmation</v>
      </c>
      <c r="M3512" s="94" t="str">
        <f t="shared" si="3"/>
        <v/>
      </c>
    </row>
    <row r="3513" ht="15.75" customHeight="1">
      <c r="B3513" s="77">
        <f t="shared" si="1"/>
        <v>0</v>
      </c>
      <c r="C3513" s="67"/>
      <c r="D3513" s="78"/>
      <c r="E3513" s="101"/>
      <c r="F3513" s="108"/>
      <c r="G3513" s="120"/>
      <c r="H3513" s="101"/>
      <c r="I3513" s="93"/>
      <c r="J3513" s="91"/>
      <c r="L3513" s="94" t="str">
        <f t="shared" si="2"/>
        <v>No infirmation</v>
      </c>
      <c r="M3513" s="94" t="str">
        <f t="shared" si="3"/>
        <v/>
      </c>
    </row>
    <row r="3514" ht="15.75" customHeight="1">
      <c r="B3514" s="77">
        <f t="shared" si="1"/>
        <v>0</v>
      </c>
      <c r="C3514" s="67"/>
      <c r="D3514" s="78"/>
      <c r="E3514" s="101"/>
      <c r="F3514" s="108"/>
      <c r="G3514" s="120"/>
      <c r="H3514" s="101"/>
      <c r="I3514" s="93"/>
      <c r="J3514" s="91"/>
      <c r="L3514" s="94" t="str">
        <f t="shared" si="2"/>
        <v>No infirmation</v>
      </c>
      <c r="M3514" s="94" t="str">
        <f t="shared" si="3"/>
        <v/>
      </c>
    </row>
    <row r="3515" ht="15.75" customHeight="1">
      <c r="B3515" s="77">
        <f t="shared" si="1"/>
        <v>0</v>
      </c>
      <c r="C3515" s="67"/>
      <c r="D3515" s="78"/>
      <c r="E3515" s="101"/>
      <c r="F3515" s="108"/>
      <c r="G3515" s="120"/>
      <c r="H3515" s="101"/>
      <c r="I3515" s="93"/>
      <c r="J3515" s="91"/>
      <c r="L3515" s="94" t="str">
        <f t="shared" si="2"/>
        <v>No infirmation</v>
      </c>
      <c r="M3515" s="94" t="str">
        <f t="shared" si="3"/>
        <v/>
      </c>
    </row>
    <row r="3516" ht="15.75" customHeight="1">
      <c r="B3516" s="77">
        <f t="shared" si="1"/>
        <v>0</v>
      </c>
      <c r="C3516" s="67"/>
      <c r="D3516" s="78"/>
      <c r="E3516" s="101"/>
      <c r="F3516" s="108"/>
      <c r="G3516" s="120"/>
      <c r="H3516" s="101"/>
      <c r="I3516" s="93"/>
      <c r="J3516" s="91"/>
      <c r="L3516" s="94" t="str">
        <f t="shared" si="2"/>
        <v>No infirmation</v>
      </c>
      <c r="M3516" s="94" t="str">
        <f t="shared" si="3"/>
        <v/>
      </c>
    </row>
    <row r="3517" ht="15.75" customHeight="1">
      <c r="B3517" s="77">
        <f t="shared" si="1"/>
        <v>0</v>
      </c>
      <c r="C3517" s="67"/>
      <c r="D3517" s="78"/>
      <c r="E3517" s="101"/>
      <c r="F3517" s="108"/>
      <c r="G3517" s="120"/>
      <c r="H3517" s="101"/>
      <c r="I3517" s="93"/>
      <c r="J3517" s="91"/>
      <c r="L3517" s="94" t="str">
        <f t="shared" si="2"/>
        <v>No infirmation</v>
      </c>
      <c r="M3517" s="94" t="str">
        <f t="shared" si="3"/>
        <v/>
      </c>
    </row>
    <row r="3518" ht="15.75" customHeight="1">
      <c r="B3518" s="77">
        <f t="shared" si="1"/>
        <v>0</v>
      </c>
      <c r="C3518" s="67"/>
      <c r="D3518" s="78"/>
      <c r="E3518" s="101"/>
      <c r="F3518" s="108"/>
      <c r="G3518" s="120"/>
      <c r="H3518" s="101"/>
      <c r="I3518" s="93"/>
      <c r="J3518" s="91"/>
      <c r="L3518" s="94" t="str">
        <f t="shared" si="2"/>
        <v>No infirmation</v>
      </c>
      <c r="M3518" s="94" t="str">
        <f t="shared" si="3"/>
        <v/>
      </c>
    </row>
    <row r="3519" ht="15.75" customHeight="1">
      <c r="B3519" s="77">
        <f t="shared" si="1"/>
        <v>0</v>
      </c>
      <c r="C3519" s="67"/>
      <c r="D3519" s="78"/>
      <c r="E3519" s="101"/>
      <c r="F3519" s="108"/>
      <c r="G3519" s="120"/>
      <c r="H3519" s="101"/>
      <c r="I3519" s="93"/>
      <c r="J3519" s="91"/>
      <c r="L3519" s="94" t="str">
        <f t="shared" si="2"/>
        <v>No infirmation</v>
      </c>
      <c r="M3519" s="94" t="str">
        <f t="shared" si="3"/>
        <v/>
      </c>
    </row>
    <row r="3520" ht="15.75" customHeight="1">
      <c r="B3520" s="77">
        <f t="shared" si="1"/>
        <v>0</v>
      </c>
      <c r="C3520" s="67"/>
      <c r="D3520" s="78"/>
      <c r="E3520" s="101"/>
      <c r="F3520" s="108"/>
      <c r="G3520" s="120"/>
      <c r="H3520" s="101"/>
      <c r="I3520" s="93"/>
      <c r="J3520" s="91"/>
      <c r="L3520" s="94" t="str">
        <f t="shared" si="2"/>
        <v>No infirmation</v>
      </c>
      <c r="M3520" s="94" t="str">
        <f t="shared" si="3"/>
        <v/>
      </c>
    </row>
    <row r="3521" ht="15.75" customHeight="1">
      <c r="B3521" s="77">
        <f t="shared" si="1"/>
        <v>0</v>
      </c>
      <c r="C3521" s="67"/>
      <c r="D3521" s="78"/>
      <c r="E3521" s="101"/>
      <c r="F3521" s="108"/>
      <c r="G3521" s="120"/>
      <c r="H3521" s="101"/>
      <c r="I3521" s="93"/>
      <c r="J3521" s="91"/>
      <c r="L3521" s="94" t="str">
        <f t="shared" si="2"/>
        <v>No infirmation</v>
      </c>
      <c r="M3521" s="94" t="str">
        <f t="shared" si="3"/>
        <v/>
      </c>
    </row>
    <row r="3522" ht="15.75" customHeight="1">
      <c r="B3522" s="77">
        <f t="shared" si="1"/>
        <v>0</v>
      </c>
      <c r="C3522" s="67"/>
      <c r="D3522" s="78"/>
      <c r="E3522" s="101"/>
      <c r="F3522" s="108"/>
      <c r="G3522" s="120"/>
      <c r="H3522" s="101"/>
      <c r="I3522" s="93"/>
      <c r="J3522" s="91"/>
      <c r="L3522" s="94" t="str">
        <f t="shared" si="2"/>
        <v>No infirmation</v>
      </c>
      <c r="M3522" s="94" t="str">
        <f t="shared" si="3"/>
        <v/>
      </c>
    </row>
    <row r="3523" ht="15.75" customHeight="1">
      <c r="B3523" s="77">
        <f t="shared" si="1"/>
        <v>0</v>
      </c>
      <c r="C3523" s="67"/>
      <c r="D3523" s="78"/>
      <c r="E3523" s="101"/>
      <c r="F3523" s="108"/>
      <c r="G3523" s="120"/>
      <c r="H3523" s="101"/>
      <c r="I3523" s="93"/>
      <c r="J3523" s="91"/>
      <c r="L3523" s="94" t="str">
        <f t="shared" si="2"/>
        <v>No infirmation</v>
      </c>
      <c r="M3523" s="94" t="str">
        <f t="shared" si="3"/>
        <v/>
      </c>
    </row>
    <row r="3524" ht="15.75" customHeight="1">
      <c r="B3524" s="77">
        <f t="shared" si="1"/>
        <v>0</v>
      </c>
      <c r="C3524" s="67"/>
      <c r="D3524" s="78"/>
      <c r="E3524" s="101"/>
      <c r="F3524" s="108"/>
      <c r="G3524" s="120"/>
      <c r="H3524" s="101"/>
      <c r="I3524" s="93"/>
      <c r="J3524" s="91"/>
      <c r="L3524" s="94" t="str">
        <f t="shared" si="2"/>
        <v>No infirmation</v>
      </c>
      <c r="M3524" s="94" t="str">
        <f t="shared" si="3"/>
        <v/>
      </c>
    </row>
    <row r="3525" ht="15.75" customHeight="1">
      <c r="B3525" s="77">
        <f t="shared" si="1"/>
        <v>0</v>
      </c>
      <c r="C3525" s="67"/>
      <c r="D3525" s="78"/>
      <c r="E3525" s="101"/>
      <c r="F3525" s="108"/>
      <c r="G3525" s="120"/>
      <c r="H3525" s="101"/>
      <c r="I3525" s="93"/>
      <c r="J3525" s="91"/>
      <c r="L3525" s="94" t="str">
        <f t="shared" si="2"/>
        <v>No infirmation</v>
      </c>
      <c r="M3525" s="94" t="str">
        <f t="shared" si="3"/>
        <v/>
      </c>
    </row>
    <row r="3526" ht="15.75" customHeight="1">
      <c r="B3526" s="77">
        <f t="shared" si="1"/>
        <v>0</v>
      </c>
      <c r="C3526" s="67"/>
      <c r="D3526" s="78"/>
      <c r="E3526" s="101"/>
      <c r="F3526" s="108"/>
      <c r="G3526" s="120"/>
      <c r="H3526" s="101"/>
      <c r="I3526" s="93"/>
      <c r="J3526" s="91"/>
      <c r="L3526" s="94" t="str">
        <f t="shared" si="2"/>
        <v>No infirmation</v>
      </c>
      <c r="M3526" s="94" t="str">
        <f t="shared" si="3"/>
        <v/>
      </c>
    </row>
    <row r="3527" ht="15.75" customHeight="1">
      <c r="B3527" s="77">
        <f t="shared" si="1"/>
        <v>0</v>
      </c>
      <c r="C3527" s="67"/>
      <c r="D3527" s="78"/>
      <c r="E3527" s="101"/>
      <c r="F3527" s="108"/>
      <c r="G3527" s="120"/>
      <c r="H3527" s="101"/>
      <c r="I3527" s="93"/>
      <c r="J3527" s="91"/>
      <c r="L3527" s="94" t="str">
        <f t="shared" si="2"/>
        <v>No infirmation</v>
      </c>
      <c r="M3527" s="94" t="str">
        <f t="shared" si="3"/>
        <v/>
      </c>
    </row>
    <row r="3528" ht="15.75" customHeight="1">
      <c r="B3528" s="77">
        <f t="shared" si="1"/>
        <v>0</v>
      </c>
      <c r="C3528" s="67"/>
      <c r="D3528" s="78"/>
      <c r="E3528" s="101"/>
      <c r="F3528" s="108"/>
      <c r="G3528" s="120"/>
      <c r="H3528" s="101"/>
      <c r="I3528" s="93"/>
      <c r="J3528" s="91"/>
      <c r="L3528" s="94" t="str">
        <f t="shared" si="2"/>
        <v>No infirmation</v>
      </c>
      <c r="M3528" s="94" t="str">
        <f t="shared" si="3"/>
        <v/>
      </c>
    </row>
    <row r="3529" ht="15.75" customHeight="1">
      <c r="B3529" s="77">
        <f t="shared" si="1"/>
        <v>0</v>
      </c>
      <c r="C3529" s="67"/>
      <c r="D3529" s="78"/>
      <c r="E3529" s="101"/>
      <c r="F3529" s="108"/>
      <c r="G3529" s="120"/>
      <c r="H3529" s="101"/>
      <c r="I3529" s="93"/>
      <c r="J3529" s="91"/>
      <c r="L3529" s="94" t="str">
        <f t="shared" si="2"/>
        <v>No infirmation</v>
      </c>
      <c r="M3529" s="94" t="str">
        <f t="shared" si="3"/>
        <v/>
      </c>
    </row>
    <row r="3530" ht="15.75" customHeight="1">
      <c r="B3530" s="77">
        <f t="shared" si="1"/>
        <v>0</v>
      </c>
      <c r="C3530" s="67"/>
      <c r="D3530" s="78"/>
      <c r="E3530" s="101"/>
      <c r="F3530" s="108"/>
      <c r="G3530" s="120"/>
      <c r="H3530" s="101"/>
      <c r="I3530" s="93"/>
      <c r="J3530" s="91"/>
      <c r="L3530" s="94" t="str">
        <f t="shared" si="2"/>
        <v>No infirmation</v>
      </c>
      <c r="M3530" s="94" t="str">
        <f t="shared" si="3"/>
        <v/>
      </c>
    </row>
    <row r="3531" ht="15.75" customHeight="1">
      <c r="B3531" s="77">
        <f t="shared" si="1"/>
        <v>0</v>
      </c>
      <c r="C3531" s="67"/>
      <c r="D3531" s="78"/>
      <c r="E3531" s="101"/>
      <c r="F3531" s="108"/>
      <c r="G3531" s="120"/>
      <c r="H3531" s="101"/>
      <c r="I3531" s="93"/>
      <c r="J3531" s="91"/>
      <c r="L3531" s="94" t="str">
        <f t="shared" si="2"/>
        <v>No infirmation</v>
      </c>
      <c r="M3531" s="94" t="str">
        <f t="shared" si="3"/>
        <v/>
      </c>
    </row>
    <row r="3532" ht="15.75" customHeight="1">
      <c r="B3532" s="77">
        <f t="shared" si="1"/>
        <v>0</v>
      </c>
      <c r="C3532" s="67"/>
      <c r="D3532" s="78"/>
      <c r="E3532" s="101"/>
      <c r="F3532" s="108"/>
      <c r="G3532" s="120"/>
      <c r="H3532" s="101"/>
      <c r="I3532" s="93"/>
      <c r="J3532" s="91"/>
      <c r="L3532" s="94" t="str">
        <f t="shared" si="2"/>
        <v>No infirmation</v>
      </c>
      <c r="M3532" s="94" t="str">
        <f t="shared" si="3"/>
        <v/>
      </c>
    </row>
    <row r="3533" ht="15.75" customHeight="1">
      <c r="B3533" s="77">
        <f t="shared" si="1"/>
        <v>0</v>
      </c>
      <c r="C3533" s="67"/>
      <c r="D3533" s="78"/>
      <c r="E3533" s="101"/>
      <c r="F3533" s="108"/>
      <c r="G3533" s="120"/>
      <c r="H3533" s="101"/>
      <c r="I3533" s="93"/>
      <c r="J3533" s="91"/>
      <c r="L3533" s="94" t="str">
        <f t="shared" si="2"/>
        <v>No infirmation</v>
      </c>
      <c r="M3533" s="94" t="str">
        <f t="shared" si="3"/>
        <v/>
      </c>
    </row>
    <row r="3534" ht="15.75" customHeight="1">
      <c r="B3534" s="77">
        <f t="shared" si="1"/>
        <v>0</v>
      </c>
      <c r="C3534" s="67"/>
      <c r="D3534" s="78"/>
      <c r="E3534" s="101"/>
      <c r="F3534" s="108"/>
      <c r="G3534" s="120"/>
      <c r="H3534" s="101"/>
      <c r="I3534" s="93"/>
      <c r="J3534" s="91"/>
      <c r="L3534" s="94" t="str">
        <f t="shared" si="2"/>
        <v>No infirmation</v>
      </c>
      <c r="M3534" s="94" t="str">
        <f t="shared" si="3"/>
        <v/>
      </c>
    </row>
    <row r="3535" ht="15.75" customHeight="1">
      <c r="B3535" s="77">
        <f t="shared" si="1"/>
        <v>0</v>
      </c>
      <c r="C3535" s="67"/>
      <c r="D3535" s="78"/>
      <c r="E3535" s="101"/>
      <c r="F3535" s="108"/>
      <c r="G3535" s="120"/>
      <c r="H3535" s="101"/>
      <c r="I3535" s="93"/>
      <c r="J3535" s="91"/>
      <c r="L3535" s="94" t="str">
        <f t="shared" si="2"/>
        <v>No infirmation</v>
      </c>
      <c r="M3535" s="94" t="str">
        <f t="shared" si="3"/>
        <v/>
      </c>
    </row>
    <row r="3536" ht="15.75" customHeight="1">
      <c r="B3536" s="77">
        <f t="shared" si="1"/>
        <v>0</v>
      </c>
      <c r="C3536" s="67"/>
      <c r="D3536" s="78"/>
      <c r="E3536" s="101"/>
      <c r="F3536" s="108"/>
      <c r="G3536" s="120"/>
      <c r="H3536" s="101"/>
      <c r="I3536" s="93"/>
      <c r="J3536" s="91"/>
      <c r="L3536" s="94" t="str">
        <f t="shared" si="2"/>
        <v>No infirmation</v>
      </c>
      <c r="M3536" s="94" t="str">
        <f t="shared" si="3"/>
        <v/>
      </c>
    </row>
    <row r="3537" ht="15.75" customHeight="1">
      <c r="B3537" s="77">
        <f t="shared" si="1"/>
        <v>0</v>
      </c>
      <c r="C3537" s="67"/>
      <c r="D3537" s="78"/>
      <c r="E3537" s="101"/>
      <c r="F3537" s="108"/>
      <c r="G3537" s="120"/>
      <c r="H3537" s="101"/>
      <c r="I3537" s="93"/>
      <c r="J3537" s="91"/>
      <c r="L3537" s="94" t="str">
        <f t="shared" si="2"/>
        <v>No infirmation</v>
      </c>
      <c r="M3537" s="94" t="str">
        <f t="shared" si="3"/>
        <v/>
      </c>
    </row>
    <row r="3538" ht="15.75" customHeight="1">
      <c r="B3538" s="77">
        <f t="shared" si="1"/>
        <v>0</v>
      </c>
      <c r="C3538" s="67"/>
      <c r="D3538" s="78"/>
      <c r="E3538" s="101"/>
      <c r="F3538" s="108"/>
      <c r="G3538" s="120"/>
      <c r="H3538" s="101"/>
      <c r="I3538" s="93"/>
      <c r="J3538" s="91"/>
      <c r="L3538" s="94" t="str">
        <f t="shared" si="2"/>
        <v>No infirmation</v>
      </c>
      <c r="M3538" s="94" t="str">
        <f t="shared" si="3"/>
        <v/>
      </c>
    </row>
    <row r="3539" ht="15.75" customHeight="1">
      <c r="B3539" s="77">
        <f t="shared" si="1"/>
        <v>0</v>
      </c>
      <c r="C3539" s="67"/>
      <c r="D3539" s="78"/>
      <c r="E3539" s="101"/>
      <c r="F3539" s="108"/>
      <c r="G3539" s="120"/>
      <c r="H3539" s="101"/>
      <c r="I3539" s="93"/>
      <c r="J3539" s="91"/>
      <c r="L3539" s="94" t="str">
        <f t="shared" si="2"/>
        <v>No infirmation</v>
      </c>
      <c r="M3539" s="94" t="str">
        <f t="shared" si="3"/>
        <v/>
      </c>
    </row>
    <row r="3540" ht="15.75" customHeight="1">
      <c r="B3540" s="77">
        <f t="shared" si="1"/>
        <v>0</v>
      </c>
      <c r="C3540" s="67"/>
      <c r="D3540" s="78"/>
      <c r="E3540" s="101"/>
      <c r="F3540" s="108"/>
      <c r="G3540" s="120"/>
      <c r="H3540" s="101"/>
      <c r="I3540" s="93"/>
      <c r="J3540" s="91"/>
      <c r="L3540" s="94" t="str">
        <f t="shared" si="2"/>
        <v>No infirmation</v>
      </c>
      <c r="M3540" s="94" t="str">
        <f t="shared" si="3"/>
        <v/>
      </c>
    </row>
    <row r="3541" ht="15.75" customHeight="1">
      <c r="B3541" s="77">
        <f t="shared" si="1"/>
        <v>0</v>
      </c>
      <c r="C3541" s="67"/>
      <c r="D3541" s="78"/>
      <c r="E3541" s="101"/>
      <c r="F3541" s="108"/>
      <c r="G3541" s="120"/>
      <c r="H3541" s="101"/>
      <c r="I3541" s="93"/>
      <c r="J3541" s="91"/>
      <c r="L3541" s="94" t="str">
        <f t="shared" si="2"/>
        <v>No infirmation</v>
      </c>
      <c r="M3541" s="94" t="str">
        <f t="shared" si="3"/>
        <v/>
      </c>
    </row>
    <row r="3542" ht="15.75" customHeight="1">
      <c r="B3542" s="77">
        <f t="shared" si="1"/>
        <v>0</v>
      </c>
      <c r="C3542" s="67"/>
      <c r="D3542" s="78"/>
      <c r="E3542" s="101"/>
      <c r="F3542" s="108"/>
      <c r="G3542" s="120"/>
      <c r="H3542" s="101"/>
      <c r="I3542" s="93"/>
      <c r="J3542" s="91"/>
      <c r="L3542" s="94" t="str">
        <f t="shared" si="2"/>
        <v>No infirmation</v>
      </c>
      <c r="M3542" s="94" t="str">
        <f t="shared" si="3"/>
        <v/>
      </c>
    </row>
    <row r="3543" ht="15.75" customHeight="1">
      <c r="B3543" s="77">
        <f t="shared" si="1"/>
        <v>0</v>
      </c>
      <c r="C3543" s="67"/>
      <c r="D3543" s="78"/>
      <c r="E3543" s="101"/>
      <c r="F3543" s="108"/>
      <c r="G3543" s="120"/>
      <c r="H3543" s="101"/>
      <c r="I3543" s="93"/>
      <c r="J3543" s="91"/>
      <c r="L3543" s="94" t="str">
        <f t="shared" si="2"/>
        <v>No infirmation</v>
      </c>
      <c r="M3543" s="94" t="str">
        <f t="shared" si="3"/>
        <v/>
      </c>
    </row>
    <row r="3544" ht="15.75" customHeight="1">
      <c r="B3544" s="77">
        <f t="shared" si="1"/>
        <v>0</v>
      </c>
      <c r="C3544" s="67"/>
      <c r="D3544" s="78"/>
      <c r="E3544" s="101"/>
      <c r="F3544" s="108"/>
      <c r="G3544" s="120"/>
      <c r="H3544" s="101"/>
      <c r="I3544" s="93"/>
      <c r="J3544" s="91"/>
      <c r="L3544" s="94" t="str">
        <f t="shared" si="2"/>
        <v>No infirmation</v>
      </c>
      <c r="M3544" s="94" t="str">
        <f t="shared" si="3"/>
        <v/>
      </c>
    </row>
    <row r="3545" ht="15.75" customHeight="1">
      <c r="B3545" s="77">
        <f t="shared" si="1"/>
        <v>0</v>
      </c>
      <c r="C3545" s="67"/>
      <c r="D3545" s="78"/>
      <c r="E3545" s="101"/>
      <c r="F3545" s="108"/>
      <c r="G3545" s="120"/>
      <c r="H3545" s="101"/>
      <c r="I3545" s="93"/>
      <c r="J3545" s="91"/>
      <c r="L3545" s="94" t="str">
        <f t="shared" si="2"/>
        <v>No infirmation</v>
      </c>
      <c r="M3545" s="94" t="str">
        <f t="shared" si="3"/>
        <v/>
      </c>
    </row>
    <row r="3546" ht="15.75" customHeight="1">
      <c r="B3546" s="77">
        <f t="shared" si="1"/>
        <v>0</v>
      </c>
      <c r="C3546" s="67"/>
      <c r="D3546" s="78"/>
      <c r="E3546" s="101"/>
      <c r="F3546" s="108"/>
      <c r="G3546" s="120"/>
      <c r="H3546" s="101"/>
      <c r="I3546" s="93"/>
      <c r="J3546" s="91"/>
      <c r="L3546" s="94" t="str">
        <f t="shared" si="2"/>
        <v>No infirmation</v>
      </c>
      <c r="M3546" s="94" t="str">
        <f t="shared" si="3"/>
        <v/>
      </c>
    </row>
    <row r="3547" ht="15.75" customHeight="1">
      <c r="B3547" s="77">
        <f t="shared" si="1"/>
        <v>0</v>
      </c>
      <c r="C3547" s="67"/>
      <c r="D3547" s="78"/>
      <c r="E3547" s="101"/>
      <c r="F3547" s="108"/>
      <c r="G3547" s="120"/>
      <c r="H3547" s="101"/>
      <c r="I3547" s="93"/>
      <c r="J3547" s="91"/>
      <c r="L3547" s="94" t="str">
        <f t="shared" si="2"/>
        <v>No infirmation</v>
      </c>
      <c r="M3547" s="94" t="str">
        <f t="shared" si="3"/>
        <v/>
      </c>
    </row>
    <row r="3548" ht="15.75" customHeight="1">
      <c r="B3548" s="77">
        <f t="shared" si="1"/>
        <v>0</v>
      </c>
      <c r="C3548" s="67"/>
      <c r="D3548" s="78"/>
      <c r="E3548" s="101"/>
      <c r="F3548" s="108"/>
      <c r="G3548" s="120"/>
      <c r="H3548" s="101"/>
      <c r="I3548" s="93"/>
      <c r="J3548" s="91"/>
      <c r="L3548" s="94" t="str">
        <f t="shared" si="2"/>
        <v>No infirmation</v>
      </c>
      <c r="M3548" s="94" t="str">
        <f t="shared" si="3"/>
        <v/>
      </c>
    </row>
    <row r="3549" ht="15.75" customHeight="1">
      <c r="B3549" s="77">
        <f t="shared" si="1"/>
        <v>0</v>
      </c>
      <c r="C3549" s="67"/>
      <c r="D3549" s="78"/>
      <c r="E3549" s="101"/>
      <c r="F3549" s="108"/>
      <c r="G3549" s="120"/>
      <c r="H3549" s="101"/>
      <c r="I3549" s="93"/>
      <c r="J3549" s="91"/>
      <c r="L3549" s="94" t="str">
        <f t="shared" si="2"/>
        <v>No infirmation</v>
      </c>
      <c r="M3549" s="94" t="str">
        <f t="shared" si="3"/>
        <v/>
      </c>
    </row>
    <row r="3550" ht="15.75" customHeight="1">
      <c r="B3550" s="77">
        <f t="shared" si="1"/>
        <v>0</v>
      </c>
      <c r="C3550" s="67"/>
      <c r="D3550" s="78"/>
      <c r="E3550" s="101"/>
      <c r="F3550" s="108"/>
      <c r="G3550" s="120"/>
      <c r="H3550" s="101"/>
      <c r="I3550" s="93"/>
      <c r="J3550" s="91"/>
      <c r="L3550" s="94" t="str">
        <f t="shared" si="2"/>
        <v>No infirmation</v>
      </c>
      <c r="M3550" s="94" t="str">
        <f t="shared" si="3"/>
        <v/>
      </c>
    </row>
    <row r="3551" ht="15.75" customHeight="1">
      <c r="B3551" s="77">
        <f t="shared" si="1"/>
        <v>0</v>
      </c>
      <c r="C3551" s="67"/>
      <c r="D3551" s="78"/>
      <c r="E3551" s="101"/>
      <c r="F3551" s="108"/>
      <c r="G3551" s="120"/>
      <c r="H3551" s="101"/>
      <c r="I3551" s="93"/>
      <c r="J3551" s="91"/>
      <c r="L3551" s="94" t="str">
        <f t="shared" si="2"/>
        <v>No infirmation</v>
      </c>
      <c r="M3551" s="94" t="str">
        <f t="shared" si="3"/>
        <v/>
      </c>
    </row>
    <row r="3552" ht="15.75" customHeight="1">
      <c r="B3552" s="77">
        <f t="shared" si="1"/>
        <v>0</v>
      </c>
      <c r="C3552" s="67"/>
      <c r="D3552" s="78"/>
      <c r="E3552" s="101"/>
      <c r="F3552" s="108"/>
      <c r="G3552" s="120"/>
      <c r="H3552" s="101"/>
      <c r="I3552" s="93"/>
      <c r="J3552" s="91"/>
      <c r="L3552" s="94" t="str">
        <f t="shared" si="2"/>
        <v>No infirmation</v>
      </c>
      <c r="M3552" s="94" t="str">
        <f t="shared" si="3"/>
        <v/>
      </c>
    </row>
    <row r="3553" ht="15.75" customHeight="1">
      <c r="B3553" s="77">
        <f t="shared" si="1"/>
        <v>0</v>
      </c>
      <c r="C3553" s="67"/>
      <c r="D3553" s="78"/>
      <c r="E3553" s="101"/>
      <c r="F3553" s="108"/>
      <c r="G3553" s="120"/>
      <c r="H3553" s="101"/>
      <c r="I3553" s="93"/>
      <c r="J3553" s="91"/>
      <c r="L3553" s="94" t="str">
        <f t="shared" si="2"/>
        <v>No infirmation</v>
      </c>
      <c r="M3553" s="94" t="str">
        <f t="shared" si="3"/>
        <v/>
      </c>
    </row>
    <row r="3554" ht="15.75" customHeight="1">
      <c r="B3554" s="77">
        <f t="shared" si="1"/>
        <v>0</v>
      </c>
      <c r="C3554" s="67"/>
      <c r="D3554" s="78"/>
      <c r="E3554" s="101"/>
      <c r="F3554" s="108"/>
      <c r="G3554" s="120"/>
      <c r="H3554" s="101"/>
      <c r="I3554" s="93"/>
      <c r="J3554" s="91"/>
      <c r="L3554" s="94" t="str">
        <f t="shared" si="2"/>
        <v>No infirmation</v>
      </c>
      <c r="M3554" s="94" t="str">
        <f t="shared" si="3"/>
        <v/>
      </c>
    </row>
    <row r="3555" ht="15.75" customHeight="1">
      <c r="B3555" s="77">
        <f t="shared" si="1"/>
        <v>0</v>
      </c>
      <c r="C3555" s="67"/>
      <c r="D3555" s="78"/>
      <c r="E3555" s="101"/>
      <c r="F3555" s="108"/>
      <c r="G3555" s="120"/>
      <c r="H3555" s="101"/>
      <c r="I3555" s="93"/>
      <c r="J3555" s="91"/>
      <c r="L3555" s="94" t="str">
        <f t="shared" si="2"/>
        <v>No infirmation</v>
      </c>
      <c r="M3555" s="94" t="str">
        <f t="shared" si="3"/>
        <v/>
      </c>
    </row>
    <row r="3556" ht="15.75" customHeight="1">
      <c r="B3556" s="77">
        <f t="shared" si="1"/>
        <v>0</v>
      </c>
      <c r="C3556" s="67"/>
      <c r="D3556" s="78"/>
      <c r="E3556" s="101"/>
      <c r="F3556" s="108"/>
      <c r="G3556" s="120"/>
      <c r="H3556" s="101"/>
      <c r="I3556" s="93"/>
      <c r="J3556" s="91"/>
      <c r="L3556" s="94" t="str">
        <f t="shared" si="2"/>
        <v>No infirmation</v>
      </c>
      <c r="M3556" s="94" t="str">
        <f t="shared" si="3"/>
        <v/>
      </c>
    </row>
    <row r="3557" ht="15.75" customHeight="1">
      <c r="B3557" s="77">
        <f t="shared" si="1"/>
        <v>0</v>
      </c>
      <c r="C3557" s="67"/>
      <c r="D3557" s="78"/>
      <c r="E3557" s="101"/>
      <c r="F3557" s="108"/>
      <c r="G3557" s="120"/>
      <c r="H3557" s="101"/>
      <c r="I3557" s="93"/>
      <c r="J3557" s="91"/>
      <c r="L3557" s="94" t="str">
        <f t="shared" si="2"/>
        <v>No infirmation</v>
      </c>
      <c r="M3557" s="94" t="str">
        <f t="shared" si="3"/>
        <v/>
      </c>
    </row>
    <row r="3558" ht="15.75" customHeight="1">
      <c r="B3558" s="77">
        <f t="shared" si="1"/>
        <v>0</v>
      </c>
      <c r="C3558" s="67"/>
      <c r="D3558" s="78"/>
      <c r="E3558" s="101"/>
      <c r="F3558" s="108"/>
      <c r="G3558" s="120"/>
      <c r="H3558" s="101"/>
      <c r="I3558" s="93"/>
      <c r="J3558" s="91"/>
      <c r="L3558" s="94" t="str">
        <f t="shared" si="2"/>
        <v>No infirmation</v>
      </c>
      <c r="M3558" s="94" t="str">
        <f t="shared" si="3"/>
        <v/>
      </c>
    </row>
    <row r="3559" ht="15.75" customHeight="1">
      <c r="B3559" s="77">
        <f t="shared" si="1"/>
        <v>0</v>
      </c>
      <c r="C3559" s="67"/>
      <c r="D3559" s="78"/>
      <c r="E3559" s="101"/>
      <c r="F3559" s="108"/>
      <c r="G3559" s="120"/>
      <c r="H3559" s="101"/>
      <c r="I3559" s="93"/>
      <c r="J3559" s="91"/>
      <c r="L3559" s="94" t="str">
        <f t="shared" si="2"/>
        <v>No infirmation</v>
      </c>
      <c r="M3559" s="94" t="str">
        <f t="shared" si="3"/>
        <v/>
      </c>
    </row>
    <row r="3560" ht="15.75" customHeight="1">
      <c r="B3560" s="77">
        <f t="shared" si="1"/>
        <v>0</v>
      </c>
      <c r="C3560" s="67"/>
      <c r="D3560" s="78"/>
      <c r="E3560" s="101"/>
      <c r="F3560" s="108"/>
      <c r="G3560" s="120"/>
      <c r="H3560" s="101"/>
      <c r="I3560" s="93"/>
      <c r="J3560" s="91"/>
      <c r="L3560" s="94" t="str">
        <f t="shared" si="2"/>
        <v>No infirmation</v>
      </c>
      <c r="M3560" s="94" t="str">
        <f t="shared" si="3"/>
        <v/>
      </c>
    </row>
    <row r="3561" ht="15.75" customHeight="1">
      <c r="B3561" s="77">
        <f t="shared" si="1"/>
        <v>0</v>
      </c>
      <c r="C3561" s="67"/>
      <c r="D3561" s="78"/>
      <c r="E3561" s="101"/>
      <c r="F3561" s="108"/>
      <c r="G3561" s="120"/>
      <c r="H3561" s="101"/>
      <c r="I3561" s="93"/>
      <c r="J3561" s="91"/>
      <c r="L3561" s="94" t="str">
        <f t="shared" si="2"/>
        <v>No infirmation</v>
      </c>
      <c r="M3561" s="94" t="str">
        <f t="shared" si="3"/>
        <v/>
      </c>
    </row>
    <row r="3562" ht="15.75" customHeight="1">
      <c r="B3562" s="77">
        <f t="shared" si="1"/>
        <v>0</v>
      </c>
      <c r="C3562" s="67"/>
      <c r="D3562" s="78"/>
      <c r="E3562" s="101"/>
      <c r="F3562" s="108"/>
      <c r="G3562" s="120"/>
      <c r="H3562" s="101"/>
      <c r="I3562" s="93"/>
      <c r="J3562" s="91"/>
      <c r="L3562" s="94" t="str">
        <f t="shared" si="2"/>
        <v>No infirmation</v>
      </c>
      <c r="M3562" s="94" t="str">
        <f t="shared" si="3"/>
        <v/>
      </c>
    </row>
    <row r="3563" ht="15.75" customHeight="1">
      <c r="B3563" s="77">
        <f t="shared" si="1"/>
        <v>0</v>
      </c>
      <c r="C3563" s="67"/>
      <c r="D3563" s="78"/>
      <c r="E3563" s="101"/>
      <c r="F3563" s="108"/>
      <c r="G3563" s="120"/>
      <c r="H3563" s="101"/>
      <c r="I3563" s="93"/>
      <c r="J3563" s="91"/>
      <c r="L3563" s="94" t="str">
        <f t="shared" si="2"/>
        <v>No infirmation</v>
      </c>
      <c r="M3563" s="94" t="str">
        <f t="shared" si="3"/>
        <v/>
      </c>
    </row>
    <row r="3564" ht="15.75" customHeight="1">
      <c r="B3564" s="77">
        <f t="shared" si="1"/>
        <v>0</v>
      </c>
      <c r="C3564" s="67"/>
      <c r="D3564" s="78"/>
      <c r="E3564" s="101"/>
      <c r="F3564" s="108"/>
      <c r="G3564" s="120"/>
      <c r="H3564" s="101"/>
      <c r="I3564" s="93"/>
      <c r="J3564" s="91"/>
      <c r="L3564" s="94" t="str">
        <f t="shared" si="2"/>
        <v>No infirmation</v>
      </c>
      <c r="M3564" s="94" t="str">
        <f t="shared" si="3"/>
        <v/>
      </c>
    </row>
    <row r="3565" ht="15.75" customHeight="1">
      <c r="B3565" s="77">
        <f t="shared" si="1"/>
        <v>0</v>
      </c>
      <c r="C3565" s="67"/>
      <c r="D3565" s="78"/>
      <c r="E3565" s="101"/>
      <c r="F3565" s="108"/>
      <c r="G3565" s="120"/>
      <c r="H3565" s="101"/>
      <c r="I3565" s="93"/>
      <c r="J3565" s="91"/>
      <c r="L3565" s="94" t="str">
        <f t="shared" si="2"/>
        <v>No infirmation</v>
      </c>
      <c r="M3565" s="94" t="str">
        <f t="shared" si="3"/>
        <v/>
      </c>
    </row>
    <row r="3566" ht="15.75" customHeight="1">
      <c r="B3566" s="77">
        <f t="shared" si="1"/>
        <v>0</v>
      </c>
      <c r="C3566" s="67"/>
      <c r="D3566" s="78"/>
      <c r="E3566" s="101"/>
      <c r="F3566" s="108"/>
      <c r="G3566" s="120"/>
      <c r="H3566" s="101"/>
      <c r="I3566" s="93"/>
      <c r="J3566" s="91"/>
      <c r="L3566" s="94" t="str">
        <f t="shared" si="2"/>
        <v>No infirmation</v>
      </c>
      <c r="M3566" s="94" t="str">
        <f t="shared" si="3"/>
        <v/>
      </c>
    </row>
    <row r="3567" ht="15.75" customHeight="1">
      <c r="B3567" s="77">
        <f t="shared" si="1"/>
        <v>0</v>
      </c>
      <c r="C3567" s="67"/>
      <c r="D3567" s="78"/>
      <c r="E3567" s="101"/>
      <c r="F3567" s="108"/>
      <c r="G3567" s="120"/>
      <c r="H3567" s="101"/>
      <c r="I3567" s="93"/>
      <c r="J3567" s="91"/>
      <c r="L3567" s="94" t="str">
        <f t="shared" si="2"/>
        <v>No infirmation</v>
      </c>
      <c r="M3567" s="94" t="str">
        <f t="shared" si="3"/>
        <v/>
      </c>
    </row>
    <row r="3568" ht="15.75" customHeight="1">
      <c r="B3568" s="77">
        <f t="shared" si="1"/>
        <v>0</v>
      </c>
      <c r="C3568" s="67"/>
      <c r="D3568" s="78"/>
      <c r="E3568" s="101"/>
      <c r="F3568" s="108"/>
      <c r="G3568" s="120"/>
      <c r="H3568" s="101"/>
      <c r="I3568" s="93"/>
      <c r="J3568" s="91"/>
      <c r="L3568" s="94" t="str">
        <f t="shared" si="2"/>
        <v>No infirmation</v>
      </c>
      <c r="M3568" s="94" t="str">
        <f t="shared" si="3"/>
        <v/>
      </c>
    </row>
    <row r="3569" ht="15.75" customHeight="1">
      <c r="B3569" s="77">
        <f t="shared" si="1"/>
        <v>0</v>
      </c>
      <c r="C3569" s="67"/>
      <c r="D3569" s="78"/>
      <c r="E3569" s="101"/>
      <c r="F3569" s="108"/>
      <c r="G3569" s="120"/>
      <c r="H3569" s="101"/>
      <c r="I3569" s="93"/>
      <c r="J3569" s="91"/>
      <c r="L3569" s="94" t="str">
        <f t="shared" si="2"/>
        <v>No infirmation</v>
      </c>
      <c r="M3569" s="94" t="str">
        <f t="shared" si="3"/>
        <v/>
      </c>
    </row>
    <row r="3570" ht="15.75" customHeight="1">
      <c r="B3570" s="77">
        <f t="shared" si="1"/>
        <v>0</v>
      </c>
      <c r="C3570" s="67"/>
      <c r="D3570" s="78"/>
      <c r="E3570" s="101"/>
      <c r="F3570" s="108"/>
      <c r="G3570" s="120"/>
      <c r="H3570" s="101"/>
      <c r="I3570" s="93"/>
      <c r="J3570" s="91"/>
      <c r="L3570" s="94" t="str">
        <f t="shared" si="2"/>
        <v>No infirmation</v>
      </c>
      <c r="M3570" s="94" t="str">
        <f t="shared" si="3"/>
        <v/>
      </c>
    </row>
    <row r="3571" ht="15.75" customHeight="1">
      <c r="B3571" s="77">
        <f t="shared" si="1"/>
        <v>0</v>
      </c>
      <c r="C3571" s="67"/>
      <c r="D3571" s="78"/>
      <c r="E3571" s="101"/>
      <c r="F3571" s="108"/>
      <c r="G3571" s="120"/>
      <c r="H3571" s="101"/>
      <c r="I3571" s="93"/>
      <c r="J3571" s="91"/>
      <c r="L3571" s="94" t="str">
        <f t="shared" si="2"/>
        <v>No infirmation</v>
      </c>
      <c r="M3571" s="94" t="str">
        <f t="shared" si="3"/>
        <v/>
      </c>
    </row>
    <row r="3572" ht="15.75" customHeight="1">
      <c r="B3572" s="77">
        <f t="shared" si="1"/>
        <v>0</v>
      </c>
      <c r="C3572" s="67"/>
      <c r="D3572" s="78"/>
      <c r="E3572" s="101"/>
      <c r="F3572" s="108"/>
      <c r="G3572" s="120"/>
      <c r="H3572" s="101"/>
      <c r="I3572" s="93"/>
      <c r="J3572" s="91"/>
      <c r="L3572" s="94" t="str">
        <f t="shared" si="2"/>
        <v>No infirmation</v>
      </c>
      <c r="M3572" s="94" t="str">
        <f t="shared" si="3"/>
        <v/>
      </c>
    </row>
    <row r="3573" ht="15.75" customHeight="1">
      <c r="B3573" s="77">
        <f t="shared" si="1"/>
        <v>0</v>
      </c>
      <c r="C3573" s="67"/>
      <c r="D3573" s="78"/>
      <c r="E3573" s="101"/>
      <c r="F3573" s="108"/>
      <c r="G3573" s="120"/>
      <c r="H3573" s="101"/>
      <c r="I3573" s="93"/>
      <c r="J3573" s="91"/>
      <c r="L3573" s="94" t="str">
        <f t="shared" si="2"/>
        <v>No infirmation</v>
      </c>
      <c r="M3573" s="94" t="str">
        <f t="shared" si="3"/>
        <v/>
      </c>
    </row>
    <row r="3574" ht="15.75" customHeight="1">
      <c r="B3574" s="77">
        <f t="shared" si="1"/>
        <v>0</v>
      </c>
      <c r="C3574" s="67"/>
      <c r="D3574" s="78"/>
      <c r="E3574" s="101"/>
      <c r="F3574" s="108"/>
      <c r="G3574" s="120"/>
      <c r="H3574" s="101"/>
      <c r="I3574" s="93"/>
      <c r="J3574" s="91"/>
      <c r="L3574" s="94" t="str">
        <f t="shared" si="2"/>
        <v>No infirmation</v>
      </c>
      <c r="M3574" s="94" t="str">
        <f t="shared" si="3"/>
        <v/>
      </c>
    </row>
    <row r="3575" ht="15.75" customHeight="1">
      <c r="B3575" s="77">
        <f t="shared" si="1"/>
        <v>0</v>
      </c>
      <c r="C3575" s="67"/>
      <c r="D3575" s="78"/>
      <c r="E3575" s="101"/>
      <c r="F3575" s="108"/>
      <c r="G3575" s="120"/>
      <c r="H3575" s="101"/>
      <c r="I3575" s="93"/>
      <c r="J3575" s="91"/>
      <c r="L3575" s="94" t="str">
        <f t="shared" si="2"/>
        <v>No infirmation</v>
      </c>
      <c r="M3575" s="94" t="str">
        <f t="shared" si="3"/>
        <v/>
      </c>
    </row>
    <row r="3576" ht="15.75" customHeight="1">
      <c r="B3576" s="77">
        <f t="shared" si="1"/>
        <v>0</v>
      </c>
      <c r="C3576" s="67"/>
      <c r="D3576" s="78"/>
      <c r="E3576" s="101"/>
      <c r="F3576" s="108"/>
      <c r="G3576" s="120"/>
      <c r="H3576" s="101"/>
      <c r="I3576" s="93"/>
      <c r="J3576" s="91"/>
      <c r="L3576" s="94" t="str">
        <f t="shared" si="2"/>
        <v>No infirmation</v>
      </c>
      <c r="M3576" s="94" t="str">
        <f t="shared" si="3"/>
        <v/>
      </c>
    </row>
    <row r="3577" ht="15.75" customHeight="1">
      <c r="B3577" s="77">
        <f t="shared" si="1"/>
        <v>0</v>
      </c>
      <c r="C3577" s="67"/>
      <c r="D3577" s="78"/>
      <c r="E3577" s="101"/>
      <c r="F3577" s="108"/>
      <c r="G3577" s="120"/>
      <c r="H3577" s="101"/>
      <c r="I3577" s="93"/>
      <c r="J3577" s="91"/>
      <c r="L3577" s="94" t="str">
        <f t="shared" si="2"/>
        <v>No infirmation</v>
      </c>
      <c r="M3577" s="94" t="str">
        <f t="shared" si="3"/>
        <v/>
      </c>
    </row>
    <row r="3578" ht="15.75" customHeight="1">
      <c r="B3578" s="77">
        <f t="shared" si="1"/>
        <v>0</v>
      </c>
      <c r="C3578" s="67"/>
      <c r="D3578" s="78"/>
      <c r="E3578" s="101"/>
      <c r="F3578" s="108"/>
      <c r="G3578" s="120"/>
      <c r="H3578" s="101"/>
      <c r="I3578" s="93"/>
      <c r="J3578" s="91"/>
      <c r="L3578" s="94" t="str">
        <f t="shared" si="2"/>
        <v>No infirmation</v>
      </c>
      <c r="M3578" s="94" t="str">
        <f t="shared" si="3"/>
        <v/>
      </c>
    </row>
    <row r="3579" ht="15.75" customHeight="1">
      <c r="B3579" s="77">
        <f t="shared" si="1"/>
        <v>0</v>
      </c>
      <c r="C3579" s="67"/>
      <c r="D3579" s="78"/>
      <c r="E3579" s="101"/>
      <c r="F3579" s="108"/>
      <c r="G3579" s="120"/>
      <c r="H3579" s="101"/>
      <c r="I3579" s="93"/>
      <c r="J3579" s="91"/>
      <c r="L3579" s="94" t="str">
        <f t="shared" si="2"/>
        <v>No infirmation</v>
      </c>
      <c r="M3579" s="94" t="str">
        <f t="shared" si="3"/>
        <v/>
      </c>
    </row>
    <row r="3580" ht="15.75" customHeight="1">
      <c r="B3580" s="77">
        <f t="shared" si="1"/>
        <v>0</v>
      </c>
      <c r="C3580" s="67"/>
      <c r="D3580" s="78"/>
      <c r="E3580" s="101"/>
      <c r="F3580" s="108"/>
      <c r="G3580" s="120"/>
      <c r="H3580" s="101"/>
      <c r="I3580" s="93"/>
      <c r="J3580" s="91"/>
      <c r="L3580" s="94" t="str">
        <f t="shared" si="2"/>
        <v>No infirmation</v>
      </c>
      <c r="M3580" s="94" t="str">
        <f t="shared" si="3"/>
        <v/>
      </c>
    </row>
    <row r="3581" ht="15.75" customHeight="1">
      <c r="B3581" s="77">
        <f t="shared" si="1"/>
        <v>0</v>
      </c>
      <c r="C3581" s="67"/>
      <c r="D3581" s="78"/>
      <c r="E3581" s="101"/>
      <c r="F3581" s="108"/>
      <c r="G3581" s="120"/>
      <c r="H3581" s="101"/>
      <c r="I3581" s="93"/>
      <c r="J3581" s="91"/>
      <c r="L3581" s="94" t="str">
        <f t="shared" si="2"/>
        <v>No infirmation</v>
      </c>
      <c r="M3581" s="94" t="str">
        <f t="shared" si="3"/>
        <v/>
      </c>
    </row>
    <row r="3582" ht="15.75" customHeight="1">
      <c r="B3582" s="77">
        <f t="shared" si="1"/>
        <v>0</v>
      </c>
      <c r="C3582" s="67"/>
      <c r="D3582" s="78"/>
      <c r="E3582" s="101"/>
      <c r="F3582" s="108"/>
      <c r="G3582" s="120"/>
      <c r="H3582" s="101"/>
      <c r="I3582" s="93"/>
      <c r="J3582" s="91"/>
      <c r="L3582" s="94" t="str">
        <f t="shared" si="2"/>
        <v>No infirmation</v>
      </c>
      <c r="M3582" s="94" t="str">
        <f t="shared" si="3"/>
        <v/>
      </c>
    </row>
    <row r="3583" ht="15.75" customHeight="1">
      <c r="B3583" s="77">
        <f t="shared" si="1"/>
        <v>0</v>
      </c>
      <c r="C3583" s="67"/>
      <c r="D3583" s="78"/>
      <c r="E3583" s="101"/>
      <c r="F3583" s="108"/>
      <c r="G3583" s="120"/>
      <c r="H3583" s="101"/>
      <c r="I3583" s="93"/>
      <c r="J3583" s="91"/>
      <c r="L3583" s="94" t="str">
        <f t="shared" si="2"/>
        <v>No infirmation</v>
      </c>
      <c r="M3583" s="94" t="str">
        <f t="shared" si="3"/>
        <v/>
      </c>
    </row>
    <row r="3584" ht="15.75" customHeight="1">
      <c r="B3584" s="77">
        <f t="shared" si="1"/>
        <v>0</v>
      </c>
      <c r="C3584" s="67"/>
      <c r="D3584" s="78"/>
      <c r="E3584" s="101"/>
      <c r="F3584" s="108"/>
      <c r="G3584" s="120"/>
      <c r="H3584" s="101"/>
      <c r="I3584" s="93"/>
      <c r="J3584" s="91"/>
      <c r="L3584" s="94" t="str">
        <f t="shared" si="2"/>
        <v>No infirmation</v>
      </c>
      <c r="M3584" s="94" t="str">
        <f t="shared" si="3"/>
        <v/>
      </c>
    </row>
    <row r="3585" ht="15.75" customHeight="1">
      <c r="B3585" s="77">
        <f t="shared" si="1"/>
        <v>0</v>
      </c>
      <c r="C3585" s="67"/>
      <c r="D3585" s="78"/>
      <c r="E3585" s="101"/>
      <c r="F3585" s="108"/>
      <c r="G3585" s="120"/>
      <c r="H3585" s="101"/>
      <c r="I3585" s="93"/>
      <c r="J3585" s="91"/>
      <c r="L3585" s="94" t="str">
        <f t="shared" si="2"/>
        <v>No infirmation</v>
      </c>
      <c r="M3585" s="94" t="str">
        <f t="shared" si="3"/>
        <v/>
      </c>
    </row>
    <row r="3586" ht="15.75" customHeight="1">
      <c r="B3586" s="77">
        <f t="shared" si="1"/>
        <v>0</v>
      </c>
      <c r="C3586" s="67"/>
      <c r="D3586" s="78"/>
      <c r="E3586" s="101"/>
      <c r="F3586" s="108"/>
      <c r="G3586" s="120"/>
      <c r="H3586" s="101"/>
      <c r="I3586" s="93"/>
      <c r="J3586" s="91"/>
      <c r="L3586" s="94" t="str">
        <f t="shared" si="2"/>
        <v>No infirmation</v>
      </c>
      <c r="M3586" s="94" t="str">
        <f t="shared" si="3"/>
        <v/>
      </c>
    </row>
    <row r="3587" ht="15.75" customHeight="1">
      <c r="B3587" s="77">
        <f t="shared" si="1"/>
        <v>0</v>
      </c>
      <c r="C3587" s="67"/>
      <c r="D3587" s="78"/>
      <c r="E3587" s="101"/>
      <c r="F3587" s="108"/>
      <c r="G3587" s="120"/>
      <c r="H3587" s="101"/>
      <c r="I3587" s="93"/>
      <c r="J3587" s="91"/>
      <c r="L3587" s="94" t="str">
        <f t="shared" si="2"/>
        <v>No infirmation</v>
      </c>
      <c r="M3587" s="94" t="str">
        <f t="shared" si="3"/>
        <v/>
      </c>
    </row>
    <row r="3588" ht="15.75" customHeight="1">
      <c r="B3588" s="77">
        <f t="shared" si="1"/>
        <v>0</v>
      </c>
      <c r="C3588" s="67"/>
      <c r="D3588" s="78"/>
      <c r="E3588" s="101"/>
      <c r="F3588" s="108"/>
      <c r="G3588" s="120"/>
      <c r="H3588" s="101"/>
      <c r="I3588" s="93"/>
      <c r="J3588" s="91"/>
      <c r="L3588" s="94" t="str">
        <f t="shared" si="2"/>
        <v>No infirmation</v>
      </c>
      <c r="M3588" s="94" t="str">
        <f t="shared" si="3"/>
        <v/>
      </c>
    </row>
    <row r="3589" ht="15.75" customHeight="1">
      <c r="B3589" s="77">
        <f t="shared" si="1"/>
        <v>0</v>
      </c>
      <c r="C3589" s="67"/>
      <c r="D3589" s="78"/>
      <c r="E3589" s="101"/>
      <c r="F3589" s="108"/>
      <c r="G3589" s="120"/>
      <c r="H3589" s="101"/>
      <c r="I3589" s="93"/>
      <c r="J3589" s="91"/>
      <c r="L3589" s="94" t="str">
        <f t="shared" si="2"/>
        <v>No infirmation</v>
      </c>
      <c r="M3589" s="94" t="str">
        <f t="shared" si="3"/>
        <v/>
      </c>
    </row>
    <row r="3590" ht="15.75" customHeight="1">
      <c r="B3590" s="77">
        <f t="shared" si="1"/>
        <v>0</v>
      </c>
      <c r="C3590" s="67"/>
      <c r="D3590" s="78"/>
      <c r="E3590" s="101"/>
      <c r="F3590" s="108"/>
      <c r="G3590" s="120"/>
      <c r="H3590" s="101"/>
      <c r="I3590" s="93"/>
      <c r="J3590" s="91"/>
      <c r="L3590" s="94" t="str">
        <f t="shared" si="2"/>
        <v>No infirmation</v>
      </c>
      <c r="M3590" s="94" t="str">
        <f t="shared" si="3"/>
        <v/>
      </c>
    </row>
    <row r="3591" ht="15.75" customHeight="1">
      <c r="B3591" s="77">
        <f t="shared" si="1"/>
        <v>0</v>
      </c>
      <c r="C3591" s="67"/>
      <c r="D3591" s="78"/>
      <c r="E3591" s="101"/>
      <c r="F3591" s="108"/>
      <c r="G3591" s="120"/>
      <c r="H3591" s="101"/>
      <c r="I3591" s="93"/>
      <c r="J3591" s="91"/>
      <c r="L3591" s="94" t="str">
        <f t="shared" si="2"/>
        <v>No infirmation</v>
      </c>
      <c r="M3591" s="94" t="str">
        <f t="shared" si="3"/>
        <v/>
      </c>
    </row>
    <row r="3592" ht="15.75" customHeight="1">
      <c r="B3592" s="77">
        <f t="shared" si="1"/>
        <v>0</v>
      </c>
      <c r="C3592" s="67"/>
      <c r="D3592" s="78"/>
      <c r="E3592" s="101"/>
      <c r="F3592" s="108"/>
      <c r="G3592" s="120"/>
      <c r="H3592" s="101"/>
      <c r="I3592" s="93"/>
      <c r="J3592" s="91"/>
      <c r="L3592" s="94" t="str">
        <f t="shared" si="2"/>
        <v>No infirmation</v>
      </c>
      <c r="M3592" s="94" t="str">
        <f t="shared" si="3"/>
        <v/>
      </c>
    </row>
    <row r="3593" ht="15.75" customHeight="1">
      <c r="B3593" s="77">
        <f t="shared" si="1"/>
        <v>0</v>
      </c>
      <c r="C3593" s="67"/>
      <c r="D3593" s="78"/>
      <c r="E3593" s="101"/>
      <c r="F3593" s="108"/>
      <c r="G3593" s="120"/>
      <c r="H3593" s="101"/>
      <c r="I3593" s="93"/>
      <c r="J3593" s="91"/>
      <c r="L3593" s="94" t="str">
        <f t="shared" si="2"/>
        <v>No infirmation</v>
      </c>
      <c r="M3593" s="94" t="str">
        <f t="shared" si="3"/>
        <v/>
      </c>
    </row>
    <row r="3594" ht="15.75" customHeight="1">
      <c r="B3594" s="77">
        <f t="shared" si="1"/>
        <v>0</v>
      </c>
      <c r="C3594" s="67"/>
      <c r="D3594" s="78"/>
      <c r="E3594" s="101"/>
      <c r="F3594" s="108"/>
      <c r="G3594" s="120"/>
      <c r="H3594" s="101"/>
      <c r="I3594" s="93"/>
      <c r="J3594" s="91"/>
      <c r="L3594" s="94" t="str">
        <f t="shared" si="2"/>
        <v>No infirmation</v>
      </c>
      <c r="M3594" s="94" t="str">
        <f t="shared" si="3"/>
        <v/>
      </c>
    </row>
    <row r="3595" ht="15.75" customHeight="1">
      <c r="B3595" s="77">
        <f t="shared" si="1"/>
        <v>0</v>
      </c>
      <c r="C3595" s="67"/>
      <c r="D3595" s="78"/>
      <c r="E3595" s="101"/>
      <c r="F3595" s="108"/>
      <c r="G3595" s="120"/>
      <c r="H3595" s="101"/>
      <c r="I3595" s="93"/>
      <c r="J3595" s="91"/>
      <c r="L3595" s="94" t="str">
        <f t="shared" si="2"/>
        <v>No infirmation</v>
      </c>
      <c r="M3595" s="94" t="str">
        <f t="shared" si="3"/>
        <v/>
      </c>
    </row>
    <row r="3596" ht="15.75" customHeight="1">
      <c r="B3596" s="77">
        <f t="shared" si="1"/>
        <v>0</v>
      </c>
      <c r="C3596" s="67"/>
      <c r="D3596" s="78"/>
      <c r="E3596" s="101"/>
      <c r="F3596" s="108"/>
      <c r="G3596" s="120"/>
      <c r="H3596" s="101"/>
      <c r="I3596" s="93"/>
      <c r="J3596" s="91"/>
      <c r="L3596" s="94" t="str">
        <f t="shared" si="2"/>
        <v>No infirmation</v>
      </c>
      <c r="M3596" s="94" t="str">
        <f t="shared" si="3"/>
        <v/>
      </c>
    </row>
    <row r="3597" ht="15.75" customHeight="1">
      <c r="B3597" s="77">
        <f t="shared" si="1"/>
        <v>0</v>
      </c>
      <c r="C3597" s="67"/>
      <c r="D3597" s="78"/>
      <c r="E3597" s="101"/>
      <c r="F3597" s="108"/>
      <c r="G3597" s="120"/>
      <c r="H3597" s="101"/>
      <c r="I3597" s="93"/>
      <c r="J3597" s="91"/>
      <c r="L3597" s="94" t="str">
        <f t="shared" si="2"/>
        <v>No infirmation</v>
      </c>
      <c r="M3597" s="94" t="str">
        <f t="shared" si="3"/>
        <v/>
      </c>
    </row>
    <row r="3598" ht="15.75" customHeight="1">
      <c r="B3598" s="77">
        <f t="shared" si="1"/>
        <v>0</v>
      </c>
      <c r="C3598" s="67"/>
      <c r="D3598" s="78"/>
      <c r="E3598" s="101"/>
      <c r="F3598" s="108"/>
      <c r="G3598" s="120"/>
      <c r="H3598" s="101"/>
      <c r="I3598" s="93"/>
      <c r="J3598" s="91"/>
      <c r="L3598" s="94" t="str">
        <f t="shared" si="2"/>
        <v>No infirmation</v>
      </c>
      <c r="M3598" s="94" t="str">
        <f t="shared" si="3"/>
        <v/>
      </c>
    </row>
    <row r="3599" ht="15.75" customHeight="1">
      <c r="B3599" s="77">
        <f t="shared" si="1"/>
        <v>0</v>
      </c>
      <c r="C3599" s="67"/>
      <c r="D3599" s="78"/>
      <c r="E3599" s="101"/>
      <c r="F3599" s="108"/>
      <c r="G3599" s="120"/>
      <c r="H3599" s="101"/>
      <c r="I3599" s="93"/>
      <c r="J3599" s="91"/>
      <c r="L3599" s="94" t="str">
        <f t="shared" si="2"/>
        <v>No infirmation</v>
      </c>
      <c r="M3599" s="94" t="str">
        <f t="shared" si="3"/>
        <v/>
      </c>
    </row>
    <row r="3600" ht="15.75" customHeight="1">
      <c r="B3600" s="77">
        <f t="shared" si="1"/>
        <v>0</v>
      </c>
      <c r="C3600" s="67"/>
      <c r="D3600" s="78"/>
      <c r="E3600" s="101"/>
      <c r="F3600" s="108"/>
      <c r="G3600" s="120"/>
      <c r="H3600" s="101"/>
      <c r="I3600" s="93"/>
      <c r="J3600" s="91"/>
      <c r="L3600" s="94" t="str">
        <f t="shared" si="2"/>
        <v>No infirmation</v>
      </c>
      <c r="M3600" s="94" t="str">
        <f t="shared" si="3"/>
        <v/>
      </c>
    </row>
    <row r="3601" ht="15.75" customHeight="1">
      <c r="B3601" s="77">
        <f t="shared" si="1"/>
        <v>0</v>
      </c>
      <c r="C3601" s="67"/>
      <c r="D3601" s="78"/>
      <c r="E3601" s="101"/>
      <c r="F3601" s="108"/>
      <c r="G3601" s="120"/>
      <c r="H3601" s="101"/>
      <c r="I3601" s="93"/>
      <c r="J3601" s="91"/>
      <c r="L3601" s="94" t="str">
        <f t="shared" si="2"/>
        <v>No infirmation</v>
      </c>
      <c r="M3601" s="94" t="str">
        <f t="shared" si="3"/>
        <v/>
      </c>
    </row>
    <row r="3602" ht="15.75" customHeight="1">
      <c r="B3602" s="77">
        <f t="shared" si="1"/>
        <v>0</v>
      </c>
      <c r="C3602" s="67"/>
      <c r="D3602" s="78"/>
      <c r="E3602" s="101"/>
      <c r="F3602" s="108"/>
      <c r="G3602" s="120"/>
      <c r="H3602" s="101"/>
      <c r="I3602" s="93"/>
      <c r="J3602" s="91"/>
      <c r="L3602" s="94" t="str">
        <f t="shared" si="2"/>
        <v>No infirmation</v>
      </c>
      <c r="M3602" s="94" t="str">
        <f t="shared" si="3"/>
        <v/>
      </c>
    </row>
    <row r="3603" ht="15.75" customHeight="1">
      <c r="B3603" s="77">
        <f t="shared" si="1"/>
        <v>0</v>
      </c>
      <c r="C3603" s="67"/>
      <c r="D3603" s="78"/>
      <c r="E3603" s="101"/>
      <c r="F3603" s="108"/>
      <c r="G3603" s="120"/>
      <c r="H3603" s="101"/>
      <c r="I3603" s="93"/>
      <c r="J3603" s="91"/>
      <c r="L3603" s="94" t="str">
        <f t="shared" si="2"/>
        <v>No infirmation</v>
      </c>
      <c r="M3603" s="94" t="str">
        <f t="shared" si="3"/>
        <v/>
      </c>
    </row>
    <row r="3604" ht="15.75" customHeight="1">
      <c r="B3604" s="77">
        <f t="shared" si="1"/>
        <v>0</v>
      </c>
      <c r="C3604" s="67"/>
      <c r="D3604" s="78"/>
      <c r="E3604" s="101"/>
      <c r="F3604" s="108"/>
      <c r="G3604" s="120"/>
      <c r="H3604" s="101"/>
      <c r="I3604" s="93"/>
      <c r="J3604" s="91"/>
      <c r="L3604" s="94" t="str">
        <f t="shared" si="2"/>
        <v>No infirmation</v>
      </c>
      <c r="M3604" s="94" t="str">
        <f t="shared" si="3"/>
        <v/>
      </c>
    </row>
    <row r="3605" ht="15.75" customHeight="1">
      <c r="B3605" s="77">
        <f t="shared" si="1"/>
        <v>0</v>
      </c>
      <c r="C3605" s="67"/>
      <c r="D3605" s="78"/>
      <c r="E3605" s="101"/>
      <c r="F3605" s="108"/>
      <c r="G3605" s="120"/>
      <c r="H3605" s="101"/>
      <c r="I3605" s="93"/>
      <c r="J3605" s="91"/>
      <c r="L3605" s="94" t="str">
        <f t="shared" si="2"/>
        <v>No infirmation</v>
      </c>
      <c r="M3605" s="94" t="str">
        <f t="shared" si="3"/>
        <v/>
      </c>
    </row>
    <row r="3606" ht="15.75" customHeight="1">
      <c r="B3606" s="77">
        <f t="shared" si="1"/>
        <v>0</v>
      </c>
      <c r="C3606" s="67"/>
      <c r="D3606" s="78"/>
      <c r="E3606" s="101"/>
      <c r="F3606" s="108"/>
      <c r="G3606" s="120"/>
      <c r="H3606" s="101"/>
      <c r="I3606" s="93"/>
      <c r="J3606" s="91"/>
      <c r="L3606" s="94" t="str">
        <f t="shared" si="2"/>
        <v>No infirmation</v>
      </c>
      <c r="M3606" s="94" t="str">
        <f t="shared" si="3"/>
        <v/>
      </c>
    </row>
    <row r="3607" ht="15.75" customHeight="1">
      <c r="B3607" s="77">
        <f t="shared" si="1"/>
        <v>0</v>
      </c>
      <c r="C3607" s="67"/>
      <c r="D3607" s="78"/>
      <c r="E3607" s="101"/>
      <c r="F3607" s="108"/>
      <c r="G3607" s="120"/>
      <c r="H3607" s="101"/>
      <c r="I3607" s="93"/>
      <c r="J3607" s="91"/>
      <c r="L3607" s="94" t="str">
        <f t="shared" si="2"/>
        <v>No infirmation</v>
      </c>
      <c r="M3607" s="94" t="str">
        <f t="shared" si="3"/>
        <v/>
      </c>
    </row>
    <row r="3608" ht="15.75" customHeight="1">
      <c r="B3608" s="77">
        <f t="shared" si="1"/>
        <v>0</v>
      </c>
      <c r="C3608" s="67"/>
      <c r="D3608" s="78"/>
      <c r="E3608" s="101"/>
      <c r="F3608" s="108"/>
      <c r="G3608" s="120"/>
      <c r="H3608" s="101"/>
      <c r="I3608" s="93"/>
      <c r="J3608" s="91"/>
      <c r="L3608" s="94" t="str">
        <f t="shared" si="2"/>
        <v>No infirmation</v>
      </c>
      <c r="M3608" s="94" t="str">
        <f t="shared" si="3"/>
        <v/>
      </c>
    </row>
    <row r="3609" ht="15.75" customHeight="1">
      <c r="B3609" s="77">
        <f t="shared" si="1"/>
        <v>0</v>
      </c>
      <c r="C3609" s="67"/>
      <c r="D3609" s="78"/>
      <c r="E3609" s="101"/>
      <c r="F3609" s="108"/>
      <c r="G3609" s="120"/>
      <c r="H3609" s="101"/>
      <c r="I3609" s="93"/>
      <c r="J3609" s="91"/>
      <c r="L3609" s="94" t="str">
        <f t="shared" si="2"/>
        <v>No infirmation</v>
      </c>
      <c r="M3609" s="94" t="str">
        <f t="shared" si="3"/>
        <v/>
      </c>
    </row>
    <row r="3610" ht="15.75" customHeight="1">
      <c r="B3610" s="77">
        <f t="shared" si="1"/>
        <v>0</v>
      </c>
      <c r="C3610" s="67"/>
      <c r="D3610" s="78"/>
      <c r="E3610" s="101"/>
      <c r="F3610" s="108"/>
      <c r="G3610" s="120"/>
      <c r="H3610" s="101"/>
      <c r="I3610" s="93"/>
      <c r="J3610" s="91"/>
      <c r="L3610" s="94" t="str">
        <f t="shared" si="2"/>
        <v>No infirmation</v>
      </c>
      <c r="M3610" s="94" t="str">
        <f t="shared" si="3"/>
        <v/>
      </c>
    </row>
    <row r="3611" ht="15.75" customHeight="1">
      <c r="B3611" s="77">
        <f t="shared" si="1"/>
        <v>0</v>
      </c>
      <c r="C3611" s="67"/>
      <c r="D3611" s="78"/>
      <c r="E3611" s="101"/>
      <c r="F3611" s="108"/>
      <c r="G3611" s="120"/>
      <c r="H3611" s="101"/>
      <c r="I3611" s="93"/>
      <c r="J3611" s="91"/>
      <c r="L3611" s="94" t="str">
        <f t="shared" si="2"/>
        <v>No infirmation</v>
      </c>
      <c r="M3611" s="94" t="str">
        <f t="shared" si="3"/>
        <v/>
      </c>
    </row>
    <row r="3612" ht="15.75" customHeight="1">
      <c r="B3612" s="77">
        <f t="shared" si="1"/>
        <v>0</v>
      </c>
      <c r="C3612" s="67"/>
      <c r="D3612" s="78"/>
      <c r="E3612" s="101"/>
      <c r="F3612" s="108"/>
      <c r="G3612" s="120"/>
      <c r="H3612" s="101"/>
      <c r="I3612" s="93"/>
      <c r="J3612" s="91"/>
      <c r="L3612" s="94" t="str">
        <f t="shared" si="2"/>
        <v>No infirmation</v>
      </c>
      <c r="M3612" s="94" t="str">
        <f t="shared" si="3"/>
        <v/>
      </c>
    </row>
    <row r="3613" ht="15.75" customHeight="1">
      <c r="B3613" s="77">
        <f t="shared" si="1"/>
        <v>0</v>
      </c>
      <c r="C3613" s="67"/>
      <c r="D3613" s="78"/>
      <c r="E3613" s="101"/>
      <c r="F3613" s="108"/>
      <c r="G3613" s="120"/>
      <c r="H3613" s="101"/>
      <c r="I3613" s="93"/>
      <c r="J3613" s="91"/>
      <c r="L3613" s="94" t="str">
        <f t="shared" si="2"/>
        <v>No infirmation</v>
      </c>
      <c r="M3613" s="94" t="str">
        <f t="shared" si="3"/>
        <v/>
      </c>
    </row>
    <row r="3614" ht="15.75" customHeight="1">
      <c r="B3614" s="77">
        <f t="shared" si="1"/>
        <v>0</v>
      </c>
      <c r="C3614" s="67"/>
      <c r="D3614" s="78"/>
      <c r="E3614" s="101"/>
      <c r="F3614" s="108"/>
      <c r="G3614" s="120"/>
      <c r="H3614" s="101"/>
      <c r="I3614" s="93"/>
      <c r="J3614" s="91"/>
      <c r="L3614" s="94" t="str">
        <f t="shared" si="2"/>
        <v>No infirmation</v>
      </c>
      <c r="M3614" s="94" t="str">
        <f t="shared" si="3"/>
        <v/>
      </c>
    </row>
    <row r="3615" ht="15.75" customHeight="1">
      <c r="B3615" s="77">
        <f t="shared" si="1"/>
        <v>0</v>
      </c>
      <c r="C3615" s="67"/>
      <c r="D3615" s="78"/>
      <c r="E3615" s="101"/>
      <c r="F3615" s="108"/>
      <c r="G3615" s="120"/>
      <c r="H3615" s="101"/>
      <c r="I3615" s="93"/>
      <c r="J3615" s="91"/>
      <c r="L3615" s="94" t="str">
        <f t="shared" si="2"/>
        <v>No infirmation</v>
      </c>
      <c r="M3615" s="94" t="str">
        <f t="shared" si="3"/>
        <v/>
      </c>
    </row>
    <row r="3616" ht="15.75" customHeight="1">
      <c r="B3616" s="77">
        <f t="shared" si="1"/>
        <v>0</v>
      </c>
      <c r="C3616" s="67"/>
      <c r="D3616" s="78"/>
      <c r="E3616" s="101"/>
      <c r="F3616" s="108"/>
      <c r="G3616" s="120"/>
      <c r="H3616" s="101"/>
      <c r="I3616" s="93"/>
      <c r="J3616" s="91"/>
      <c r="L3616" s="94" t="str">
        <f t="shared" si="2"/>
        <v>No infirmation</v>
      </c>
      <c r="M3616" s="94" t="str">
        <f t="shared" si="3"/>
        <v/>
      </c>
    </row>
    <row r="3617" ht="15.75" customHeight="1">
      <c r="B3617" s="77">
        <f t="shared" si="1"/>
        <v>0</v>
      </c>
      <c r="C3617" s="67"/>
      <c r="D3617" s="78"/>
      <c r="E3617" s="101"/>
      <c r="F3617" s="108"/>
      <c r="G3617" s="120"/>
      <c r="H3617" s="101"/>
      <c r="I3617" s="93"/>
      <c r="J3617" s="91"/>
      <c r="L3617" s="94" t="str">
        <f t="shared" si="2"/>
        <v>No infirmation</v>
      </c>
      <c r="M3617" s="94" t="str">
        <f t="shared" si="3"/>
        <v/>
      </c>
    </row>
    <row r="3618" ht="15.75" customHeight="1">
      <c r="B3618" s="77">
        <f t="shared" si="1"/>
        <v>0</v>
      </c>
      <c r="C3618" s="67"/>
      <c r="D3618" s="78"/>
      <c r="E3618" s="101"/>
      <c r="F3618" s="108"/>
      <c r="G3618" s="120"/>
      <c r="H3618" s="101"/>
      <c r="I3618" s="93"/>
      <c r="J3618" s="91"/>
      <c r="L3618" s="94" t="str">
        <f t="shared" si="2"/>
        <v>No infirmation</v>
      </c>
      <c r="M3618" s="94" t="str">
        <f t="shared" si="3"/>
        <v/>
      </c>
    </row>
    <row r="3619" ht="15.75" customHeight="1">
      <c r="B3619" s="77">
        <f t="shared" si="1"/>
        <v>0</v>
      </c>
      <c r="C3619" s="67"/>
      <c r="D3619" s="78"/>
      <c r="E3619" s="101"/>
      <c r="F3619" s="108"/>
      <c r="G3619" s="120"/>
      <c r="H3619" s="101"/>
      <c r="I3619" s="93"/>
      <c r="J3619" s="91"/>
      <c r="L3619" s="94" t="str">
        <f t="shared" si="2"/>
        <v>No infirmation</v>
      </c>
      <c r="M3619" s="94" t="str">
        <f t="shared" si="3"/>
        <v/>
      </c>
    </row>
    <row r="3620" ht="15.75" customHeight="1">
      <c r="B3620" s="77">
        <f t="shared" si="1"/>
        <v>0</v>
      </c>
      <c r="C3620" s="67"/>
      <c r="D3620" s="78"/>
      <c r="E3620" s="101"/>
      <c r="F3620" s="108"/>
      <c r="G3620" s="120"/>
      <c r="H3620" s="101"/>
      <c r="I3620" s="93"/>
      <c r="J3620" s="91"/>
      <c r="L3620" s="94" t="str">
        <f t="shared" si="2"/>
        <v>No infirmation</v>
      </c>
      <c r="M3620" s="94" t="str">
        <f t="shared" si="3"/>
        <v/>
      </c>
    </row>
    <row r="3621" ht="15.75" customHeight="1">
      <c r="B3621" s="77">
        <f t="shared" si="1"/>
        <v>0</v>
      </c>
      <c r="C3621" s="67"/>
      <c r="D3621" s="78"/>
      <c r="E3621" s="101"/>
      <c r="F3621" s="108"/>
      <c r="G3621" s="120"/>
      <c r="H3621" s="101"/>
      <c r="I3621" s="93"/>
      <c r="J3621" s="91"/>
      <c r="L3621" s="94" t="str">
        <f t="shared" si="2"/>
        <v>No infirmation</v>
      </c>
      <c r="M3621" s="94" t="str">
        <f t="shared" si="3"/>
        <v/>
      </c>
    </row>
    <row r="3622" ht="15.75" customHeight="1">
      <c r="B3622" s="77">
        <f t="shared" si="1"/>
        <v>0</v>
      </c>
      <c r="C3622" s="67"/>
      <c r="D3622" s="78"/>
      <c r="E3622" s="101"/>
      <c r="F3622" s="108"/>
      <c r="G3622" s="120"/>
      <c r="H3622" s="101"/>
      <c r="I3622" s="93"/>
      <c r="J3622" s="91"/>
      <c r="L3622" s="94" t="str">
        <f t="shared" si="2"/>
        <v>No infirmation</v>
      </c>
      <c r="M3622" s="94" t="str">
        <f t="shared" si="3"/>
        <v/>
      </c>
    </row>
    <row r="3623" ht="15.75" customHeight="1">
      <c r="B3623" s="77">
        <f t="shared" si="1"/>
        <v>0</v>
      </c>
      <c r="C3623" s="67"/>
      <c r="D3623" s="78"/>
      <c r="E3623" s="101"/>
      <c r="F3623" s="108"/>
      <c r="G3623" s="120"/>
      <c r="H3623" s="101"/>
      <c r="I3623" s="93"/>
      <c r="J3623" s="91"/>
      <c r="L3623" s="94" t="str">
        <f t="shared" si="2"/>
        <v>No infirmation</v>
      </c>
      <c r="M3623" s="94" t="str">
        <f t="shared" si="3"/>
        <v/>
      </c>
    </row>
    <row r="3624" ht="15.75" customHeight="1">
      <c r="B3624" s="77">
        <f t="shared" si="1"/>
        <v>0</v>
      </c>
      <c r="C3624" s="67"/>
      <c r="D3624" s="78"/>
      <c r="E3624" s="101"/>
      <c r="F3624" s="108"/>
      <c r="G3624" s="120"/>
      <c r="H3624" s="101"/>
      <c r="I3624" s="93"/>
      <c r="J3624" s="91"/>
      <c r="L3624" s="94" t="str">
        <f t="shared" si="2"/>
        <v>No infirmation</v>
      </c>
      <c r="M3624" s="94" t="str">
        <f t="shared" si="3"/>
        <v/>
      </c>
    </row>
    <row r="3625" ht="15.75" customHeight="1">
      <c r="B3625" s="77">
        <f t="shared" si="1"/>
        <v>0</v>
      </c>
      <c r="C3625" s="67"/>
      <c r="D3625" s="78"/>
      <c r="E3625" s="101"/>
      <c r="F3625" s="108"/>
      <c r="G3625" s="120"/>
      <c r="H3625" s="101"/>
      <c r="I3625" s="93"/>
      <c r="J3625" s="91"/>
      <c r="L3625" s="94" t="str">
        <f t="shared" si="2"/>
        <v>No infirmation</v>
      </c>
      <c r="M3625" s="94" t="str">
        <f t="shared" si="3"/>
        <v/>
      </c>
    </row>
    <row r="3626" ht="15.75" customHeight="1">
      <c r="B3626" s="77">
        <f t="shared" si="1"/>
        <v>0</v>
      </c>
      <c r="C3626" s="67"/>
      <c r="D3626" s="78"/>
      <c r="E3626" s="101"/>
      <c r="F3626" s="108"/>
      <c r="G3626" s="120"/>
      <c r="H3626" s="101"/>
      <c r="I3626" s="93"/>
      <c r="J3626" s="91"/>
      <c r="L3626" s="94" t="str">
        <f t="shared" si="2"/>
        <v>No infirmation</v>
      </c>
      <c r="M3626" s="94" t="str">
        <f t="shared" si="3"/>
        <v/>
      </c>
    </row>
    <row r="3627" ht="15.75" customHeight="1">
      <c r="B3627" s="77">
        <f t="shared" si="1"/>
        <v>0</v>
      </c>
      <c r="C3627" s="67"/>
      <c r="D3627" s="78"/>
      <c r="E3627" s="101"/>
      <c r="F3627" s="108"/>
      <c r="G3627" s="120"/>
      <c r="H3627" s="101"/>
      <c r="I3627" s="93"/>
      <c r="J3627" s="91"/>
      <c r="L3627" s="94" t="str">
        <f t="shared" si="2"/>
        <v>No infirmation</v>
      </c>
      <c r="M3627" s="94" t="str">
        <f t="shared" si="3"/>
        <v/>
      </c>
    </row>
    <row r="3628" ht="15.75" customHeight="1">
      <c r="B3628" s="77">
        <f t="shared" si="1"/>
        <v>0</v>
      </c>
      <c r="C3628" s="67"/>
      <c r="D3628" s="78"/>
      <c r="E3628" s="101"/>
      <c r="F3628" s="108"/>
      <c r="G3628" s="120"/>
      <c r="H3628" s="101"/>
      <c r="I3628" s="93"/>
      <c r="J3628" s="91"/>
      <c r="L3628" s="94" t="str">
        <f t="shared" si="2"/>
        <v>No infirmation</v>
      </c>
      <c r="M3628" s="94" t="str">
        <f t="shared" si="3"/>
        <v/>
      </c>
    </row>
    <row r="3629" ht="15.75" customHeight="1">
      <c r="B3629" s="77">
        <f t="shared" si="1"/>
        <v>0</v>
      </c>
      <c r="C3629" s="67"/>
      <c r="D3629" s="78"/>
      <c r="E3629" s="101"/>
      <c r="F3629" s="108"/>
      <c r="G3629" s="120"/>
      <c r="H3629" s="101"/>
      <c r="I3629" s="93"/>
      <c r="J3629" s="91"/>
      <c r="L3629" s="94" t="str">
        <f t="shared" si="2"/>
        <v>No infirmation</v>
      </c>
      <c r="M3629" s="94" t="str">
        <f t="shared" si="3"/>
        <v/>
      </c>
    </row>
    <row r="3630" ht="15.75" customHeight="1">
      <c r="B3630" s="77">
        <f t="shared" si="1"/>
        <v>0</v>
      </c>
      <c r="C3630" s="67"/>
      <c r="D3630" s="78"/>
      <c r="E3630" s="101"/>
      <c r="F3630" s="108"/>
      <c r="G3630" s="120"/>
      <c r="H3630" s="101"/>
      <c r="I3630" s="93"/>
      <c r="J3630" s="91"/>
      <c r="L3630" s="94" t="str">
        <f t="shared" si="2"/>
        <v>No infirmation</v>
      </c>
      <c r="M3630" s="94" t="str">
        <f t="shared" si="3"/>
        <v/>
      </c>
    </row>
    <row r="3631" ht="15.75" customHeight="1">
      <c r="B3631" s="77">
        <f t="shared" si="1"/>
        <v>0</v>
      </c>
      <c r="C3631" s="67"/>
      <c r="D3631" s="78"/>
      <c r="E3631" s="101"/>
      <c r="F3631" s="108"/>
      <c r="G3631" s="120"/>
      <c r="H3631" s="101"/>
      <c r="I3631" s="93"/>
      <c r="J3631" s="91"/>
      <c r="L3631" s="94" t="str">
        <f t="shared" si="2"/>
        <v>No infirmation</v>
      </c>
      <c r="M3631" s="94" t="str">
        <f t="shared" si="3"/>
        <v/>
      </c>
    </row>
    <row r="3632" ht="15.75" customHeight="1">
      <c r="B3632" s="77">
        <f t="shared" si="1"/>
        <v>0</v>
      </c>
      <c r="C3632" s="67"/>
      <c r="D3632" s="78"/>
      <c r="E3632" s="101"/>
      <c r="F3632" s="108"/>
      <c r="G3632" s="120"/>
      <c r="H3632" s="101"/>
      <c r="I3632" s="93"/>
      <c r="J3632" s="91"/>
      <c r="L3632" s="94" t="str">
        <f t="shared" si="2"/>
        <v>No infirmation</v>
      </c>
      <c r="M3632" s="94" t="str">
        <f t="shared" si="3"/>
        <v/>
      </c>
    </row>
    <row r="3633" ht="15.75" customHeight="1">
      <c r="B3633" s="77">
        <f t="shared" si="1"/>
        <v>0</v>
      </c>
      <c r="C3633" s="67"/>
      <c r="D3633" s="78"/>
      <c r="E3633" s="101"/>
      <c r="F3633" s="108"/>
      <c r="G3633" s="120"/>
      <c r="H3633" s="101"/>
      <c r="I3633" s="93"/>
      <c r="J3633" s="91"/>
      <c r="L3633" s="94" t="str">
        <f t="shared" si="2"/>
        <v>No infirmation</v>
      </c>
      <c r="M3633" s="94" t="str">
        <f t="shared" si="3"/>
        <v/>
      </c>
    </row>
    <row r="3634" ht="15.75" customHeight="1">
      <c r="B3634" s="77">
        <f t="shared" si="1"/>
        <v>0</v>
      </c>
      <c r="C3634" s="67"/>
      <c r="D3634" s="78"/>
      <c r="E3634" s="101"/>
      <c r="F3634" s="108"/>
      <c r="G3634" s="120"/>
      <c r="H3634" s="101"/>
      <c r="I3634" s="93"/>
      <c r="J3634" s="91"/>
      <c r="L3634" s="94" t="str">
        <f t="shared" si="2"/>
        <v>No infirmation</v>
      </c>
      <c r="M3634" s="94" t="str">
        <f t="shared" si="3"/>
        <v/>
      </c>
    </row>
    <row r="3635" ht="15.75" customHeight="1">
      <c r="B3635" s="77">
        <f t="shared" si="1"/>
        <v>0</v>
      </c>
      <c r="C3635" s="67"/>
      <c r="D3635" s="78"/>
      <c r="E3635" s="101"/>
      <c r="F3635" s="108"/>
      <c r="G3635" s="120"/>
      <c r="H3635" s="101"/>
      <c r="I3635" s="93"/>
      <c r="J3635" s="91"/>
      <c r="L3635" s="94" t="str">
        <f t="shared" si="2"/>
        <v>No infirmation</v>
      </c>
      <c r="M3635" s="94" t="str">
        <f t="shared" si="3"/>
        <v/>
      </c>
    </row>
    <row r="3636" ht="15.75" customHeight="1">
      <c r="B3636" s="77">
        <f t="shared" si="1"/>
        <v>0</v>
      </c>
      <c r="C3636" s="67"/>
      <c r="D3636" s="78"/>
      <c r="E3636" s="101"/>
      <c r="F3636" s="108"/>
      <c r="G3636" s="120"/>
      <c r="H3636" s="101"/>
      <c r="I3636" s="93"/>
      <c r="J3636" s="91"/>
      <c r="L3636" s="94" t="str">
        <f t="shared" si="2"/>
        <v>No infirmation</v>
      </c>
      <c r="M3636" s="94" t="str">
        <f t="shared" si="3"/>
        <v/>
      </c>
    </row>
    <row r="3637" ht="15.75" customHeight="1">
      <c r="B3637" s="77">
        <f t="shared" si="1"/>
        <v>0</v>
      </c>
      <c r="C3637" s="67"/>
      <c r="D3637" s="78"/>
      <c r="E3637" s="101"/>
      <c r="F3637" s="108"/>
      <c r="G3637" s="120"/>
      <c r="H3637" s="101"/>
      <c r="I3637" s="93"/>
      <c r="J3637" s="91"/>
      <c r="L3637" s="94" t="str">
        <f t="shared" si="2"/>
        <v>No infirmation</v>
      </c>
      <c r="M3637" s="94" t="str">
        <f t="shared" si="3"/>
        <v/>
      </c>
    </row>
    <row r="3638" ht="15.75" customHeight="1">
      <c r="B3638" s="77">
        <f t="shared" si="1"/>
        <v>0</v>
      </c>
      <c r="C3638" s="67"/>
      <c r="D3638" s="78"/>
      <c r="E3638" s="101"/>
      <c r="F3638" s="108"/>
      <c r="G3638" s="120"/>
      <c r="H3638" s="101"/>
      <c r="I3638" s="93"/>
      <c r="J3638" s="91"/>
      <c r="L3638" s="94" t="str">
        <f t="shared" si="2"/>
        <v>No infirmation</v>
      </c>
      <c r="M3638" s="94" t="str">
        <f t="shared" si="3"/>
        <v/>
      </c>
    </row>
    <row r="3639" ht="15.75" customHeight="1">
      <c r="B3639" s="77">
        <f t="shared" si="1"/>
        <v>0</v>
      </c>
      <c r="C3639" s="67"/>
      <c r="D3639" s="78"/>
      <c r="E3639" s="101"/>
      <c r="F3639" s="108"/>
      <c r="G3639" s="120"/>
      <c r="H3639" s="101"/>
      <c r="I3639" s="93"/>
      <c r="J3639" s="91"/>
      <c r="L3639" s="94" t="str">
        <f t="shared" si="2"/>
        <v>No infirmation</v>
      </c>
      <c r="M3639" s="94" t="str">
        <f t="shared" si="3"/>
        <v/>
      </c>
    </row>
    <row r="3640" ht="15.75" customHeight="1">
      <c r="B3640" s="77">
        <f t="shared" si="1"/>
        <v>0</v>
      </c>
      <c r="C3640" s="67"/>
      <c r="D3640" s="78"/>
      <c r="E3640" s="101"/>
      <c r="F3640" s="108"/>
      <c r="G3640" s="120"/>
      <c r="H3640" s="101"/>
      <c r="I3640" s="93"/>
      <c r="J3640" s="91"/>
      <c r="L3640" s="94" t="str">
        <f t="shared" si="2"/>
        <v>No infirmation</v>
      </c>
      <c r="M3640" s="94" t="str">
        <f t="shared" si="3"/>
        <v/>
      </c>
    </row>
    <row r="3641" ht="15.75" customHeight="1">
      <c r="B3641" s="77">
        <f t="shared" si="1"/>
        <v>0</v>
      </c>
      <c r="C3641" s="67"/>
      <c r="D3641" s="78"/>
      <c r="E3641" s="101"/>
      <c r="F3641" s="108"/>
      <c r="G3641" s="120"/>
      <c r="H3641" s="101"/>
      <c r="I3641" s="93"/>
      <c r="J3641" s="91"/>
      <c r="L3641" s="94" t="str">
        <f t="shared" si="2"/>
        <v>No infirmation</v>
      </c>
      <c r="M3641" s="94" t="str">
        <f t="shared" si="3"/>
        <v/>
      </c>
    </row>
    <row r="3642" ht="15.75" customHeight="1">
      <c r="B3642" s="77">
        <f t="shared" si="1"/>
        <v>0</v>
      </c>
      <c r="C3642" s="67"/>
      <c r="D3642" s="78"/>
      <c r="E3642" s="101"/>
      <c r="F3642" s="108"/>
      <c r="G3642" s="120"/>
      <c r="H3642" s="101"/>
      <c r="I3642" s="93"/>
      <c r="J3642" s="91"/>
      <c r="L3642" s="94" t="str">
        <f t="shared" si="2"/>
        <v>No infirmation</v>
      </c>
      <c r="M3642" s="94" t="str">
        <f t="shared" si="3"/>
        <v/>
      </c>
    </row>
    <row r="3643" ht="15.75" customHeight="1">
      <c r="B3643" s="77">
        <f t="shared" si="1"/>
        <v>0</v>
      </c>
      <c r="C3643" s="67"/>
      <c r="D3643" s="78"/>
      <c r="E3643" s="101"/>
      <c r="F3643" s="108"/>
      <c r="G3643" s="120"/>
      <c r="H3643" s="101"/>
      <c r="I3643" s="93"/>
      <c r="J3643" s="91"/>
      <c r="L3643" s="94" t="str">
        <f t="shared" si="2"/>
        <v>No infirmation</v>
      </c>
      <c r="M3643" s="94" t="str">
        <f t="shared" si="3"/>
        <v/>
      </c>
    </row>
    <row r="3644" ht="15.75" customHeight="1">
      <c r="B3644" s="77">
        <f t="shared" si="1"/>
        <v>0</v>
      </c>
      <c r="C3644" s="67"/>
      <c r="D3644" s="78"/>
      <c r="E3644" s="101"/>
      <c r="F3644" s="108"/>
      <c r="G3644" s="120"/>
      <c r="H3644" s="101"/>
      <c r="I3644" s="93"/>
      <c r="J3644" s="91"/>
      <c r="L3644" s="94" t="str">
        <f t="shared" si="2"/>
        <v>No infirmation</v>
      </c>
      <c r="M3644" s="94" t="str">
        <f t="shared" si="3"/>
        <v/>
      </c>
    </row>
    <row r="3645" ht="15.75" customHeight="1">
      <c r="B3645" s="77">
        <f t="shared" si="1"/>
        <v>0</v>
      </c>
      <c r="C3645" s="67"/>
      <c r="D3645" s="78"/>
      <c r="E3645" s="101"/>
      <c r="F3645" s="108"/>
      <c r="G3645" s="120"/>
      <c r="H3645" s="101"/>
      <c r="I3645" s="93"/>
      <c r="J3645" s="91"/>
      <c r="L3645" s="94" t="str">
        <f t="shared" si="2"/>
        <v>No infirmation</v>
      </c>
      <c r="M3645" s="94" t="str">
        <f t="shared" si="3"/>
        <v/>
      </c>
    </row>
    <row r="3646" ht="15.75" customHeight="1">
      <c r="B3646" s="77">
        <f t="shared" si="1"/>
        <v>0</v>
      </c>
      <c r="C3646" s="67"/>
      <c r="D3646" s="78"/>
      <c r="E3646" s="101"/>
      <c r="F3646" s="108"/>
      <c r="G3646" s="120"/>
      <c r="H3646" s="101"/>
      <c r="I3646" s="93"/>
      <c r="J3646" s="91"/>
      <c r="L3646" s="94" t="str">
        <f t="shared" si="2"/>
        <v>No infirmation</v>
      </c>
      <c r="M3646" s="94" t="str">
        <f t="shared" si="3"/>
        <v/>
      </c>
    </row>
    <row r="3647" ht="15.75" customHeight="1">
      <c r="B3647" s="77">
        <f t="shared" si="1"/>
        <v>0</v>
      </c>
      <c r="C3647" s="67"/>
      <c r="D3647" s="78"/>
      <c r="E3647" s="101"/>
      <c r="F3647" s="108"/>
      <c r="G3647" s="120"/>
      <c r="H3647" s="101"/>
      <c r="I3647" s="93"/>
      <c r="J3647" s="91"/>
      <c r="L3647" s="94" t="str">
        <f t="shared" si="2"/>
        <v>No infirmation</v>
      </c>
      <c r="M3647" s="94" t="str">
        <f t="shared" si="3"/>
        <v/>
      </c>
    </row>
    <row r="3648" ht="15.75" customHeight="1">
      <c r="B3648" s="77">
        <f t="shared" si="1"/>
        <v>0</v>
      </c>
      <c r="C3648" s="67"/>
      <c r="D3648" s="78"/>
      <c r="E3648" s="101"/>
      <c r="F3648" s="108"/>
      <c r="G3648" s="120"/>
      <c r="H3648" s="101"/>
      <c r="I3648" s="93"/>
      <c r="J3648" s="91"/>
      <c r="L3648" s="94" t="str">
        <f t="shared" si="2"/>
        <v>No infirmation</v>
      </c>
      <c r="M3648" s="94" t="str">
        <f t="shared" si="3"/>
        <v/>
      </c>
    </row>
    <row r="3649" ht="15.75" customHeight="1">
      <c r="B3649" s="77">
        <f t="shared" si="1"/>
        <v>0</v>
      </c>
      <c r="C3649" s="67"/>
      <c r="D3649" s="78"/>
      <c r="E3649" s="101"/>
      <c r="F3649" s="108"/>
      <c r="G3649" s="120"/>
      <c r="H3649" s="101"/>
      <c r="I3649" s="93"/>
      <c r="J3649" s="91"/>
      <c r="L3649" s="94" t="str">
        <f t="shared" si="2"/>
        <v>No infirmation</v>
      </c>
      <c r="M3649" s="94" t="str">
        <f t="shared" si="3"/>
        <v/>
      </c>
    </row>
    <row r="3650" ht="15.75" customHeight="1">
      <c r="B3650" s="77">
        <f t="shared" si="1"/>
        <v>0</v>
      </c>
      <c r="C3650" s="67"/>
      <c r="D3650" s="78"/>
      <c r="E3650" s="101"/>
      <c r="F3650" s="108"/>
      <c r="G3650" s="120"/>
      <c r="H3650" s="101"/>
      <c r="I3650" s="93"/>
      <c r="J3650" s="91"/>
      <c r="L3650" s="94" t="str">
        <f t="shared" si="2"/>
        <v>No infirmation</v>
      </c>
      <c r="M3650" s="94" t="str">
        <f t="shared" si="3"/>
        <v/>
      </c>
    </row>
    <row r="3651" ht="15.75" customHeight="1">
      <c r="B3651" s="77">
        <f t="shared" si="1"/>
        <v>0</v>
      </c>
      <c r="C3651" s="67"/>
      <c r="D3651" s="78"/>
      <c r="E3651" s="101"/>
      <c r="F3651" s="108"/>
      <c r="G3651" s="120"/>
      <c r="H3651" s="101"/>
      <c r="I3651" s="93"/>
      <c r="J3651" s="91"/>
      <c r="L3651" s="94" t="str">
        <f t="shared" si="2"/>
        <v>No infirmation</v>
      </c>
      <c r="M3651" s="94" t="str">
        <f t="shared" si="3"/>
        <v/>
      </c>
    </row>
    <row r="3652" ht="15.75" customHeight="1">
      <c r="B3652" s="77">
        <f t="shared" si="1"/>
        <v>0</v>
      </c>
      <c r="C3652" s="67"/>
      <c r="D3652" s="78"/>
      <c r="E3652" s="101"/>
      <c r="F3652" s="108"/>
      <c r="G3652" s="120"/>
      <c r="H3652" s="101"/>
      <c r="I3652" s="93"/>
      <c r="J3652" s="91"/>
      <c r="L3652" s="94" t="str">
        <f t="shared" si="2"/>
        <v>No infirmation</v>
      </c>
      <c r="M3652" s="94" t="str">
        <f t="shared" si="3"/>
        <v/>
      </c>
    </row>
    <row r="3653" ht="15.75" customHeight="1">
      <c r="B3653" s="77">
        <f t="shared" si="1"/>
        <v>0</v>
      </c>
      <c r="C3653" s="67"/>
      <c r="D3653" s="78"/>
      <c r="E3653" s="101"/>
      <c r="F3653" s="108"/>
      <c r="G3653" s="120"/>
      <c r="H3653" s="101"/>
      <c r="I3653" s="93"/>
      <c r="J3653" s="91"/>
      <c r="L3653" s="94" t="str">
        <f t="shared" si="2"/>
        <v>No infirmation</v>
      </c>
      <c r="M3653" s="94" t="str">
        <f t="shared" si="3"/>
        <v/>
      </c>
    </row>
    <row r="3654" ht="15.75" customHeight="1">
      <c r="B3654" s="77">
        <f t="shared" si="1"/>
        <v>0</v>
      </c>
      <c r="C3654" s="67"/>
      <c r="D3654" s="78"/>
      <c r="E3654" s="101"/>
      <c r="F3654" s="108"/>
      <c r="G3654" s="120"/>
      <c r="H3654" s="101"/>
      <c r="I3654" s="93"/>
      <c r="J3654" s="91"/>
      <c r="L3654" s="94" t="str">
        <f t="shared" si="2"/>
        <v>No infirmation</v>
      </c>
      <c r="M3654" s="94" t="str">
        <f t="shared" si="3"/>
        <v/>
      </c>
    </row>
    <row r="3655" ht="15.75" customHeight="1">
      <c r="B3655" s="77">
        <f t="shared" si="1"/>
        <v>0</v>
      </c>
      <c r="C3655" s="67"/>
      <c r="D3655" s="78"/>
      <c r="E3655" s="101"/>
      <c r="F3655" s="108"/>
      <c r="G3655" s="120"/>
      <c r="H3655" s="101"/>
      <c r="I3655" s="93"/>
      <c r="J3655" s="91"/>
      <c r="L3655" s="94" t="str">
        <f t="shared" si="2"/>
        <v>No infirmation</v>
      </c>
      <c r="M3655" s="94" t="str">
        <f t="shared" si="3"/>
        <v/>
      </c>
    </row>
    <row r="3656" ht="15.75" customHeight="1">
      <c r="B3656" s="77">
        <f t="shared" si="1"/>
        <v>0</v>
      </c>
      <c r="C3656" s="67"/>
      <c r="D3656" s="78"/>
      <c r="E3656" s="101"/>
      <c r="F3656" s="108"/>
      <c r="G3656" s="120"/>
      <c r="H3656" s="101"/>
      <c r="I3656" s="93"/>
      <c r="J3656" s="91"/>
      <c r="L3656" s="94" t="str">
        <f t="shared" si="2"/>
        <v>No infirmation</v>
      </c>
      <c r="M3656" s="94" t="str">
        <f t="shared" si="3"/>
        <v/>
      </c>
    </row>
    <row r="3657" ht="15.75" customHeight="1">
      <c r="B3657" s="77">
        <f t="shared" si="1"/>
        <v>0</v>
      </c>
      <c r="C3657" s="67"/>
      <c r="D3657" s="78"/>
      <c r="E3657" s="101"/>
      <c r="F3657" s="108"/>
      <c r="G3657" s="120"/>
      <c r="H3657" s="101"/>
      <c r="I3657" s="93"/>
      <c r="J3657" s="91"/>
      <c r="L3657" s="94" t="str">
        <f t="shared" si="2"/>
        <v>No infirmation</v>
      </c>
      <c r="M3657" s="94" t="str">
        <f t="shared" si="3"/>
        <v/>
      </c>
    </row>
    <row r="3658" ht="15.75" customHeight="1">
      <c r="B3658" s="77">
        <f t="shared" si="1"/>
        <v>0</v>
      </c>
      <c r="C3658" s="67"/>
      <c r="D3658" s="78"/>
      <c r="E3658" s="101"/>
      <c r="F3658" s="108"/>
      <c r="G3658" s="120"/>
      <c r="H3658" s="101"/>
      <c r="I3658" s="93"/>
      <c r="J3658" s="91"/>
      <c r="L3658" s="94" t="str">
        <f t="shared" si="2"/>
        <v>No infirmation</v>
      </c>
      <c r="M3658" s="94" t="str">
        <f t="shared" si="3"/>
        <v/>
      </c>
    </row>
    <row r="3659" ht="15.75" customHeight="1">
      <c r="B3659" s="77">
        <f t="shared" si="1"/>
        <v>0</v>
      </c>
      <c r="C3659" s="67"/>
      <c r="D3659" s="78"/>
      <c r="E3659" s="101"/>
      <c r="F3659" s="108"/>
      <c r="G3659" s="120"/>
      <c r="H3659" s="101"/>
      <c r="I3659" s="93"/>
      <c r="J3659" s="91"/>
      <c r="L3659" s="94" t="str">
        <f t="shared" si="2"/>
        <v>No infirmation</v>
      </c>
      <c r="M3659" s="94" t="str">
        <f t="shared" si="3"/>
        <v/>
      </c>
    </row>
    <row r="3660" ht="15.75" customHeight="1">
      <c r="B3660" s="77">
        <f t="shared" si="1"/>
        <v>0</v>
      </c>
      <c r="C3660" s="67"/>
      <c r="D3660" s="78"/>
      <c r="E3660" s="101"/>
      <c r="F3660" s="108"/>
      <c r="G3660" s="120"/>
      <c r="H3660" s="101"/>
      <c r="I3660" s="93"/>
      <c r="J3660" s="91"/>
      <c r="L3660" s="94" t="str">
        <f t="shared" si="2"/>
        <v>No infirmation</v>
      </c>
      <c r="M3660" s="94" t="str">
        <f t="shared" si="3"/>
        <v/>
      </c>
    </row>
    <row r="3661" ht="15.75" customHeight="1">
      <c r="B3661" s="77">
        <f t="shared" si="1"/>
        <v>0</v>
      </c>
      <c r="C3661" s="67"/>
      <c r="D3661" s="78"/>
      <c r="E3661" s="101"/>
      <c r="F3661" s="108"/>
      <c r="G3661" s="120"/>
      <c r="H3661" s="101"/>
      <c r="I3661" s="93"/>
      <c r="J3661" s="91"/>
      <c r="L3661" s="94" t="str">
        <f t="shared" si="2"/>
        <v>No infirmation</v>
      </c>
      <c r="M3661" s="94" t="str">
        <f t="shared" si="3"/>
        <v/>
      </c>
    </row>
    <row r="3662" ht="15.75" customHeight="1">
      <c r="B3662" s="77">
        <f t="shared" si="1"/>
        <v>0</v>
      </c>
      <c r="C3662" s="67"/>
      <c r="D3662" s="78"/>
      <c r="E3662" s="101"/>
      <c r="F3662" s="108"/>
      <c r="G3662" s="120"/>
      <c r="H3662" s="101"/>
      <c r="I3662" s="93"/>
      <c r="J3662" s="91"/>
      <c r="L3662" s="94" t="str">
        <f t="shared" si="2"/>
        <v>No infirmation</v>
      </c>
      <c r="M3662" s="94" t="str">
        <f t="shared" si="3"/>
        <v/>
      </c>
    </row>
    <row r="3663" ht="15.75" customHeight="1">
      <c r="B3663" s="77">
        <f t="shared" si="1"/>
        <v>0</v>
      </c>
      <c r="C3663" s="67"/>
      <c r="D3663" s="78"/>
      <c r="E3663" s="101"/>
      <c r="F3663" s="108"/>
      <c r="G3663" s="120"/>
      <c r="H3663" s="101"/>
      <c r="I3663" s="93"/>
      <c r="J3663" s="91"/>
      <c r="L3663" s="94" t="str">
        <f t="shared" si="2"/>
        <v>No infirmation</v>
      </c>
      <c r="M3663" s="94" t="str">
        <f t="shared" si="3"/>
        <v/>
      </c>
    </row>
    <row r="3664" ht="15.75" customHeight="1">
      <c r="B3664" s="77">
        <f t="shared" si="1"/>
        <v>0</v>
      </c>
      <c r="C3664" s="67"/>
      <c r="D3664" s="78"/>
      <c r="E3664" s="101"/>
      <c r="F3664" s="108"/>
      <c r="G3664" s="120"/>
      <c r="H3664" s="101"/>
      <c r="I3664" s="93"/>
      <c r="J3664" s="91"/>
      <c r="L3664" s="94" t="str">
        <f t="shared" si="2"/>
        <v>No infirmation</v>
      </c>
      <c r="M3664" s="94" t="str">
        <f t="shared" si="3"/>
        <v/>
      </c>
    </row>
    <row r="3665" ht="15.75" customHeight="1">
      <c r="B3665" s="77">
        <f t="shared" si="1"/>
        <v>0</v>
      </c>
      <c r="C3665" s="67"/>
      <c r="D3665" s="78"/>
      <c r="E3665" s="101"/>
      <c r="F3665" s="108"/>
      <c r="G3665" s="120"/>
      <c r="H3665" s="101"/>
      <c r="I3665" s="93"/>
      <c r="J3665" s="91"/>
      <c r="L3665" s="94" t="str">
        <f t="shared" si="2"/>
        <v>No infirmation</v>
      </c>
      <c r="M3665" s="94" t="str">
        <f t="shared" si="3"/>
        <v/>
      </c>
    </row>
    <row r="3666" ht="15.75" customHeight="1">
      <c r="B3666" s="77">
        <f t="shared" si="1"/>
        <v>0</v>
      </c>
      <c r="C3666" s="67"/>
      <c r="D3666" s="78"/>
      <c r="E3666" s="101"/>
      <c r="F3666" s="108"/>
      <c r="G3666" s="120"/>
      <c r="H3666" s="101"/>
      <c r="I3666" s="93"/>
      <c r="J3666" s="91"/>
      <c r="L3666" s="94" t="str">
        <f t="shared" si="2"/>
        <v>No infirmation</v>
      </c>
      <c r="M3666" s="94" t="str">
        <f t="shared" si="3"/>
        <v/>
      </c>
    </row>
    <row r="3667" ht="15.75" customHeight="1">
      <c r="B3667" s="77">
        <f t="shared" si="1"/>
        <v>0</v>
      </c>
      <c r="C3667" s="67"/>
      <c r="D3667" s="78"/>
      <c r="E3667" s="101"/>
      <c r="F3667" s="108"/>
      <c r="G3667" s="120"/>
      <c r="H3667" s="101"/>
      <c r="I3667" s="93"/>
      <c r="J3667" s="91"/>
      <c r="L3667" s="94" t="str">
        <f t="shared" si="2"/>
        <v>No infirmation</v>
      </c>
      <c r="M3667" s="94" t="str">
        <f t="shared" si="3"/>
        <v/>
      </c>
    </row>
    <row r="3668" ht="15.75" customHeight="1">
      <c r="B3668" s="77">
        <f t="shared" si="1"/>
        <v>0</v>
      </c>
      <c r="C3668" s="67"/>
      <c r="D3668" s="78"/>
      <c r="E3668" s="101"/>
      <c r="F3668" s="108"/>
      <c r="G3668" s="120"/>
      <c r="H3668" s="101"/>
      <c r="I3668" s="93"/>
      <c r="J3668" s="91"/>
      <c r="L3668" s="94" t="str">
        <f t="shared" si="2"/>
        <v>No infirmation</v>
      </c>
      <c r="M3668" s="94" t="str">
        <f t="shared" si="3"/>
        <v/>
      </c>
    </row>
    <row r="3669" ht="15.75" customHeight="1">
      <c r="B3669" s="77">
        <f t="shared" si="1"/>
        <v>0</v>
      </c>
      <c r="C3669" s="67"/>
      <c r="D3669" s="78"/>
      <c r="E3669" s="101"/>
      <c r="F3669" s="108"/>
      <c r="G3669" s="120"/>
      <c r="H3669" s="101"/>
      <c r="I3669" s="93"/>
      <c r="J3669" s="91"/>
      <c r="L3669" s="94" t="str">
        <f t="shared" si="2"/>
        <v>No infirmation</v>
      </c>
      <c r="M3669" s="94" t="str">
        <f t="shared" si="3"/>
        <v/>
      </c>
    </row>
    <row r="3670" ht="15.75" customHeight="1">
      <c r="B3670" s="77">
        <f t="shared" si="1"/>
        <v>0</v>
      </c>
      <c r="C3670" s="67"/>
      <c r="D3670" s="78"/>
      <c r="E3670" s="101"/>
      <c r="F3670" s="108"/>
      <c r="G3670" s="120"/>
      <c r="H3670" s="101"/>
      <c r="I3670" s="93"/>
      <c r="J3670" s="91"/>
      <c r="L3670" s="94" t="str">
        <f t="shared" si="2"/>
        <v>No infirmation</v>
      </c>
      <c r="M3670" s="94" t="str">
        <f t="shared" si="3"/>
        <v/>
      </c>
    </row>
    <row r="3671" ht="15.75" customHeight="1">
      <c r="B3671" s="77">
        <f t="shared" si="1"/>
        <v>0</v>
      </c>
      <c r="C3671" s="67"/>
      <c r="D3671" s="78"/>
      <c r="E3671" s="101"/>
      <c r="F3671" s="108"/>
      <c r="G3671" s="120"/>
      <c r="H3671" s="101"/>
      <c r="I3671" s="93"/>
      <c r="J3671" s="91"/>
      <c r="L3671" s="94" t="str">
        <f t="shared" si="2"/>
        <v>No infirmation</v>
      </c>
      <c r="M3671" s="94" t="str">
        <f t="shared" si="3"/>
        <v/>
      </c>
    </row>
    <row r="3672" ht="15.75" customHeight="1">
      <c r="B3672" s="77">
        <f t="shared" si="1"/>
        <v>0</v>
      </c>
      <c r="C3672" s="67"/>
      <c r="D3672" s="78"/>
      <c r="E3672" s="101"/>
      <c r="F3672" s="108"/>
      <c r="G3672" s="120"/>
      <c r="H3672" s="101"/>
      <c r="I3672" s="93"/>
      <c r="J3672" s="91"/>
      <c r="L3672" s="94" t="str">
        <f t="shared" si="2"/>
        <v>No infirmation</v>
      </c>
      <c r="M3672" s="94" t="str">
        <f t="shared" si="3"/>
        <v/>
      </c>
    </row>
    <row r="3673" ht="15.75" customHeight="1">
      <c r="B3673" s="77">
        <f t="shared" si="1"/>
        <v>0</v>
      </c>
      <c r="C3673" s="67"/>
      <c r="D3673" s="78"/>
      <c r="E3673" s="101"/>
      <c r="F3673" s="108"/>
      <c r="G3673" s="120"/>
      <c r="H3673" s="101"/>
      <c r="I3673" s="93"/>
      <c r="J3673" s="91"/>
      <c r="L3673" s="94" t="str">
        <f t="shared" si="2"/>
        <v>No infirmation</v>
      </c>
      <c r="M3673" s="94" t="str">
        <f t="shared" si="3"/>
        <v/>
      </c>
    </row>
    <row r="3674" ht="15.75" customHeight="1">
      <c r="B3674" s="77">
        <f t="shared" si="1"/>
        <v>0</v>
      </c>
      <c r="C3674" s="67"/>
      <c r="D3674" s="78"/>
      <c r="E3674" s="101"/>
      <c r="F3674" s="108"/>
      <c r="G3674" s="120"/>
      <c r="H3674" s="101"/>
      <c r="I3674" s="93"/>
      <c r="J3674" s="91"/>
      <c r="L3674" s="94" t="str">
        <f t="shared" si="2"/>
        <v>No infirmation</v>
      </c>
      <c r="M3674" s="94" t="str">
        <f t="shared" si="3"/>
        <v/>
      </c>
    </row>
    <row r="3675" ht="15.75" customHeight="1">
      <c r="B3675" s="77">
        <f t="shared" si="1"/>
        <v>0</v>
      </c>
      <c r="C3675" s="67"/>
      <c r="D3675" s="78"/>
      <c r="E3675" s="101"/>
      <c r="F3675" s="108"/>
      <c r="G3675" s="120"/>
      <c r="H3675" s="101"/>
      <c r="I3675" s="93"/>
      <c r="J3675" s="91"/>
      <c r="L3675" s="94" t="str">
        <f t="shared" si="2"/>
        <v>No infirmation</v>
      </c>
      <c r="M3675" s="94" t="str">
        <f t="shared" si="3"/>
        <v/>
      </c>
    </row>
    <row r="3676" ht="15.75" customHeight="1">
      <c r="B3676" s="77">
        <f t="shared" si="1"/>
        <v>0</v>
      </c>
      <c r="C3676" s="67"/>
      <c r="D3676" s="78"/>
      <c r="E3676" s="101"/>
      <c r="F3676" s="108"/>
      <c r="G3676" s="120"/>
      <c r="H3676" s="101"/>
      <c r="I3676" s="93"/>
      <c r="J3676" s="91"/>
      <c r="L3676" s="94" t="str">
        <f t="shared" si="2"/>
        <v>No infirmation</v>
      </c>
      <c r="M3676" s="94" t="str">
        <f t="shared" si="3"/>
        <v/>
      </c>
    </row>
    <row r="3677" ht="15.75" customHeight="1">
      <c r="B3677" s="77">
        <f t="shared" si="1"/>
        <v>0</v>
      </c>
      <c r="C3677" s="67"/>
      <c r="D3677" s="78"/>
      <c r="E3677" s="101"/>
      <c r="F3677" s="108"/>
      <c r="G3677" s="120"/>
      <c r="H3677" s="101"/>
      <c r="I3677" s="93"/>
      <c r="J3677" s="91"/>
      <c r="L3677" s="94" t="str">
        <f t="shared" si="2"/>
        <v>No infirmation</v>
      </c>
      <c r="M3677" s="94" t="str">
        <f t="shared" si="3"/>
        <v/>
      </c>
    </row>
    <row r="3678" ht="15.75" customHeight="1">
      <c r="B3678" s="77">
        <f t="shared" si="1"/>
        <v>0</v>
      </c>
      <c r="C3678" s="67"/>
      <c r="D3678" s="78"/>
      <c r="E3678" s="101"/>
      <c r="F3678" s="108"/>
      <c r="G3678" s="120"/>
      <c r="H3678" s="101"/>
      <c r="I3678" s="93"/>
      <c r="J3678" s="91"/>
      <c r="L3678" s="94" t="str">
        <f t="shared" si="2"/>
        <v>No infirmation</v>
      </c>
      <c r="M3678" s="94" t="str">
        <f t="shared" si="3"/>
        <v/>
      </c>
    </row>
    <row r="3679" ht="15.75" customHeight="1">
      <c r="B3679" s="77">
        <f t="shared" si="1"/>
        <v>0</v>
      </c>
      <c r="C3679" s="67"/>
      <c r="D3679" s="78"/>
      <c r="E3679" s="101"/>
      <c r="F3679" s="108"/>
      <c r="G3679" s="120"/>
      <c r="H3679" s="101"/>
      <c r="I3679" s="93"/>
      <c r="J3679" s="91"/>
      <c r="L3679" s="94" t="str">
        <f t="shared" si="2"/>
        <v>No infirmation</v>
      </c>
      <c r="M3679" s="94" t="str">
        <f t="shared" si="3"/>
        <v/>
      </c>
    </row>
    <row r="3680" ht="15.75" customHeight="1">
      <c r="B3680" s="77">
        <f t="shared" si="1"/>
        <v>0</v>
      </c>
      <c r="C3680" s="67"/>
      <c r="D3680" s="78"/>
      <c r="E3680" s="101"/>
      <c r="F3680" s="108"/>
      <c r="G3680" s="120"/>
      <c r="H3680" s="101"/>
      <c r="I3680" s="93"/>
      <c r="J3680" s="91"/>
      <c r="L3680" s="94" t="str">
        <f t="shared" si="2"/>
        <v>No infirmation</v>
      </c>
      <c r="M3680" s="94" t="str">
        <f t="shared" si="3"/>
        <v/>
      </c>
    </row>
    <row r="3681" ht="15.75" customHeight="1">
      <c r="B3681" s="77">
        <f t="shared" si="1"/>
        <v>0</v>
      </c>
      <c r="C3681" s="67"/>
      <c r="D3681" s="78"/>
      <c r="E3681" s="101"/>
      <c r="F3681" s="108"/>
      <c r="G3681" s="120"/>
      <c r="H3681" s="101"/>
      <c r="I3681" s="93"/>
      <c r="J3681" s="91"/>
      <c r="L3681" s="94" t="str">
        <f t="shared" si="2"/>
        <v>No infirmation</v>
      </c>
      <c r="M3681" s="94" t="str">
        <f t="shared" si="3"/>
        <v/>
      </c>
    </row>
    <row r="3682" ht="15.75" customHeight="1">
      <c r="B3682" s="77">
        <f t="shared" si="1"/>
        <v>0</v>
      </c>
      <c r="C3682" s="67"/>
      <c r="D3682" s="78"/>
      <c r="E3682" s="101"/>
      <c r="F3682" s="108"/>
      <c r="G3682" s="120"/>
      <c r="H3682" s="101"/>
      <c r="I3682" s="93"/>
      <c r="J3682" s="91"/>
      <c r="L3682" s="94" t="str">
        <f t="shared" si="2"/>
        <v>No infirmation</v>
      </c>
      <c r="M3682" s="94" t="str">
        <f t="shared" si="3"/>
        <v/>
      </c>
    </row>
    <row r="3683" ht="15.75" customHeight="1">
      <c r="B3683" s="77">
        <f t="shared" si="1"/>
        <v>0</v>
      </c>
      <c r="C3683" s="67"/>
      <c r="D3683" s="78"/>
      <c r="E3683" s="101"/>
      <c r="F3683" s="108"/>
      <c r="G3683" s="120"/>
      <c r="H3683" s="101"/>
      <c r="I3683" s="93"/>
      <c r="J3683" s="91"/>
      <c r="L3683" s="94" t="str">
        <f t="shared" si="2"/>
        <v>No infirmation</v>
      </c>
      <c r="M3683" s="94" t="str">
        <f t="shared" si="3"/>
        <v/>
      </c>
    </row>
    <row r="3684" ht="15.75" customHeight="1">
      <c r="B3684" s="77">
        <f t="shared" si="1"/>
        <v>0</v>
      </c>
      <c r="C3684" s="67"/>
      <c r="D3684" s="78"/>
      <c r="E3684" s="101"/>
      <c r="F3684" s="108"/>
      <c r="G3684" s="120"/>
      <c r="H3684" s="101"/>
      <c r="I3684" s="93"/>
      <c r="J3684" s="91"/>
      <c r="L3684" s="94" t="str">
        <f t="shared" si="2"/>
        <v>No infirmation</v>
      </c>
      <c r="M3684" s="94" t="str">
        <f t="shared" si="3"/>
        <v/>
      </c>
    </row>
    <row r="3685" ht="15.75" customHeight="1">
      <c r="B3685" s="77">
        <f t="shared" si="1"/>
        <v>0</v>
      </c>
      <c r="C3685" s="67"/>
      <c r="D3685" s="78"/>
      <c r="E3685" s="101"/>
      <c r="F3685" s="108"/>
      <c r="G3685" s="120"/>
      <c r="H3685" s="101"/>
      <c r="I3685" s="93"/>
      <c r="J3685" s="91"/>
      <c r="L3685" s="94" t="str">
        <f t="shared" si="2"/>
        <v>No infirmation</v>
      </c>
      <c r="M3685" s="94" t="str">
        <f t="shared" si="3"/>
        <v/>
      </c>
    </row>
    <row r="3686" ht="15.75" customHeight="1">
      <c r="B3686" s="77">
        <f t="shared" si="1"/>
        <v>0</v>
      </c>
      <c r="C3686" s="67"/>
      <c r="D3686" s="78"/>
      <c r="E3686" s="101"/>
      <c r="F3686" s="108"/>
      <c r="G3686" s="120"/>
      <c r="H3686" s="101"/>
      <c r="I3686" s="93"/>
      <c r="J3686" s="91"/>
      <c r="L3686" s="94" t="str">
        <f t="shared" si="2"/>
        <v>No infirmation</v>
      </c>
      <c r="M3686" s="94" t="str">
        <f t="shared" si="3"/>
        <v/>
      </c>
    </row>
    <row r="3687" ht="15.75" customHeight="1">
      <c r="B3687" s="77">
        <f t="shared" si="1"/>
        <v>0</v>
      </c>
      <c r="C3687" s="67"/>
      <c r="D3687" s="78"/>
      <c r="E3687" s="101"/>
      <c r="F3687" s="108"/>
      <c r="G3687" s="120"/>
      <c r="H3687" s="101"/>
      <c r="I3687" s="93"/>
      <c r="J3687" s="91"/>
      <c r="L3687" s="94" t="str">
        <f t="shared" si="2"/>
        <v>No infirmation</v>
      </c>
      <c r="M3687" s="94" t="str">
        <f t="shared" si="3"/>
        <v/>
      </c>
    </row>
    <row r="3688" ht="15.75" customHeight="1">
      <c r="B3688" s="77">
        <f t="shared" si="1"/>
        <v>0</v>
      </c>
      <c r="C3688" s="67"/>
      <c r="D3688" s="78"/>
      <c r="E3688" s="101"/>
      <c r="F3688" s="108"/>
      <c r="G3688" s="120"/>
      <c r="H3688" s="101"/>
      <c r="I3688" s="93"/>
      <c r="J3688" s="91"/>
      <c r="L3688" s="94" t="str">
        <f t="shared" si="2"/>
        <v>No infirmation</v>
      </c>
      <c r="M3688" s="94" t="str">
        <f t="shared" si="3"/>
        <v/>
      </c>
    </row>
    <row r="3689" ht="15.75" customHeight="1">
      <c r="B3689" s="77">
        <f t="shared" si="1"/>
        <v>0</v>
      </c>
      <c r="C3689" s="67"/>
      <c r="D3689" s="78"/>
      <c r="E3689" s="101"/>
      <c r="F3689" s="108"/>
      <c r="G3689" s="120"/>
      <c r="H3689" s="101"/>
      <c r="I3689" s="93"/>
      <c r="J3689" s="91"/>
      <c r="L3689" s="94" t="str">
        <f t="shared" si="2"/>
        <v>No infirmation</v>
      </c>
      <c r="M3689" s="94" t="str">
        <f t="shared" si="3"/>
        <v/>
      </c>
    </row>
    <row r="3690" ht="15.75" customHeight="1">
      <c r="B3690" s="77">
        <f t="shared" si="1"/>
        <v>0</v>
      </c>
      <c r="C3690" s="67"/>
      <c r="D3690" s="78"/>
      <c r="E3690" s="101"/>
      <c r="F3690" s="108"/>
      <c r="G3690" s="120"/>
      <c r="H3690" s="101"/>
      <c r="I3690" s="93"/>
      <c r="J3690" s="91"/>
      <c r="L3690" s="94" t="str">
        <f t="shared" si="2"/>
        <v>No infirmation</v>
      </c>
      <c r="M3690" s="94" t="str">
        <f t="shared" si="3"/>
        <v/>
      </c>
    </row>
    <row r="3691" ht="15.75" customHeight="1">
      <c r="B3691" s="77">
        <f t="shared" si="1"/>
        <v>0</v>
      </c>
      <c r="C3691" s="67"/>
      <c r="D3691" s="78"/>
      <c r="E3691" s="101"/>
      <c r="F3691" s="108"/>
      <c r="G3691" s="120"/>
      <c r="H3691" s="101"/>
      <c r="I3691" s="93"/>
      <c r="J3691" s="91"/>
      <c r="L3691" s="94" t="str">
        <f t="shared" si="2"/>
        <v>No infirmation</v>
      </c>
      <c r="M3691" s="94" t="str">
        <f t="shared" si="3"/>
        <v/>
      </c>
    </row>
    <row r="3692" ht="15.75" customHeight="1">
      <c r="B3692" s="77">
        <f t="shared" si="1"/>
        <v>0</v>
      </c>
      <c r="C3692" s="67"/>
      <c r="D3692" s="78"/>
      <c r="E3692" s="101"/>
      <c r="F3692" s="108"/>
      <c r="G3692" s="120"/>
      <c r="H3692" s="101"/>
      <c r="I3692" s="93"/>
      <c r="J3692" s="91"/>
      <c r="L3692" s="94" t="str">
        <f t="shared" si="2"/>
        <v>No infirmation</v>
      </c>
      <c r="M3692" s="94" t="str">
        <f t="shared" si="3"/>
        <v/>
      </c>
    </row>
    <row r="3693" ht="15.75" customHeight="1">
      <c r="B3693" s="77">
        <f t="shared" si="1"/>
        <v>0</v>
      </c>
      <c r="C3693" s="67"/>
      <c r="D3693" s="78"/>
      <c r="E3693" s="101"/>
      <c r="F3693" s="108"/>
      <c r="G3693" s="120"/>
      <c r="H3693" s="101"/>
      <c r="I3693" s="93"/>
      <c r="J3693" s="91"/>
      <c r="L3693" s="94" t="str">
        <f t="shared" si="2"/>
        <v>No infirmation</v>
      </c>
      <c r="M3693" s="94" t="str">
        <f t="shared" si="3"/>
        <v/>
      </c>
    </row>
    <row r="3694" ht="15.75" customHeight="1">
      <c r="B3694" s="77">
        <f t="shared" si="1"/>
        <v>0</v>
      </c>
      <c r="C3694" s="67"/>
      <c r="D3694" s="78"/>
      <c r="E3694" s="101"/>
      <c r="F3694" s="108"/>
      <c r="G3694" s="120"/>
      <c r="H3694" s="101"/>
      <c r="I3694" s="93"/>
      <c r="J3694" s="91"/>
      <c r="L3694" s="94" t="str">
        <f t="shared" si="2"/>
        <v>No infirmation</v>
      </c>
      <c r="M3694" s="94" t="str">
        <f t="shared" si="3"/>
        <v/>
      </c>
    </row>
    <row r="3695" ht="15.75" customHeight="1">
      <c r="B3695" s="77">
        <f t="shared" si="1"/>
        <v>0</v>
      </c>
      <c r="C3695" s="67"/>
      <c r="D3695" s="78"/>
      <c r="E3695" s="101"/>
      <c r="F3695" s="108"/>
      <c r="G3695" s="120"/>
      <c r="H3695" s="101"/>
      <c r="I3695" s="93"/>
      <c r="J3695" s="91"/>
      <c r="L3695" s="94" t="str">
        <f t="shared" si="2"/>
        <v>No infirmation</v>
      </c>
      <c r="M3695" s="94" t="str">
        <f t="shared" si="3"/>
        <v/>
      </c>
    </row>
    <row r="3696" ht="15.75" customHeight="1">
      <c r="B3696" s="77">
        <f t="shared" si="1"/>
        <v>0</v>
      </c>
      <c r="C3696" s="67"/>
      <c r="D3696" s="78"/>
      <c r="E3696" s="101"/>
      <c r="F3696" s="108"/>
      <c r="G3696" s="120"/>
      <c r="H3696" s="101"/>
      <c r="I3696" s="93"/>
      <c r="J3696" s="91"/>
      <c r="L3696" s="94" t="str">
        <f t="shared" si="2"/>
        <v>No infirmation</v>
      </c>
      <c r="M3696" s="94" t="str">
        <f t="shared" si="3"/>
        <v/>
      </c>
    </row>
    <row r="3697" ht="15.75" customHeight="1">
      <c r="B3697" s="77">
        <f t="shared" si="1"/>
        <v>0</v>
      </c>
      <c r="C3697" s="67"/>
      <c r="D3697" s="78"/>
      <c r="E3697" s="101"/>
      <c r="F3697" s="108"/>
      <c r="G3697" s="120"/>
      <c r="H3697" s="101"/>
      <c r="I3697" s="93"/>
      <c r="J3697" s="91"/>
      <c r="L3697" s="94" t="str">
        <f t="shared" si="2"/>
        <v>No infirmation</v>
      </c>
      <c r="M3697" s="94" t="str">
        <f t="shared" si="3"/>
        <v/>
      </c>
    </row>
    <row r="3698" ht="15.75" customHeight="1">
      <c r="B3698" s="77">
        <f t="shared" si="1"/>
        <v>0</v>
      </c>
      <c r="C3698" s="67"/>
      <c r="D3698" s="78"/>
      <c r="E3698" s="101"/>
      <c r="F3698" s="108"/>
      <c r="G3698" s="120"/>
      <c r="H3698" s="101"/>
      <c r="I3698" s="93"/>
      <c r="J3698" s="91"/>
      <c r="L3698" s="94" t="str">
        <f t="shared" si="2"/>
        <v>No infirmation</v>
      </c>
      <c r="M3698" s="94" t="str">
        <f t="shared" si="3"/>
        <v/>
      </c>
    </row>
    <row r="3699" ht="15.75" customHeight="1">
      <c r="B3699" s="77">
        <f t="shared" si="1"/>
        <v>0</v>
      </c>
      <c r="C3699" s="67"/>
      <c r="D3699" s="78"/>
      <c r="E3699" s="101"/>
      <c r="F3699" s="108"/>
      <c r="G3699" s="120"/>
      <c r="H3699" s="101"/>
      <c r="I3699" s="93"/>
      <c r="J3699" s="91"/>
      <c r="L3699" s="94" t="str">
        <f t="shared" si="2"/>
        <v>No infirmation</v>
      </c>
      <c r="M3699" s="94" t="str">
        <f t="shared" si="3"/>
        <v/>
      </c>
    </row>
    <row r="3700" ht="15.75" customHeight="1">
      <c r="B3700" s="77">
        <f t="shared" si="1"/>
        <v>0</v>
      </c>
      <c r="C3700" s="67"/>
      <c r="D3700" s="78"/>
      <c r="E3700" s="101"/>
      <c r="F3700" s="108"/>
      <c r="G3700" s="120"/>
      <c r="H3700" s="101"/>
      <c r="I3700" s="93"/>
      <c r="J3700" s="91"/>
      <c r="L3700" s="94" t="str">
        <f t="shared" si="2"/>
        <v>No infirmation</v>
      </c>
      <c r="M3700" s="94" t="str">
        <f t="shared" si="3"/>
        <v/>
      </c>
    </row>
    <row r="3701" ht="15.75" customHeight="1">
      <c r="B3701" s="77">
        <f t="shared" si="1"/>
        <v>0</v>
      </c>
      <c r="C3701" s="67"/>
      <c r="D3701" s="78"/>
      <c r="E3701" s="101"/>
      <c r="F3701" s="108"/>
      <c r="G3701" s="120"/>
      <c r="H3701" s="101"/>
      <c r="I3701" s="93"/>
      <c r="J3701" s="91"/>
      <c r="L3701" s="94" t="str">
        <f t="shared" si="2"/>
        <v>No infirmation</v>
      </c>
      <c r="M3701" s="94" t="str">
        <f t="shared" si="3"/>
        <v/>
      </c>
    </row>
    <row r="3702" ht="15.75" customHeight="1">
      <c r="B3702" s="77">
        <f t="shared" si="1"/>
        <v>0</v>
      </c>
      <c r="C3702" s="67"/>
      <c r="D3702" s="78"/>
      <c r="E3702" s="101"/>
      <c r="F3702" s="108"/>
      <c r="G3702" s="120"/>
      <c r="H3702" s="101"/>
      <c r="I3702" s="93"/>
      <c r="J3702" s="91"/>
      <c r="L3702" s="94" t="str">
        <f t="shared" si="2"/>
        <v>No infirmation</v>
      </c>
      <c r="M3702" s="94" t="str">
        <f t="shared" si="3"/>
        <v/>
      </c>
    </row>
    <row r="3703" ht="15.75" customHeight="1">
      <c r="B3703" s="77">
        <f t="shared" si="1"/>
        <v>0</v>
      </c>
      <c r="C3703" s="67"/>
      <c r="D3703" s="78"/>
      <c r="E3703" s="101"/>
      <c r="F3703" s="108"/>
      <c r="G3703" s="120"/>
      <c r="H3703" s="101"/>
      <c r="I3703" s="93"/>
      <c r="J3703" s="91"/>
      <c r="L3703" s="94" t="str">
        <f t="shared" si="2"/>
        <v>No infirmation</v>
      </c>
      <c r="M3703" s="94" t="str">
        <f t="shared" si="3"/>
        <v/>
      </c>
    </row>
    <row r="3704" ht="15.75" customHeight="1">
      <c r="B3704" s="77">
        <f t="shared" si="1"/>
        <v>0</v>
      </c>
      <c r="C3704" s="67"/>
      <c r="D3704" s="78"/>
      <c r="E3704" s="101"/>
      <c r="F3704" s="108"/>
      <c r="G3704" s="120"/>
      <c r="H3704" s="101"/>
      <c r="I3704" s="93"/>
      <c r="J3704" s="91"/>
      <c r="L3704" s="94" t="str">
        <f t="shared" si="2"/>
        <v>No infirmation</v>
      </c>
      <c r="M3704" s="94" t="str">
        <f t="shared" si="3"/>
        <v/>
      </c>
    </row>
    <row r="3705" ht="15.75" customHeight="1">
      <c r="B3705" s="77">
        <f t="shared" si="1"/>
        <v>0</v>
      </c>
      <c r="C3705" s="67"/>
      <c r="D3705" s="78"/>
      <c r="E3705" s="101"/>
      <c r="F3705" s="108"/>
      <c r="G3705" s="120"/>
      <c r="H3705" s="101"/>
      <c r="I3705" s="93"/>
      <c r="J3705" s="91"/>
      <c r="L3705" s="94" t="str">
        <f t="shared" si="2"/>
        <v>No infirmation</v>
      </c>
      <c r="M3705" s="94" t="str">
        <f t="shared" si="3"/>
        <v/>
      </c>
    </row>
    <row r="3706" ht="15.75" customHeight="1">
      <c r="B3706" s="77">
        <f t="shared" si="1"/>
        <v>0</v>
      </c>
      <c r="C3706" s="67"/>
      <c r="D3706" s="78"/>
      <c r="E3706" s="101"/>
      <c r="F3706" s="108"/>
      <c r="G3706" s="120"/>
      <c r="H3706" s="101"/>
      <c r="I3706" s="93"/>
      <c r="J3706" s="91"/>
      <c r="L3706" s="94" t="str">
        <f t="shared" si="2"/>
        <v>No infirmation</v>
      </c>
      <c r="M3706" s="94" t="str">
        <f t="shared" si="3"/>
        <v/>
      </c>
    </row>
    <row r="3707" ht="15.75" customHeight="1">
      <c r="B3707" s="77">
        <f t="shared" si="1"/>
        <v>0</v>
      </c>
      <c r="C3707" s="67"/>
      <c r="D3707" s="78"/>
      <c r="E3707" s="101"/>
      <c r="F3707" s="108"/>
      <c r="G3707" s="120"/>
      <c r="H3707" s="101"/>
      <c r="I3707" s="93"/>
      <c r="J3707" s="91"/>
      <c r="L3707" s="94" t="str">
        <f t="shared" si="2"/>
        <v>No infirmation</v>
      </c>
      <c r="M3707" s="94" t="str">
        <f t="shared" si="3"/>
        <v/>
      </c>
    </row>
    <row r="3708" ht="15.75" customHeight="1">
      <c r="B3708" s="77">
        <f t="shared" si="1"/>
        <v>0</v>
      </c>
      <c r="C3708" s="67"/>
      <c r="D3708" s="78"/>
      <c r="E3708" s="101"/>
      <c r="F3708" s="108"/>
      <c r="G3708" s="120"/>
      <c r="H3708" s="101"/>
      <c r="I3708" s="93"/>
      <c r="J3708" s="91"/>
      <c r="L3708" s="94" t="str">
        <f t="shared" si="2"/>
        <v>No infirmation</v>
      </c>
      <c r="M3708" s="94" t="str">
        <f t="shared" si="3"/>
        <v/>
      </c>
    </row>
    <row r="3709" ht="15.75" customHeight="1">
      <c r="B3709" s="77">
        <f t="shared" si="1"/>
        <v>0</v>
      </c>
      <c r="C3709" s="67"/>
      <c r="D3709" s="78"/>
      <c r="E3709" s="101"/>
      <c r="F3709" s="108"/>
      <c r="G3709" s="120"/>
      <c r="H3709" s="101"/>
      <c r="I3709" s="93"/>
      <c r="J3709" s="91"/>
      <c r="L3709" s="94" t="str">
        <f t="shared" si="2"/>
        <v>No infirmation</v>
      </c>
      <c r="M3709" s="94" t="str">
        <f t="shared" si="3"/>
        <v/>
      </c>
    </row>
    <row r="3710" ht="15.75" customHeight="1">
      <c r="B3710" s="77">
        <f t="shared" si="1"/>
        <v>0</v>
      </c>
      <c r="C3710" s="67"/>
      <c r="D3710" s="78"/>
      <c r="E3710" s="101"/>
      <c r="F3710" s="108"/>
      <c r="G3710" s="120"/>
      <c r="H3710" s="101"/>
      <c r="I3710" s="93"/>
      <c r="J3710" s="91"/>
      <c r="L3710" s="94" t="str">
        <f t="shared" si="2"/>
        <v>No infirmation</v>
      </c>
      <c r="M3710" s="94" t="str">
        <f t="shared" si="3"/>
        <v/>
      </c>
    </row>
    <row r="3711" ht="15.75" customHeight="1">
      <c r="B3711" s="77">
        <f t="shared" si="1"/>
        <v>0</v>
      </c>
      <c r="C3711" s="67"/>
      <c r="D3711" s="78"/>
      <c r="E3711" s="101"/>
      <c r="F3711" s="108"/>
      <c r="G3711" s="120"/>
      <c r="H3711" s="101"/>
      <c r="I3711" s="93"/>
      <c r="J3711" s="91"/>
      <c r="L3711" s="94" t="str">
        <f t="shared" si="2"/>
        <v>No infirmation</v>
      </c>
      <c r="M3711" s="94" t="str">
        <f t="shared" si="3"/>
        <v/>
      </c>
    </row>
    <row r="3712" ht="15.75" customHeight="1">
      <c r="B3712" s="77">
        <f t="shared" si="1"/>
        <v>0</v>
      </c>
      <c r="C3712" s="67"/>
      <c r="D3712" s="78"/>
      <c r="E3712" s="101"/>
      <c r="F3712" s="108"/>
      <c r="G3712" s="120"/>
      <c r="H3712" s="101"/>
      <c r="I3712" s="93"/>
      <c r="J3712" s="91"/>
      <c r="L3712" s="94" t="str">
        <f t="shared" si="2"/>
        <v>No infirmation</v>
      </c>
      <c r="M3712" s="94" t="str">
        <f t="shared" si="3"/>
        <v/>
      </c>
    </row>
    <row r="3713" ht="15.75" customHeight="1">
      <c r="B3713" s="77">
        <f t="shared" si="1"/>
        <v>0</v>
      </c>
      <c r="C3713" s="67"/>
      <c r="D3713" s="78"/>
      <c r="E3713" s="101"/>
      <c r="F3713" s="108"/>
      <c r="G3713" s="120"/>
      <c r="H3713" s="101"/>
      <c r="I3713" s="93"/>
      <c r="J3713" s="91"/>
      <c r="L3713" s="94" t="str">
        <f t="shared" si="2"/>
        <v>No infirmation</v>
      </c>
      <c r="M3713" s="94" t="str">
        <f t="shared" si="3"/>
        <v/>
      </c>
    </row>
    <row r="3714" ht="15.75" customHeight="1">
      <c r="B3714" s="77">
        <f t="shared" si="1"/>
        <v>0</v>
      </c>
      <c r="C3714" s="67"/>
      <c r="D3714" s="78"/>
      <c r="E3714" s="101"/>
      <c r="F3714" s="108"/>
      <c r="G3714" s="120"/>
      <c r="H3714" s="101"/>
      <c r="I3714" s="93"/>
      <c r="J3714" s="91"/>
      <c r="L3714" s="94" t="str">
        <f t="shared" si="2"/>
        <v>No infirmation</v>
      </c>
      <c r="M3714" s="94" t="str">
        <f t="shared" si="3"/>
        <v/>
      </c>
    </row>
    <row r="3715" ht="15.75" customHeight="1">
      <c r="B3715" s="77">
        <f t="shared" si="1"/>
        <v>0</v>
      </c>
      <c r="C3715" s="67"/>
      <c r="D3715" s="78"/>
      <c r="E3715" s="101"/>
      <c r="F3715" s="108"/>
      <c r="G3715" s="120"/>
      <c r="H3715" s="101"/>
      <c r="I3715" s="93"/>
      <c r="J3715" s="91"/>
      <c r="L3715" s="94" t="str">
        <f t="shared" si="2"/>
        <v>No infirmation</v>
      </c>
      <c r="M3715" s="94" t="str">
        <f t="shared" si="3"/>
        <v/>
      </c>
    </row>
    <row r="3716" ht="15.75" customHeight="1">
      <c r="B3716" s="77">
        <f t="shared" si="1"/>
        <v>0</v>
      </c>
      <c r="C3716" s="67"/>
      <c r="D3716" s="78"/>
      <c r="E3716" s="101"/>
      <c r="F3716" s="108"/>
      <c r="G3716" s="120"/>
      <c r="H3716" s="101"/>
      <c r="I3716" s="93"/>
      <c r="J3716" s="91"/>
      <c r="L3716" s="94" t="str">
        <f t="shared" si="2"/>
        <v>No infirmation</v>
      </c>
      <c r="M3716" s="94" t="str">
        <f t="shared" si="3"/>
        <v/>
      </c>
    </row>
    <row r="3717" ht="15.75" customHeight="1">
      <c r="B3717" s="77">
        <f t="shared" si="1"/>
        <v>0</v>
      </c>
      <c r="C3717" s="67"/>
      <c r="D3717" s="78"/>
      <c r="E3717" s="101"/>
      <c r="F3717" s="108"/>
      <c r="G3717" s="120"/>
      <c r="H3717" s="101"/>
      <c r="I3717" s="93"/>
      <c r="J3717" s="91"/>
      <c r="L3717" s="94" t="str">
        <f t="shared" si="2"/>
        <v>No infirmation</v>
      </c>
      <c r="M3717" s="94" t="str">
        <f t="shared" si="3"/>
        <v/>
      </c>
    </row>
    <row r="3718" ht="15.75" customHeight="1">
      <c r="B3718" s="77">
        <f t="shared" si="1"/>
        <v>0</v>
      </c>
      <c r="C3718" s="67"/>
      <c r="D3718" s="78"/>
      <c r="E3718" s="101"/>
      <c r="F3718" s="108"/>
      <c r="G3718" s="120"/>
      <c r="H3718" s="101"/>
      <c r="I3718" s="93"/>
      <c r="J3718" s="91"/>
      <c r="L3718" s="94" t="str">
        <f t="shared" si="2"/>
        <v>No infirmation</v>
      </c>
      <c r="M3718" s="94" t="str">
        <f t="shared" si="3"/>
        <v/>
      </c>
    </row>
    <row r="3719" ht="15.75" customHeight="1">
      <c r="B3719" s="77">
        <f t="shared" si="1"/>
        <v>0</v>
      </c>
      <c r="C3719" s="67"/>
      <c r="D3719" s="78"/>
      <c r="E3719" s="101"/>
      <c r="F3719" s="108"/>
      <c r="G3719" s="120"/>
      <c r="H3719" s="101"/>
      <c r="I3719" s="93"/>
      <c r="J3719" s="91"/>
      <c r="L3719" s="94" t="str">
        <f t="shared" si="2"/>
        <v>No infirmation</v>
      </c>
      <c r="M3719" s="94" t="str">
        <f t="shared" si="3"/>
        <v/>
      </c>
    </row>
    <row r="3720" ht="15.75" customHeight="1">
      <c r="B3720" s="77">
        <f t="shared" si="1"/>
        <v>0</v>
      </c>
      <c r="C3720" s="67"/>
      <c r="D3720" s="78"/>
      <c r="E3720" s="101"/>
      <c r="F3720" s="108"/>
      <c r="G3720" s="120"/>
      <c r="H3720" s="101"/>
      <c r="I3720" s="93"/>
      <c r="J3720" s="91"/>
      <c r="L3720" s="94" t="str">
        <f t="shared" si="2"/>
        <v>No infirmation</v>
      </c>
      <c r="M3720" s="94" t="str">
        <f t="shared" si="3"/>
        <v/>
      </c>
    </row>
    <row r="3721" ht="15.75" customHeight="1">
      <c r="B3721" s="77">
        <f t="shared" si="1"/>
        <v>0</v>
      </c>
      <c r="C3721" s="67"/>
      <c r="D3721" s="78"/>
      <c r="E3721" s="101"/>
      <c r="F3721" s="108"/>
      <c r="G3721" s="120"/>
      <c r="H3721" s="101"/>
      <c r="I3721" s="93"/>
      <c r="J3721" s="91"/>
      <c r="L3721" s="94" t="str">
        <f t="shared" si="2"/>
        <v>No infirmation</v>
      </c>
      <c r="M3721" s="94" t="str">
        <f t="shared" si="3"/>
        <v/>
      </c>
    </row>
    <row r="3722" ht="15.75" customHeight="1">
      <c r="B3722" s="77">
        <f t="shared" si="1"/>
        <v>0</v>
      </c>
      <c r="C3722" s="67"/>
      <c r="D3722" s="78"/>
      <c r="E3722" s="101"/>
      <c r="F3722" s="108"/>
      <c r="G3722" s="120"/>
      <c r="H3722" s="101"/>
      <c r="I3722" s="93"/>
      <c r="J3722" s="91"/>
      <c r="L3722" s="94" t="str">
        <f t="shared" si="2"/>
        <v>No infirmation</v>
      </c>
      <c r="M3722" s="94" t="str">
        <f t="shared" si="3"/>
        <v/>
      </c>
    </row>
    <row r="3723" ht="15.75" customHeight="1">
      <c r="B3723" s="77">
        <f t="shared" si="1"/>
        <v>0</v>
      </c>
      <c r="C3723" s="67"/>
      <c r="D3723" s="78"/>
      <c r="E3723" s="101"/>
      <c r="F3723" s="108"/>
      <c r="G3723" s="120"/>
      <c r="H3723" s="101"/>
      <c r="I3723" s="93"/>
      <c r="J3723" s="91"/>
      <c r="L3723" s="94" t="str">
        <f t="shared" si="2"/>
        <v>No infirmation</v>
      </c>
      <c r="M3723" s="94" t="str">
        <f t="shared" si="3"/>
        <v/>
      </c>
    </row>
    <row r="3724" ht="15.75" customHeight="1">
      <c r="B3724" s="77">
        <f t="shared" si="1"/>
        <v>0</v>
      </c>
      <c r="C3724" s="67"/>
      <c r="D3724" s="78"/>
      <c r="E3724" s="101"/>
      <c r="F3724" s="108"/>
      <c r="G3724" s="120"/>
      <c r="H3724" s="101"/>
      <c r="I3724" s="93"/>
      <c r="J3724" s="91"/>
      <c r="L3724" s="94" t="str">
        <f t="shared" si="2"/>
        <v>No infirmation</v>
      </c>
      <c r="M3724" s="94" t="str">
        <f t="shared" si="3"/>
        <v/>
      </c>
    </row>
    <row r="3725" ht="15.75" customHeight="1">
      <c r="B3725" s="77">
        <f t="shared" si="1"/>
        <v>0</v>
      </c>
      <c r="C3725" s="67"/>
      <c r="D3725" s="78"/>
      <c r="E3725" s="101"/>
      <c r="F3725" s="108"/>
      <c r="G3725" s="120"/>
      <c r="H3725" s="101"/>
      <c r="I3725" s="93"/>
      <c r="J3725" s="91"/>
      <c r="L3725" s="94" t="str">
        <f t="shared" si="2"/>
        <v>No infirmation</v>
      </c>
      <c r="M3725" s="94" t="str">
        <f t="shared" si="3"/>
        <v/>
      </c>
    </row>
    <row r="3726" ht="15.75" customHeight="1">
      <c r="B3726" s="77">
        <f t="shared" si="1"/>
        <v>0</v>
      </c>
      <c r="C3726" s="67"/>
      <c r="D3726" s="78"/>
      <c r="E3726" s="101"/>
      <c r="F3726" s="108"/>
      <c r="G3726" s="120"/>
      <c r="H3726" s="101"/>
      <c r="I3726" s="93"/>
      <c r="J3726" s="91"/>
      <c r="L3726" s="94" t="str">
        <f t="shared" si="2"/>
        <v>No infirmation</v>
      </c>
      <c r="M3726" s="94" t="str">
        <f t="shared" si="3"/>
        <v/>
      </c>
    </row>
    <row r="3727" ht="15.75" customHeight="1">
      <c r="B3727" s="77">
        <f t="shared" si="1"/>
        <v>0</v>
      </c>
      <c r="C3727" s="67"/>
      <c r="D3727" s="78"/>
      <c r="E3727" s="101"/>
      <c r="F3727" s="108"/>
      <c r="G3727" s="120"/>
      <c r="H3727" s="101"/>
      <c r="I3727" s="93"/>
      <c r="J3727" s="91"/>
      <c r="L3727" s="94" t="str">
        <f t="shared" si="2"/>
        <v>No infirmation</v>
      </c>
      <c r="M3727" s="94" t="str">
        <f t="shared" si="3"/>
        <v/>
      </c>
    </row>
    <row r="3728" ht="15.75" customHeight="1">
      <c r="B3728" s="77">
        <f t="shared" si="1"/>
        <v>0</v>
      </c>
      <c r="C3728" s="67"/>
      <c r="D3728" s="78"/>
      <c r="E3728" s="101"/>
      <c r="F3728" s="108"/>
      <c r="G3728" s="120"/>
      <c r="H3728" s="101"/>
      <c r="I3728" s="93"/>
      <c r="J3728" s="91"/>
      <c r="L3728" s="94" t="str">
        <f t="shared" si="2"/>
        <v>No infirmation</v>
      </c>
      <c r="M3728" s="94" t="str">
        <f t="shared" si="3"/>
        <v/>
      </c>
    </row>
    <row r="3729" ht="15.75" customHeight="1">
      <c r="B3729" s="77">
        <f t="shared" si="1"/>
        <v>0</v>
      </c>
      <c r="C3729" s="67"/>
      <c r="D3729" s="78"/>
      <c r="E3729" s="101"/>
      <c r="F3729" s="108"/>
      <c r="G3729" s="120"/>
      <c r="H3729" s="101"/>
      <c r="I3729" s="93"/>
      <c r="J3729" s="91"/>
      <c r="L3729" s="94" t="str">
        <f t="shared" si="2"/>
        <v>No infirmation</v>
      </c>
      <c r="M3729" s="94" t="str">
        <f t="shared" si="3"/>
        <v/>
      </c>
    </row>
    <row r="3730" ht="15.75" customHeight="1">
      <c r="B3730" s="77">
        <f t="shared" si="1"/>
        <v>0</v>
      </c>
      <c r="C3730" s="67"/>
      <c r="D3730" s="78"/>
      <c r="E3730" s="101"/>
      <c r="F3730" s="108"/>
      <c r="G3730" s="120"/>
      <c r="H3730" s="101"/>
      <c r="I3730" s="93"/>
      <c r="J3730" s="91"/>
      <c r="L3730" s="94" t="str">
        <f t="shared" si="2"/>
        <v>No infirmation</v>
      </c>
      <c r="M3730" s="94" t="str">
        <f t="shared" si="3"/>
        <v/>
      </c>
    </row>
    <row r="3731" ht="15.75" customHeight="1">
      <c r="B3731" s="77">
        <f t="shared" si="1"/>
        <v>0</v>
      </c>
      <c r="C3731" s="67"/>
      <c r="D3731" s="78"/>
      <c r="E3731" s="101"/>
      <c r="F3731" s="108"/>
      <c r="G3731" s="120"/>
      <c r="H3731" s="101"/>
      <c r="I3731" s="93"/>
      <c r="J3731" s="91"/>
      <c r="L3731" s="94" t="str">
        <f t="shared" si="2"/>
        <v>No infirmation</v>
      </c>
      <c r="M3731" s="94" t="str">
        <f t="shared" si="3"/>
        <v/>
      </c>
    </row>
    <row r="3732" ht="15.75" customHeight="1">
      <c r="B3732" s="77">
        <f t="shared" si="1"/>
        <v>0</v>
      </c>
      <c r="C3732" s="67"/>
      <c r="D3732" s="78"/>
      <c r="E3732" s="101"/>
      <c r="F3732" s="108"/>
      <c r="G3732" s="120"/>
      <c r="H3732" s="101"/>
      <c r="I3732" s="93"/>
      <c r="J3732" s="91"/>
      <c r="L3732" s="94" t="str">
        <f t="shared" si="2"/>
        <v>No infirmation</v>
      </c>
      <c r="M3732" s="94" t="str">
        <f t="shared" si="3"/>
        <v/>
      </c>
    </row>
    <row r="3733" ht="15.75" customHeight="1">
      <c r="B3733" s="77">
        <f t="shared" si="1"/>
        <v>0</v>
      </c>
      <c r="C3733" s="67"/>
      <c r="D3733" s="78"/>
      <c r="E3733" s="101"/>
      <c r="F3733" s="108"/>
      <c r="G3733" s="120"/>
      <c r="H3733" s="101"/>
      <c r="I3733" s="93"/>
      <c r="J3733" s="91"/>
      <c r="L3733" s="94" t="str">
        <f t="shared" si="2"/>
        <v>No infirmation</v>
      </c>
      <c r="M3733" s="94" t="str">
        <f t="shared" si="3"/>
        <v/>
      </c>
    </row>
    <row r="3734" ht="15.75" customHeight="1">
      <c r="B3734" s="77">
        <f t="shared" si="1"/>
        <v>0</v>
      </c>
      <c r="C3734" s="67"/>
      <c r="D3734" s="78"/>
      <c r="E3734" s="101"/>
      <c r="F3734" s="108"/>
      <c r="G3734" s="120"/>
      <c r="H3734" s="101"/>
      <c r="I3734" s="93"/>
      <c r="J3734" s="91"/>
      <c r="L3734" s="94" t="str">
        <f t="shared" si="2"/>
        <v>No infirmation</v>
      </c>
      <c r="M3734" s="94" t="str">
        <f t="shared" si="3"/>
        <v/>
      </c>
    </row>
    <row r="3735" ht="15.75" customHeight="1">
      <c r="B3735" s="77">
        <f t="shared" si="1"/>
        <v>0</v>
      </c>
      <c r="C3735" s="67"/>
      <c r="D3735" s="78"/>
      <c r="E3735" s="101"/>
      <c r="F3735" s="108"/>
      <c r="G3735" s="120"/>
      <c r="H3735" s="101"/>
      <c r="I3735" s="93"/>
      <c r="J3735" s="91"/>
      <c r="L3735" s="94" t="str">
        <f t="shared" si="2"/>
        <v>No infirmation</v>
      </c>
      <c r="M3735" s="94" t="str">
        <f t="shared" si="3"/>
        <v/>
      </c>
    </row>
    <row r="3736" ht="15.75" customHeight="1">
      <c r="B3736" s="77">
        <f t="shared" si="1"/>
        <v>0</v>
      </c>
      <c r="C3736" s="67"/>
      <c r="D3736" s="78"/>
      <c r="E3736" s="101"/>
      <c r="F3736" s="108"/>
      <c r="G3736" s="120"/>
      <c r="H3736" s="101"/>
      <c r="I3736" s="93"/>
      <c r="J3736" s="91"/>
      <c r="L3736" s="94" t="str">
        <f t="shared" si="2"/>
        <v>No infirmation</v>
      </c>
      <c r="M3736" s="94" t="str">
        <f t="shared" si="3"/>
        <v/>
      </c>
    </row>
    <row r="3737" ht="15.75" customHeight="1">
      <c r="B3737" s="77">
        <f t="shared" si="1"/>
        <v>0</v>
      </c>
      <c r="C3737" s="67"/>
      <c r="D3737" s="78"/>
      <c r="E3737" s="101"/>
      <c r="F3737" s="108"/>
      <c r="G3737" s="120"/>
      <c r="H3737" s="101"/>
      <c r="I3737" s="93"/>
      <c r="J3737" s="91"/>
      <c r="L3737" s="94" t="str">
        <f t="shared" si="2"/>
        <v>No infirmation</v>
      </c>
      <c r="M3737" s="94" t="str">
        <f t="shared" si="3"/>
        <v/>
      </c>
    </row>
    <row r="3738" ht="15.75" customHeight="1">
      <c r="B3738" s="77">
        <f t="shared" si="1"/>
        <v>0</v>
      </c>
      <c r="C3738" s="67"/>
      <c r="D3738" s="78"/>
      <c r="E3738" s="101"/>
      <c r="F3738" s="108"/>
      <c r="G3738" s="120"/>
      <c r="H3738" s="101"/>
      <c r="I3738" s="93"/>
      <c r="J3738" s="91"/>
      <c r="L3738" s="94" t="str">
        <f t="shared" si="2"/>
        <v>No infirmation</v>
      </c>
      <c r="M3738" s="94" t="str">
        <f t="shared" si="3"/>
        <v/>
      </c>
    </row>
    <row r="3739" ht="15.75" customHeight="1">
      <c r="B3739" s="77">
        <f t="shared" si="1"/>
        <v>0</v>
      </c>
      <c r="C3739" s="67"/>
      <c r="D3739" s="78"/>
      <c r="E3739" s="101"/>
      <c r="F3739" s="108"/>
      <c r="G3739" s="120"/>
      <c r="H3739" s="101"/>
      <c r="I3739" s="93"/>
      <c r="J3739" s="91"/>
      <c r="L3739" s="94" t="str">
        <f t="shared" si="2"/>
        <v>No infirmation</v>
      </c>
      <c r="M3739" s="94" t="str">
        <f t="shared" si="3"/>
        <v/>
      </c>
    </row>
    <row r="3740" ht="15.75" customHeight="1">
      <c r="B3740" s="77">
        <f t="shared" si="1"/>
        <v>0</v>
      </c>
      <c r="C3740" s="67"/>
      <c r="D3740" s="78"/>
      <c r="E3740" s="101"/>
      <c r="F3740" s="108"/>
      <c r="G3740" s="120"/>
      <c r="H3740" s="101"/>
      <c r="I3740" s="93"/>
      <c r="J3740" s="91"/>
      <c r="L3740" s="94" t="str">
        <f t="shared" si="2"/>
        <v>No infirmation</v>
      </c>
      <c r="M3740" s="94" t="str">
        <f t="shared" si="3"/>
        <v/>
      </c>
    </row>
    <row r="3741" ht="15.75" customHeight="1">
      <c r="B3741" s="77">
        <f t="shared" si="1"/>
        <v>0</v>
      </c>
      <c r="C3741" s="67"/>
      <c r="D3741" s="78"/>
      <c r="E3741" s="101"/>
      <c r="F3741" s="108"/>
      <c r="G3741" s="120"/>
      <c r="H3741" s="101"/>
      <c r="I3741" s="93"/>
      <c r="J3741" s="91"/>
      <c r="L3741" s="94" t="str">
        <f t="shared" si="2"/>
        <v>No infirmation</v>
      </c>
      <c r="M3741" s="94" t="str">
        <f t="shared" si="3"/>
        <v/>
      </c>
    </row>
    <row r="3742" ht="15.75" customHeight="1">
      <c r="B3742" s="77">
        <f t="shared" si="1"/>
        <v>0</v>
      </c>
      <c r="C3742" s="67"/>
      <c r="D3742" s="78"/>
      <c r="E3742" s="101"/>
      <c r="F3742" s="108"/>
      <c r="G3742" s="120"/>
      <c r="H3742" s="101"/>
      <c r="I3742" s="93"/>
      <c r="J3742" s="91"/>
      <c r="L3742" s="94" t="str">
        <f t="shared" si="2"/>
        <v>No infirmation</v>
      </c>
      <c r="M3742" s="94" t="str">
        <f t="shared" si="3"/>
        <v/>
      </c>
    </row>
    <row r="3743" ht="15.75" customHeight="1">
      <c r="B3743" s="77">
        <f t="shared" si="1"/>
        <v>0</v>
      </c>
      <c r="C3743" s="67"/>
      <c r="D3743" s="78"/>
      <c r="E3743" s="101"/>
      <c r="F3743" s="108"/>
      <c r="G3743" s="120"/>
      <c r="H3743" s="101"/>
      <c r="I3743" s="93"/>
      <c r="J3743" s="91"/>
      <c r="L3743" s="94" t="str">
        <f t="shared" si="2"/>
        <v>No infirmation</v>
      </c>
      <c r="M3743" s="94" t="str">
        <f t="shared" si="3"/>
        <v/>
      </c>
    </row>
    <row r="3744" ht="15.75" customHeight="1">
      <c r="B3744" s="77">
        <f t="shared" si="1"/>
        <v>0</v>
      </c>
      <c r="C3744" s="67"/>
      <c r="D3744" s="78"/>
      <c r="E3744" s="101"/>
      <c r="F3744" s="108"/>
      <c r="G3744" s="120"/>
      <c r="H3744" s="101"/>
      <c r="I3744" s="93"/>
      <c r="J3744" s="91"/>
      <c r="L3744" s="94" t="str">
        <f t="shared" si="2"/>
        <v>No infirmation</v>
      </c>
      <c r="M3744" s="94" t="str">
        <f t="shared" si="3"/>
        <v/>
      </c>
    </row>
    <row r="3745" ht="15.75" customHeight="1">
      <c r="B3745" s="77">
        <f t="shared" si="1"/>
        <v>0</v>
      </c>
      <c r="C3745" s="67"/>
      <c r="D3745" s="78"/>
      <c r="E3745" s="101"/>
      <c r="F3745" s="108"/>
      <c r="G3745" s="120"/>
      <c r="H3745" s="101"/>
      <c r="I3745" s="93"/>
      <c r="J3745" s="91"/>
      <c r="L3745" s="94" t="str">
        <f t="shared" si="2"/>
        <v>No infirmation</v>
      </c>
      <c r="M3745" s="94" t="str">
        <f t="shared" si="3"/>
        <v/>
      </c>
    </row>
    <row r="3746" ht="15.75" customHeight="1">
      <c r="B3746" s="77">
        <f t="shared" si="1"/>
        <v>0</v>
      </c>
      <c r="C3746" s="67"/>
      <c r="D3746" s="78"/>
      <c r="E3746" s="101"/>
      <c r="F3746" s="108"/>
      <c r="G3746" s="120"/>
      <c r="H3746" s="101"/>
      <c r="I3746" s="93"/>
      <c r="J3746" s="91"/>
      <c r="L3746" s="94" t="str">
        <f t="shared" si="2"/>
        <v>No infirmation</v>
      </c>
      <c r="M3746" s="94" t="str">
        <f t="shared" si="3"/>
        <v/>
      </c>
    </row>
    <row r="3747" ht="15.75" customHeight="1">
      <c r="B3747" s="77">
        <f t="shared" si="1"/>
        <v>0</v>
      </c>
      <c r="C3747" s="67"/>
      <c r="D3747" s="78"/>
      <c r="E3747" s="101"/>
      <c r="F3747" s="108"/>
      <c r="G3747" s="120"/>
      <c r="H3747" s="101"/>
      <c r="I3747" s="93"/>
      <c r="J3747" s="91"/>
      <c r="L3747" s="94" t="str">
        <f t="shared" si="2"/>
        <v>No infirmation</v>
      </c>
      <c r="M3747" s="94" t="str">
        <f t="shared" si="3"/>
        <v/>
      </c>
    </row>
    <row r="3748" ht="15.75" customHeight="1">
      <c r="B3748" s="77">
        <f t="shared" si="1"/>
        <v>0</v>
      </c>
      <c r="C3748" s="67"/>
      <c r="D3748" s="78"/>
      <c r="E3748" s="101"/>
      <c r="F3748" s="108"/>
      <c r="G3748" s="120"/>
      <c r="H3748" s="101"/>
      <c r="I3748" s="93"/>
      <c r="J3748" s="91"/>
      <c r="L3748" s="94" t="str">
        <f t="shared" si="2"/>
        <v>No infirmation</v>
      </c>
      <c r="M3748" s="94" t="str">
        <f t="shared" si="3"/>
        <v/>
      </c>
    </row>
    <row r="3749" ht="15.75" customHeight="1">
      <c r="B3749" s="77">
        <f t="shared" si="1"/>
        <v>0</v>
      </c>
      <c r="C3749" s="67"/>
      <c r="D3749" s="78"/>
      <c r="E3749" s="101"/>
      <c r="F3749" s="108"/>
      <c r="G3749" s="120"/>
      <c r="H3749" s="101"/>
      <c r="I3749" s="93"/>
      <c r="J3749" s="91"/>
      <c r="L3749" s="94" t="str">
        <f t="shared" si="2"/>
        <v>No infirmation</v>
      </c>
      <c r="M3749" s="94" t="str">
        <f t="shared" si="3"/>
        <v/>
      </c>
    </row>
    <row r="3750" ht="15.75" customHeight="1">
      <c r="B3750" s="77">
        <f t="shared" si="1"/>
        <v>0</v>
      </c>
      <c r="C3750" s="67"/>
      <c r="D3750" s="78"/>
      <c r="E3750" s="101"/>
      <c r="F3750" s="108"/>
      <c r="G3750" s="120"/>
      <c r="H3750" s="101"/>
      <c r="I3750" s="93"/>
      <c r="J3750" s="91"/>
      <c r="L3750" s="94" t="str">
        <f t="shared" si="2"/>
        <v>No infirmation</v>
      </c>
      <c r="M3750" s="94" t="str">
        <f t="shared" si="3"/>
        <v/>
      </c>
    </row>
    <row r="3751" ht="15.75" customHeight="1">
      <c r="B3751" s="77">
        <f t="shared" si="1"/>
        <v>0</v>
      </c>
      <c r="C3751" s="67"/>
      <c r="D3751" s="78"/>
      <c r="E3751" s="101"/>
      <c r="F3751" s="108"/>
      <c r="G3751" s="120"/>
      <c r="H3751" s="101"/>
      <c r="I3751" s="93"/>
      <c r="J3751" s="91"/>
      <c r="L3751" s="94" t="str">
        <f t="shared" si="2"/>
        <v>No infirmation</v>
      </c>
      <c r="M3751" s="94" t="str">
        <f t="shared" si="3"/>
        <v/>
      </c>
    </row>
    <row r="3752" ht="15.75" customHeight="1">
      <c r="B3752" s="77">
        <f t="shared" si="1"/>
        <v>0</v>
      </c>
      <c r="C3752" s="67"/>
      <c r="D3752" s="78"/>
      <c r="E3752" s="101"/>
      <c r="F3752" s="108"/>
      <c r="G3752" s="120"/>
      <c r="H3752" s="101"/>
      <c r="I3752" s="93"/>
      <c r="J3752" s="91"/>
      <c r="L3752" s="94" t="str">
        <f t="shared" si="2"/>
        <v>No infirmation</v>
      </c>
      <c r="M3752" s="94" t="str">
        <f t="shared" si="3"/>
        <v/>
      </c>
    </row>
    <row r="3753" ht="15.75" customHeight="1">
      <c r="B3753" s="77">
        <f t="shared" si="1"/>
        <v>0</v>
      </c>
      <c r="C3753" s="67"/>
      <c r="D3753" s="78"/>
      <c r="E3753" s="101"/>
      <c r="F3753" s="108"/>
      <c r="G3753" s="120"/>
      <c r="H3753" s="101"/>
      <c r="I3753" s="93"/>
      <c r="J3753" s="91"/>
      <c r="L3753" s="94" t="str">
        <f t="shared" si="2"/>
        <v>No infirmation</v>
      </c>
      <c r="M3753" s="94" t="str">
        <f t="shared" si="3"/>
        <v/>
      </c>
    </row>
    <row r="3754" ht="15.75" customHeight="1">
      <c r="B3754" s="77">
        <f t="shared" si="1"/>
        <v>0</v>
      </c>
      <c r="C3754" s="67"/>
      <c r="D3754" s="78"/>
      <c r="E3754" s="101"/>
      <c r="F3754" s="108"/>
      <c r="G3754" s="120"/>
      <c r="H3754" s="101"/>
      <c r="I3754" s="93"/>
      <c r="J3754" s="91"/>
      <c r="L3754" s="94" t="str">
        <f t="shared" si="2"/>
        <v>No infirmation</v>
      </c>
      <c r="M3754" s="94" t="str">
        <f t="shared" si="3"/>
        <v/>
      </c>
    </row>
    <row r="3755" ht="15.75" customHeight="1">
      <c r="B3755" s="77">
        <f t="shared" si="1"/>
        <v>0</v>
      </c>
      <c r="C3755" s="67"/>
      <c r="D3755" s="78"/>
      <c r="E3755" s="101"/>
      <c r="F3755" s="108"/>
      <c r="G3755" s="120"/>
      <c r="H3755" s="101"/>
      <c r="I3755" s="93"/>
      <c r="J3755" s="91"/>
      <c r="L3755" s="94" t="str">
        <f t="shared" si="2"/>
        <v>No infirmation</v>
      </c>
      <c r="M3755" s="94" t="str">
        <f t="shared" si="3"/>
        <v/>
      </c>
    </row>
    <row r="3756" ht="15.75" customHeight="1">
      <c r="B3756" s="77">
        <f t="shared" si="1"/>
        <v>0</v>
      </c>
      <c r="C3756" s="67"/>
      <c r="D3756" s="78"/>
      <c r="E3756" s="101"/>
      <c r="F3756" s="108"/>
      <c r="G3756" s="120"/>
      <c r="H3756" s="101"/>
      <c r="I3756" s="93"/>
      <c r="J3756" s="91"/>
      <c r="L3756" s="94" t="str">
        <f t="shared" si="2"/>
        <v>No infirmation</v>
      </c>
      <c r="M3756" s="94" t="str">
        <f t="shared" si="3"/>
        <v/>
      </c>
    </row>
    <row r="3757" ht="15.75" customHeight="1">
      <c r="B3757" s="77">
        <f t="shared" si="1"/>
        <v>0</v>
      </c>
      <c r="C3757" s="67"/>
      <c r="D3757" s="78"/>
      <c r="E3757" s="101"/>
      <c r="F3757" s="108"/>
      <c r="G3757" s="120"/>
      <c r="H3757" s="101"/>
      <c r="I3757" s="93"/>
      <c r="J3757" s="91"/>
      <c r="L3757" s="94" t="str">
        <f t="shared" si="2"/>
        <v>No infirmation</v>
      </c>
      <c r="M3757" s="94" t="str">
        <f t="shared" si="3"/>
        <v/>
      </c>
    </row>
    <row r="3758" ht="15.75" customHeight="1">
      <c r="B3758" s="77">
        <f t="shared" si="1"/>
        <v>0</v>
      </c>
      <c r="C3758" s="67"/>
      <c r="D3758" s="78"/>
      <c r="E3758" s="101"/>
      <c r="F3758" s="108"/>
      <c r="G3758" s="120"/>
      <c r="H3758" s="101"/>
      <c r="I3758" s="93"/>
      <c r="J3758" s="91"/>
      <c r="L3758" s="94" t="str">
        <f t="shared" si="2"/>
        <v>No infirmation</v>
      </c>
      <c r="M3758" s="94" t="str">
        <f t="shared" si="3"/>
        <v/>
      </c>
    </row>
    <row r="3759" ht="15.75" customHeight="1">
      <c r="B3759" s="77">
        <f t="shared" si="1"/>
        <v>0</v>
      </c>
      <c r="C3759" s="67"/>
      <c r="D3759" s="78"/>
      <c r="E3759" s="101"/>
      <c r="F3759" s="108"/>
      <c r="G3759" s="120"/>
      <c r="H3759" s="101"/>
      <c r="I3759" s="93"/>
      <c r="J3759" s="91"/>
      <c r="L3759" s="94" t="str">
        <f t="shared" si="2"/>
        <v>No infirmation</v>
      </c>
      <c r="M3759" s="94" t="str">
        <f t="shared" si="3"/>
        <v/>
      </c>
    </row>
    <row r="3760" ht="15.75" customHeight="1">
      <c r="B3760" s="77">
        <f t="shared" si="1"/>
        <v>0</v>
      </c>
      <c r="C3760" s="67"/>
      <c r="D3760" s="78"/>
      <c r="E3760" s="101"/>
      <c r="F3760" s="108"/>
      <c r="G3760" s="120"/>
      <c r="H3760" s="101"/>
      <c r="I3760" s="93"/>
      <c r="J3760" s="91"/>
      <c r="L3760" s="94" t="str">
        <f t="shared" si="2"/>
        <v>No infirmation</v>
      </c>
      <c r="M3760" s="94" t="str">
        <f t="shared" si="3"/>
        <v/>
      </c>
    </row>
    <row r="3761" ht="15.75" customHeight="1">
      <c r="B3761" s="77">
        <f t="shared" si="1"/>
        <v>0</v>
      </c>
      <c r="C3761" s="67"/>
      <c r="D3761" s="78"/>
      <c r="E3761" s="101"/>
      <c r="F3761" s="108"/>
      <c r="G3761" s="120"/>
      <c r="H3761" s="101"/>
      <c r="I3761" s="93"/>
      <c r="J3761" s="91"/>
      <c r="L3761" s="94" t="str">
        <f t="shared" si="2"/>
        <v>No infirmation</v>
      </c>
      <c r="M3761" s="94" t="str">
        <f t="shared" si="3"/>
        <v/>
      </c>
    </row>
    <row r="3762" ht="15.75" customHeight="1">
      <c r="B3762" s="77">
        <f t="shared" si="1"/>
        <v>0</v>
      </c>
      <c r="C3762" s="67"/>
      <c r="D3762" s="78"/>
      <c r="E3762" s="101"/>
      <c r="F3762" s="108"/>
      <c r="G3762" s="120"/>
      <c r="H3762" s="101"/>
      <c r="I3762" s="93"/>
      <c r="J3762" s="91"/>
      <c r="L3762" s="94" t="str">
        <f t="shared" si="2"/>
        <v>No infirmation</v>
      </c>
      <c r="M3762" s="94" t="str">
        <f t="shared" si="3"/>
        <v/>
      </c>
    </row>
    <row r="3763" ht="15.75" customHeight="1">
      <c r="B3763" s="77">
        <f t="shared" si="1"/>
        <v>0</v>
      </c>
      <c r="C3763" s="67"/>
      <c r="D3763" s="78"/>
      <c r="E3763" s="101"/>
      <c r="F3763" s="108"/>
      <c r="G3763" s="120"/>
      <c r="H3763" s="101"/>
      <c r="I3763" s="93"/>
      <c r="J3763" s="91"/>
      <c r="L3763" s="94" t="str">
        <f t="shared" si="2"/>
        <v>No infirmation</v>
      </c>
      <c r="M3763" s="94" t="str">
        <f t="shared" si="3"/>
        <v/>
      </c>
    </row>
    <row r="3764" ht="15.75" customHeight="1">
      <c r="B3764" s="77">
        <f t="shared" si="1"/>
        <v>0</v>
      </c>
      <c r="C3764" s="67"/>
      <c r="D3764" s="78"/>
      <c r="E3764" s="101"/>
      <c r="F3764" s="108"/>
      <c r="G3764" s="120"/>
      <c r="H3764" s="101"/>
      <c r="I3764" s="93"/>
      <c r="J3764" s="91"/>
      <c r="L3764" s="94" t="str">
        <f t="shared" si="2"/>
        <v>No infirmation</v>
      </c>
      <c r="M3764" s="94" t="str">
        <f t="shared" si="3"/>
        <v/>
      </c>
    </row>
    <row r="3765" ht="15.75" customHeight="1">
      <c r="B3765" s="77">
        <f t="shared" si="1"/>
        <v>0</v>
      </c>
      <c r="C3765" s="67"/>
      <c r="D3765" s="78"/>
      <c r="E3765" s="101"/>
      <c r="F3765" s="108"/>
      <c r="G3765" s="120"/>
      <c r="H3765" s="101"/>
      <c r="I3765" s="93"/>
      <c r="J3765" s="91"/>
      <c r="L3765" s="94" t="str">
        <f t="shared" si="2"/>
        <v>No infirmation</v>
      </c>
      <c r="M3765" s="94" t="str">
        <f t="shared" si="3"/>
        <v/>
      </c>
    </row>
    <row r="3766" ht="15.75" customHeight="1">
      <c r="B3766" s="77">
        <f t="shared" si="1"/>
        <v>0</v>
      </c>
      <c r="C3766" s="67"/>
      <c r="D3766" s="78"/>
      <c r="E3766" s="101"/>
      <c r="F3766" s="108"/>
      <c r="G3766" s="120"/>
      <c r="H3766" s="101"/>
      <c r="I3766" s="93"/>
      <c r="J3766" s="91"/>
      <c r="L3766" s="94" t="str">
        <f t="shared" si="2"/>
        <v>No infirmation</v>
      </c>
      <c r="M3766" s="94" t="str">
        <f t="shared" si="3"/>
        <v/>
      </c>
    </row>
    <row r="3767" ht="15.75" customHeight="1">
      <c r="B3767" s="77">
        <f t="shared" si="1"/>
        <v>0</v>
      </c>
      <c r="C3767" s="67"/>
      <c r="D3767" s="78"/>
      <c r="E3767" s="101"/>
      <c r="F3767" s="108"/>
      <c r="G3767" s="120"/>
      <c r="H3767" s="101"/>
      <c r="I3767" s="93"/>
      <c r="J3767" s="91"/>
      <c r="L3767" s="94" t="str">
        <f t="shared" si="2"/>
        <v>No infirmation</v>
      </c>
      <c r="M3767" s="94" t="str">
        <f t="shared" si="3"/>
        <v/>
      </c>
    </row>
    <row r="3768" ht="15.75" customHeight="1">
      <c r="B3768" s="77">
        <f t="shared" si="1"/>
        <v>0</v>
      </c>
      <c r="C3768" s="67"/>
      <c r="D3768" s="78"/>
      <c r="E3768" s="101"/>
      <c r="F3768" s="108"/>
      <c r="G3768" s="120"/>
      <c r="H3768" s="101"/>
      <c r="I3768" s="93"/>
      <c r="J3768" s="91"/>
      <c r="L3768" s="94" t="str">
        <f t="shared" si="2"/>
        <v>No infirmation</v>
      </c>
      <c r="M3768" s="94" t="str">
        <f t="shared" si="3"/>
        <v/>
      </c>
    </row>
    <row r="3769" ht="15.75" customHeight="1">
      <c r="B3769" s="77">
        <f t="shared" si="1"/>
        <v>0</v>
      </c>
      <c r="C3769" s="67"/>
      <c r="D3769" s="78"/>
      <c r="E3769" s="101"/>
      <c r="F3769" s="108"/>
      <c r="G3769" s="120"/>
      <c r="H3769" s="101"/>
      <c r="I3769" s="93"/>
      <c r="J3769" s="91"/>
      <c r="L3769" s="94" t="str">
        <f t="shared" si="2"/>
        <v>No infirmation</v>
      </c>
      <c r="M3769" s="94" t="str">
        <f t="shared" si="3"/>
        <v/>
      </c>
    </row>
    <row r="3770" ht="15.75" customHeight="1">
      <c r="B3770" s="77">
        <f t="shared" si="1"/>
        <v>0</v>
      </c>
      <c r="C3770" s="67"/>
      <c r="D3770" s="78"/>
      <c r="E3770" s="101"/>
      <c r="F3770" s="108"/>
      <c r="G3770" s="120"/>
      <c r="H3770" s="101"/>
      <c r="I3770" s="93"/>
      <c r="J3770" s="91"/>
      <c r="L3770" s="94" t="str">
        <f t="shared" si="2"/>
        <v>No infirmation</v>
      </c>
      <c r="M3770" s="94" t="str">
        <f t="shared" si="3"/>
        <v/>
      </c>
    </row>
    <row r="3771" ht="15.75" customHeight="1">
      <c r="B3771" s="77">
        <f t="shared" si="1"/>
        <v>0</v>
      </c>
      <c r="C3771" s="67"/>
      <c r="D3771" s="78"/>
      <c r="E3771" s="101"/>
      <c r="F3771" s="108"/>
      <c r="G3771" s="120"/>
      <c r="H3771" s="101"/>
      <c r="I3771" s="93"/>
      <c r="J3771" s="91"/>
      <c r="L3771" s="94" t="str">
        <f t="shared" si="2"/>
        <v>No infirmation</v>
      </c>
      <c r="M3771" s="94" t="str">
        <f t="shared" si="3"/>
        <v/>
      </c>
    </row>
    <row r="3772" ht="15.75" customHeight="1">
      <c r="B3772" s="77">
        <f t="shared" si="1"/>
        <v>0</v>
      </c>
      <c r="C3772" s="67"/>
      <c r="D3772" s="78"/>
      <c r="E3772" s="101"/>
      <c r="F3772" s="108"/>
      <c r="G3772" s="120"/>
      <c r="H3772" s="101"/>
      <c r="I3772" s="93"/>
      <c r="J3772" s="91"/>
      <c r="L3772" s="94" t="str">
        <f t="shared" si="2"/>
        <v>No infirmation</v>
      </c>
      <c r="M3772" s="94" t="str">
        <f t="shared" si="3"/>
        <v/>
      </c>
    </row>
    <row r="3773" ht="15.75" customHeight="1">
      <c r="B3773" s="77">
        <f t="shared" si="1"/>
        <v>0</v>
      </c>
      <c r="C3773" s="67"/>
      <c r="D3773" s="78"/>
      <c r="E3773" s="101"/>
      <c r="F3773" s="108"/>
      <c r="G3773" s="120"/>
      <c r="H3773" s="101"/>
      <c r="I3773" s="93"/>
      <c r="J3773" s="91"/>
      <c r="L3773" s="94" t="str">
        <f t="shared" si="2"/>
        <v>No infirmation</v>
      </c>
      <c r="M3773" s="94" t="str">
        <f t="shared" si="3"/>
        <v/>
      </c>
    </row>
    <row r="3774" ht="15.75" customHeight="1">
      <c r="B3774" s="77">
        <f t="shared" si="1"/>
        <v>0</v>
      </c>
      <c r="C3774" s="67"/>
      <c r="D3774" s="78"/>
      <c r="E3774" s="101"/>
      <c r="F3774" s="108"/>
      <c r="G3774" s="120"/>
      <c r="H3774" s="101"/>
      <c r="I3774" s="93"/>
      <c r="J3774" s="91"/>
      <c r="L3774" s="94" t="str">
        <f t="shared" si="2"/>
        <v>No infirmation</v>
      </c>
      <c r="M3774" s="94" t="str">
        <f t="shared" si="3"/>
        <v/>
      </c>
    </row>
    <row r="3775" ht="15.75" customHeight="1">
      <c r="B3775" s="77">
        <f t="shared" si="1"/>
        <v>0</v>
      </c>
      <c r="C3775" s="67"/>
      <c r="D3775" s="78"/>
      <c r="E3775" s="101"/>
      <c r="F3775" s="108"/>
      <c r="G3775" s="120"/>
      <c r="H3775" s="101"/>
      <c r="I3775" s="93"/>
      <c r="J3775" s="91"/>
      <c r="L3775" s="94" t="str">
        <f t="shared" si="2"/>
        <v>No infirmation</v>
      </c>
      <c r="M3775" s="94" t="str">
        <f t="shared" si="3"/>
        <v/>
      </c>
    </row>
    <row r="3776" ht="15.75" customHeight="1">
      <c r="B3776" s="77">
        <f t="shared" si="1"/>
        <v>0</v>
      </c>
      <c r="C3776" s="67"/>
      <c r="D3776" s="78"/>
      <c r="E3776" s="101"/>
      <c r="F3776" s="108"/>
      <c r="G3776" s="120"/>
      <c r="H3776" s="101"/>
      <c r="I3776" s="93"/>
      <c r="J3776" s="91"/>
      <c r="L3776" s="94" t="str">
        <f t="shared" si="2"/>
        <v>No infirmation</v>
      </c>
      <c r="M3776" s="94" t="str">
        <f t="shared" si="3"/>
        <v/>
      </c>
    </row>
    <row r="3777" ht="15.75" customHeight="1">
      <c r="B3777" s="77">
        <f t="shared" si="1"/>
        <v>0</v>
      </c>
      <c r="C3777" s="67"/>
      <c r="D3777" s="78"/>
      <c r="E3777" s="101"/>
      <c r="F3777" s="108"/>
      <c r="G3777" s="120"/>
      <c r="H3777" s="101"/>
      <c r="I3777" s="93"/>
      <c r="J3777" s="91"/>
      <c r="L3777" s="94" t="str">
        <f t="shared" si="2"/>
        <v>No infirmation</v>
      </c>
      <c r="M3777" s="94" t="str">
        <f t="shared" si="3"/>
        <v/>
      </c>
    </row>
    <row r="3778" ht="15.75" customHeight="1">
      <c r="B3778" s="77">
        <f t="shared" si="1"/>
        <v>0</v>
      </c>
      <c r="C3778" s="67"/>
      <c r="D3778" s="78"/>
      <c r="E3778" s="101"/>
      <c r="F3778" s="108"/>
      <c r="G3778" s="120"/>
      <c r="H3778" s="101"/>
      <c r="I3778" s="93"/>
      <c r="J3778" s="91"/>
      <c r="L3778" s="94" t="str">
        <f t="shared" si="2"/>
        <v>No infirmation</v>
      </c>
      <c r="M3778" s="94" t="str">
        <f t="shared" si="3"/>
        <v/>
      </c>
    </row>
    <row r="3779" ht="15.75" customHeight="1">
      <c r="B3779" s="77">
        <f t="shared" si="1"/>
        <v>0</v>
      </c>
      <c r="C3779" s="67"/>
      <c r="D3779" s="78"/>
      <c r="E3779" s="101"/>
      <c r="F3779" s="108"/>
      <c r="G3779" s="120"/>
      <c r="H3779" s="101"/>
      <c r="I3779" s="93"/>
      <c r="J3779" s="91"/>
      <c r="L3779" s="94" t="str">
        <f t="shared" si="2"/>
        <v>No infirmation</v>
      </c>
      <c r="M3779" s="94" t="str">
        <f t="shared" si="3"/>
        <v/>
      </c>
    </row>
    <row r="3780" ht="15.75" customHeight="1">
      <c r="B3780" s="77">
        <f t="shared" si="1"/>
        <v>0</v>
      </c>
      <c r="C3780" s="67"/>
      <c r="D3780" s="78"/>
      <c r="E3780" s="101"/>
      <c r="F3780" s="108"/>
      <c r="G3780" s="120"/>
      <c r="H3780" s="101"/>
      <c r="I3780" s="93"/>
      <c r="J3780" s="91"/>
      <c r="L3780" s="94" t="str">
        <f t="shared" si="2"/>
        <v>No infirmation</v>
      </c>
      <c r="M3780" s="94" t="str">
        <f t="shared" si="3"/>
        <v/>
      </c>
    </row>
    <row r="3781" ht="15.75" customHeight="1">
      <c r="B3781" s="77">
        <f t="shared" si="1"/>
        <v>0</v>
      </c>
      <c r="C3781" s="67"/>
      <c r="D3781" s="78"/>
      <c r="E3781" s="101"/>
      <c r="F3781" s="108"/>
      <c r="G3781" s="120"/>
      <c r="H3781" s="101"/>
      <c r="I3781" s="93"/>
      <c r="J3781" s="91"/>
      <c r="L3781" s="94" t="str">
        <f t="shared" si="2"/>
        <v>No infirmation</v>
      </c>
      <c r="M3781" s="94" t="str">
        <f t="shared" si="3"/>
        <v/>
      </c>
    </row>
    <row r="3782" ht="15.75" customHeight="1">
      <c r="B3782" s="77">
        <f t="shared" si="1"/>
        <v>0</v>
      </c>
      <c r="C3782" s="67"/>
      <c r="D3782" s="78"/>
      <c r="E3782" s="101"/>
      <c r="F3782" s="108"/>
      <c r="G3782" s="120"/>
      <c r="H3782" s="101"/>
      <c r="I3782" s="93"/>
      <c r="J3782" s="91"/>
      <c r="L3782" s="94" t="str">
        <f t="shared" si="2"/>
        <v>No infirmation</v>
      </c>
      <c r="M3782" s="94" t="str">
        <f t="shared" si="3"/>
        <v/>
      </c>
    </row>
    <row r="3783" ht="15.75" customHeight="1">
      <c r="B3783" s="77">
        <f t="shared" si="1"/>
        <v>0</v>
      </c>
      <c r="C3783" s="67"/>
      <c r="D3783" s="78"/>
      <c r="E3783" s="101"/>
      <c r="F3783" s="108"/>
      <c r="G3783" s="120"/>
      <c r="H3783" s="101"/>
      <c r="I3783" s="93"/>
      <c r="J3783" s="91"/>
      <c r="L3783" s="94" t="str">
        <f t="shared" si="2"/>
        <v>No infirmation</v>
      </c>
      <c r="M3783" s="94" t="str">
        <f t="shared" si="3"/>
        <v/>
      </c>
    </row>
    <row r="3784" ht="15.75" customHeight="1">
      <c r="B3784" s="77">
        <f t="shared" si="1"/>
        <v>0</v>
      </c>
      <c r="C3784" s="67"/>
      <c r="D3784" s="78"/>
      <c r="E3784" s="101"/>
      <c r="F3784" s="108"/>
      <c r="G3784" s="120"/>
      <c r="H3784" s="101"/>
      <c r="I3784" s="93"/>
      <c r="J3784" s="91"/>
      <c r="L3784" s="94" t="str">
        <f t="shared" si="2"/>
        <v>No infirmation</v>
      </c>
      <c r="M3784" s="94" t="str">
        <f t="shared" si="3"/>
        <v/>
      </c>
    </row>
    <row r="3785" ht="15.75" customHeight="1">
      <c r="B3785" s="77">
        <f t="shared" si="1"/>
        <v>0</v>
      </c>
      <c r="C3785" s="67"/>
      <c r="D3785" s="78"/>
      <c r="E3785" s="101"/>
      <c r="F3785" s="108"/>
      <c r="G3785" s="120"/>
      <c r="H3785" s="101"/>
      <c r="I3785" s="93"/>
      <c r="J3785" s="91"/>
      <c r="L3785" s="94" t="str">
        <f t="shared" si="2"/>
        <v>No infirmation</v>
      </c>
      <c r="M3785" s="94" t="str">
        <f t="shared" si="3"/>
        <v/>
      </c>
    </row>
    <row r="3786" ht="15.75" customHeight="1">
      <c r="B3786" s="77">
        <f t="shared" si="1"/>
        <v>0</v>
      </c>
      <c r="C3786" s="67"/>
      <c r="D3786" s="78"/>
      <c r="E3786" s="101"/>
      <c r="F3786" s="108"/>
      <c r="G3786" s="120"/>
      <c r="H3786" s="101"/>
      <c r="I3786" s="93"/>
      <c r="J3786" s="91"/>
      <c r="L3786" s="94" t="str">
        <f t="shared" si="2"/>
        <v>No infirmation</v>
      </c>
      <c r="M3786" s="94" t="str">
        <f t="shared" si="3"/>
        <v/>
      </c>
    </row>
    <row r="3787" ht="15.75" customHeight="1">
      <c r="B3787" s="77">
        <f t="shared" si="1"/>
        <v>0</v>
      </c>
      <c r="C3787" s="67"/>
      <c r="D3787" s="78"/>
      <c r="E3787" s="101"/>
      <c r="F3787" s="108"/>
      <c r="G3787" s="120"/>
      <c r="H3787" s="101"/>
      <c r="I3787" s="93"/>
      <c r="J3787" s="91"/>
      <c r="L3787" s="94" t="str">
        <f t="shared" si="2"/>
        <v>No infirmation</v>
      </c>
      <c r="M3787" s="94" t="str">
        <f t="shared" si="3"/>
        <v/>
      </c>
    </row>
    <row r="3788" ht="15.75" customHeight="1">
      <c r="B3788" s="77">
        <f t="shared" si="1"/>
        <v>0</v>
      </c>
      <c r="C3788" s="67"/>
      <c r="D3788" s="78"/>
      <c r="E3788" s="101"/>
      <c r="F3788" s="108"/>
      <c r="G3788" s="120"/>
      <c r="H3788" s="101"/>
      <c r="I3788" s="93"/>
      <c r="J3788" s="91"/>
      <c r="L3788" s="94" t="str">
        <f t="shared" si="2"/>
        <v>No infirmation</v>
      </c>
      <c r="M3788" s="94" t="str">
        <f t="shared" si="3"/>
        <v/>
      </c>
    </row>
    <row r="3789" ht="15.75" customHeight="1">
      <c r="B3789" s="77">
        <f t="shared" si="1"/>
        <v>0</v>
      </c>
      <c r="C3789" s="67"/>
      <c r="D3789" s="78"/>
      <c r="E3789" s="101"/>
      <c r="F3789" s="108"/>
      <c r="G3789" s="120"/>
      <c r="H3789" s="101"/>
      <c r="I3789" s="93"/>
      <c r="J3789" s="91"/>
      <c r="L3789" s="94" t="str">
        <f t="shared" si="2"/>
        <v>No infirmation</v>
      </c>
      <c r="M3789" s="94" t="str">
        <f t="shared" si="3"/>
        <v/>
      </c>
    </row>
    <row r="3790" ht="15.75" customHeight="1">
      <c r="B3790" s="77">
        <f t="shared" si="1"/>
        <v>0</v>
      </c>
      <c r="C3790" s="67"/>
      <c r="D3790" s="78"/>
      <c r="E3790" s="101"/>
      <c r="F3790" s="108"/>
      <c r="G3790" s="120"/>
      <c r="H3790" s="101"/>
      <c r="I3790" s="93"/>
      <c r="J3790" s="91"/>
      <c r="L3790" s="94" t="str">
        <f t="shared" si="2"/>
        <v>No infirmation</v>
      </c>
      <c r="M3790" s="94" t="str">
        <f t="shared" si="3"/>
        <v/>
      </c>
    </row>
    <row r="3791" ht="15.75" customHeight="1">
      <c r="B3791" s="77">
        <f t="shared" si="1"/>
        <v>0</v>
      </c>
      <c r="C3791" s="67"/>
      <c r="D3791" s="78"/>
      <c r="E3791" s="101"/>
      <c r="F3791" s="108"/>
      <c r="G3791" s="120"/>
      <c r="H3791" s="101"/>
      <c r="I3791" s="93"/>
      <c r="J3791" s="91"/>
      <c r="L3791" s="94" t="str">
        <f t="shared" si="2"/>
        <v>No infirmation</v>
      </c>
      <c r="M3791" s="94" t="str">
        <f t="shared" si="3"/>
        <v/>
      </c>
    </row>
    <row r="3792" ht="15.75" customHeight="1">
      <c r="B3792" s="77">
        <f t="shared" si="1"/>
        <v>0</v>
      </c>
      <c r="C3792" s="67"/>
      <c r="D3792" s="78"/>
      <c r="E3792" s="101"/>
      <c r="F3792" s="108"/>
      <c r="G3792" s="120"/>
      <c r="H3792" s="101"/>
      <c r="I3792" s="93"/>
      <c r="J3792" s="91"/>
      <c r="L3792" s="94" t="str">
        <f t="shared" si="2"/>
        <v>No infirmation</v>
      </c>
      <c r="M3792" s="94" t="str">
        <f t="shared" si="3"/>
        <v/>
      </c>
    </row>
    <row r="3793" ht="15.75" customHeight="1">
      <c r="B3793" s="77">
        <f t="shared" si="1"/>
        <v>0</v>
      </c>
      <c r="C3793" s="67"/>
      <c r="D3793" s="78"/>
      <c r="E3793" s="101"/>
      <c r="F3793" s="108"/>
      <c r="G3793" s="120"/>
      <c r="H3793" s="101"/>
      <c r="I3793" s="93"/>
      <c r="J3793" s="91"/>
      <c r="L3793" s="94" t="str">
        <f t="shared" si="2"/>
        <v>No infirmation</v>
      </c>
      <c r="M3793" s="94" t="str">
        <f t="shared" si="3"/>
        <v/>
      </c>
    </row>
    <row r="3794" ht="15.75" customHeight="1">
      <c r="B3794" s="77">
        <f t="shared" si="1"/>
        <v>0</v>
      </c>
      <c r="C3794" s="67"/>
      <c r="D3794" s="78"/>
      <c r="E3794" s="101"/>
      <c r="F3794" s="108"/>
      <c r="G3794" s="120"/>
      <c r="H3794" s="101"/>
      <c r="I3794" s="93"/>
      <c r="J3794" s="91"/>
      <c r="L3794" s="94" t="str">
        <f t="shared" si="2"/>
        <v>No infirmation</v>
      </c>
      <c r="M3794" s="94" t="str">
        <f t="shared" si="3"/>
        <v/>
      </c>
    </row>
    <row r="3795" ht="15.75" customHeight="1">
      <c r="B3795" s="77">
        <f t="shared" si="1"/>
        <v>0</v>
      </c>
      <c r="C3795" s="67"/>
      <c r="D3795" s="78"/>
      <c r="E3795" s="101"/>
      <c r="F3795" s="108"/>
      <c r="G3795" s="120"/>
      <c r="H3795" s="101"/>
      <c r="I3795" s="93"/>
      <c r="J3795" s="91"/>
      <c r="L3795" s="94" t="str">
        <f t="shared" si="2"/>
        <v>No infirmation</v>
      </c>
      <c r="M3795" s="94" t="str">
        <f t="shared" si="3"/>
        <v/>
      </c>
    </row>
    <row r="3796" ht="15.75" customHeight="1">
      <c r="B3796" s="77">
        <f t="shared" si="1"/>
        <v>0</v>
      </c>
      <c r="C3796" s="67"/>
      <c r="D3796" s="78"/>
      <c r="E3796" s="101"/>
      <c r="F3796" s="108"/>
      <c r="G3796" s="120"/>
      <c r="H3796" s="101"/>
      <c r="I3796" s="93"/>
      <c r="J3796" s="91"/>
      <c r="L3796" s="94" t="str">
        <f t="shared" si="2"/>
        <v>No infirmation</v>
      </c>
      <c r="M3796" s="94" t="str">
        <f t="shared" si="3"/>
        <v/>
      </c>
    </row>
    <row r="3797" ht="15.75" customHeight="1">
      <c r="B3797" s="77">
        <f t="shared" si="1"/>
        <v>0</v>
      </c>
      <c r="C3797" s="67"/>
      <c r="D3797" s="78"/>
      <c r="E3797" s="101"/>
      <c r="F3797" s="108"/>
      <c r="G3797" s="120"/>
      <c r="H3797" s="101"/>
      <c r="I3797" s="93"/>
      <c r="J3797" s="91"/>
      <c r="L3797" s="94" t="str">
        <f t="shared" si="2"/>
        <v>No infirmation</v>
      </c>
      <c r="M3797" s="94" t="str">
        <f t="shared" si="3"/>
        <v/>
      </c>
    </row>
    <row r="3798" ht="15.75" customHeight="1">
      <c r="B3798" s="77">
        <f t="shared" si="1"/>
        <v>0</v>
      </c>
      <c r="C3798" s="67"/>
      <c r="D3798" s="78"/>
      <c r="E3798" s="101"/>
      <c r="F3798" s="108"/>
      <c r="G3798" s="120"/>
      <c r="H3798" s="101"/>
      <c r="I3798" s="93"/>
      <c r="J3798" s="91"/>
      <c r="L3798" s="94" t="str">
        <f t="shared" si="2"/>
        <v>No infirmation</v>
      </c>
      <c r="M3798" s="94" t="str">
        <f t="shared" si="3"/>
        <v/>
      </c>
    </row>
    <row r="3799" ht="15.75" customHeight="1">
      <c r="B3799" s="77">
        <f t="shared" si="1"/>
        <v>0</v>
      </c>
      <c r="C3799" s="67"/>
      <c r="D3799" s="78"/>
      <c r="E3799" s="101"/>
      <c r="F3799" s="108"/>
      <c r="G3799" s="120"/>
      <c r="H3799" s="101"/>
      <c r="I3799" s="93"/>
      <c r="J3799" s="91"/>
      <c r="L3799" s="94" t="str">
        <f t="shared" si="2"/>
        <v>No infirmation</v>
      </c>
      <c r="M3799" s="94" t="str">
        <f t="shared" si="3"/>
        <v/>
      </c>
    </row>
    <row r="3800" ht="15.75" customHeight="1">
      <c r="B3800" s="77">
        <f t="shared" si="1"/>
        <v>0</v>
      </c>
      <c r="C3800" s="67"/>
      <c r="D3800" s="78"/>
      <c r="E3800" s="101"/>
      <c r="F3800" s="108"/>
      <c r="G3800" s="120"/>
      <c r="H3800" s="101"/>
      <c r="I3800" s="93"/>
      <c r="J3800" s="91"/>
      <c r="L3800" s="94" t="str">
        <f t="shared" si="2"/>
        <v>No infirmation</v>
      </c>
      <c r="M3800" s="94" t="str">
        <f t="shared" si="3"/>
        <v/>
      </c>
    </row>
    <row r="3801" ht="15.75" customHeight="1">
      <c r="B3801" s="77">
        <f t="shared" si="1"/>
        <v>0</v>
      </c>
      <c r="C3801" s="67"/>
      <c r="D3801" s="78"/>
      <c r="E3801" s="101"/>
      <c r="F3801" s="108"/>
      <c r="G3801" s="120"/>
      <c r="H3801" s="101"/>
      <c r="I3801" s="93"/>
      <c r="J3801" s="91"/>
      <c r="L3801" s="94" t="str">
        <f t="shared" si="2"/>
        <v>No infirmation</v>
      </c>
      <c r="M3801" s="94" t="str">
        <f t="shared" si="3"/>
        <v/>
      </c>
    </row>
    <row r="3802" ht="15.75" customHeight="1">
      <c r="B3802" s="77">
        <f t="shared" si="1"/>
        <v>0</v>
      </c>
      <c r="C3802" s="67"/>
      <c r="D3802" s="78"/>
      <c r="E3802" s="101"/>
      <c r="F3802" s="108"/>
      <c r="G3802" s="120"/>
      <c r="H3802" s="101"/>
      <c r="I3802" s="93"/>
      <c r="J3802" s="91"/>
      <c r="L3802" s="94" t="str">
        <f t="shared" si="2"/>
        <v>No infirmation</v>
      </c>
      <c r="M3802" s="94" t="str">
        <f t="shared" si="3"/>
        <v/>
      </c>
    </row>
    <row r="3803" ht="15.75" customHeight="1">
      <c r="B3803" s="77">
        <f t="shared" si="1"/>
        <v>0</v>
      </c>
      <c r="C3803" s="67"/>
      <c r="D3803" s="78"/>
      <c r="E3803" s="101"/>
      <c r="F3803" s="108"/>
      <c r="G3803" s="120"/>
      <c r="H3803" s="101"/>
      <c r="I3803" s="93"/>
      <c r="J3803" s="91"/>
      <c r="L3803" s="94" t="str">
        <f t="shared" si="2"/>
        <v>No infirmation</v>
      </c>
      <c r="M3803" s="94" t="str">
        <f t="shared" si="3"/>
        <v/>
      </c>
    </row>
    <row r="3804" ht="15.75" customHeight="1">
      <c r="B3804" s="77">
        <f t="shared" si="1"/>
        <v>0</v>
      </c>
      <c r="C3804" s="67"/>
      <c r="D3804" s="78"/>
      <c r="E3804" s="101"/>
      <c r="F3804" s="108"/>
      <c r="G3804" s="120"/>
      <c r="H3804" s="101"/>
      <c r="I3804" s="93"/>
      <c r="J3804" s="91"/>
      <c r="L3804" s="94" t="str">
        <f t="shared" si="2"/>
        <v>No infirmation</v>
      </c>
      <c r="M3804" s="94" t="str">
        <f t="shared" si="3"/>
        <v/>
      </c>
    </row>
    <row r="3805" ht="15.75" customHeight="1">
      <c r="B3805" s="77">
        <f t="shared" si="1"/>
        <v>0</v>
      </c>
      <c r="C3805" s="67"/>
      <c r="D3805" s="78"/>
      <c r="E3805" s="101"/>
      <c r="F3805" s="108"/>
      <c r="G3805" s="120"/>
      <c r="H3805" s="101"/>
      <c r="I3805" s="93"/>
      <c r="J3805" s="91"/>
      <c r="L3805" s="94" t="str">
        <f t="shared" si="2"/>
        <v>No infirmation</v>
      </c>
      <c r="M3805" s="94" t="str">
        <f t="shared" si="3"/>
        <v/>
      </c>
    </row>
    <row r="3806" ht="15.75" customHeight="1">
      <c r="B3806" s="77">
        <f t="shared" si="1"/>
        <v>0</v>
      </c>
      <c r="C3806" s="67"/>
      <c r="D3806" s="78"/>
      <c r="E3806" s="101"/>
      <c r="F3806" s="108"/>
      <c r="G3806" s="120"/>
      <c r="H3806" s="101"/>
      <c r="I3806" s="93"/>
      <c r="J3806" s="91"/>
      <c r="L3806" s="94" t="str">
        <f t="shared" si="2"/>
        <v>No infirmation</v>
      </c>
      <c r="M3806" s="94" t="str">
        <f t="shared" si="3"/>
        <v/>
      </c>
    </row>
    <row r="3807" ht="15.75" customHeight="1">
      <c r="B3807" s="77">
        <f t="shared" si="1"/>
        <v>0</v>
      </c>
      <c r="C3807" s="67"/>
      <c r="D3807" s="78"/>
      <c r="E3807" s="101"/>
      <c r="F3807" s="108"/>
      <c r="G3807" s="120"/>
      <c r="H3807" s="101"/>
      <c r="I3807" s="93"/>
      <c r="J3807" s="91"/>
      <c r="L3807" s="94" t="str">
        <f t="shared" si="2"/>
        <v>No infirmation</v>
      </c>
      <c r="M3807" s="94" t="str">
        <f t="shared" si="3"/>
        <v/>
      </c>
    </row>
    <row r="3808" ht="15.75" customHeight="1">
      <c r="B3808" s="77">
        <f t="shared" si="1"/>
        <v>0</v>
      </c>
      <c r="C3808" s="67"/>
      <c r="D3808" s="78"/>
      <c r="E3808" s="101"/>
      <c r="F3808" s="108"/>
      <c r="G3808" s="120"/>
      <c r="H3808" s="101"/>
      <c r="I3808" s="93"/>
      <c r="J3808" s="91"/>
      <c r="L3808" s="94" t="str">
        <f t="shared" si="2"/>
        <v>No infirmation</v>
      </c>
      <c r="M3808" s="94" t="str">
        <f t="shared" si="3"/>
        <v/>
      </c>
    </row>
    <row r="3809" ht="15.75" customHeight="1">
      <c r="B3809" s="77">
        <f t="shared" si="1"/>
        <v>0</v>
      </c>
      <c r="C3809" s="67"/>
      <c r="D3809" s="78"/>
      <c r="E3809" s="101"/>
      <c r="F3809" s="108"/>
      <c r="G3809" s="120"/>
      <c r="H3809" s="101"/>
      <c r="I3809" s="93"/>
      <c r="J3809" s="91"/>
      <c r="L3809" s="94" t="str">
        <f t="shared" si="2"/>
        <v>No infirmation</v>
      </c>
      <c r="M3809" s="94" t="str">
        <f t="shared" si="3"/>
        <v/>
      </c>
    </row>
    <row r="3810" ht="15.75" customHeight="1">
      <c r="B3810" s="77">
        <f t="shared" si="1"/>
        <v>0</v>
      </c>
      <c r="C3810" s="67"/>
      <c r="D3810" s="78"/>
      <c r="E3810" s="101"/>
      <c r="F3810" s="108"/>
      <c r="G3810" s="120"/>
      <c r="H3810" s="101"/>
      <c r="I3810" s="93"/>
      <c r="J3810" s="91"/>
      <c r="L3810" s="94" t="str">
        <f t="shared" si="2"/>
        <v>No infirmation</v>
      </c>
      <c r="M3810" s="94" t="str">
        <f t="shared" si="3"/>
        <v/>
      </c>
    </row>
    <row r="3811" ht="15.75" customHeight="1">
      <c r="B3811" s="77">
        <f t="shared" si="1"/>
        <v>0</v>
      </c>
      <c r="C3811" s="67"/>
      <c r="D3811" s="78"/>
      <c r="E3811" s="101"/>
      <c r="F3811" s="108"/>
      <c r="G3811" s="120"/>
      <c r="H3811" s="101"/>
      <c r="I3811" s="93"/>
      <c r="J3811" s="91"/>
      <c r="L3811" s="94" t="str">
        <f t="shared" si="2"/>
        <v>No infirmation</v>
      </c>
      <c r="M3811" s="94" t="str">
        <f t="shared" si="3"/>
        <v/>
      </c>
    </row>
    <row r="3812" ht="15.75" customHeight="1">
      <c r="B3812" s="77">
        <f t="shared" si="1"/>
        <v>0</v>
      </c>
      <c r="C3812" s="67"/>
      <c r="D3812" s="78"/>
      <c r="E3812" s="101"/>
      <c r="F3812" s="108"/>
      <c r="G3812" s="120"/>
      <c r="H3812" s="101"/>
      <c r="I3812" s="93"/>
      <c r="J3812" s="91"/>
      <c r="L3812" s="94" t="str">
        <f t="shared" si="2"/>
        <v>No infirmation</v>
      </c>
      <c r="M3812" s="94" t="str">
        <f t="shared" si="3"/>
        <v/>
      </c>
    </row>
    <row r="3813" ht="15.75" customHeight="1">
      <c r="B3813" s="77">
        <f t="shared" si="1"/>
        <v>0</v>
      </c>
      <c r="C3813" s="67"/>
      <c r="D3813" s="78"/>
      <c r="E3813" s="101"/>
      <c r="F3813" s="108"/>
      <c r="G3813" s="120"/>
      <c r="H3813" s="101"/>
      <c r="I3813" s="93"/>
      <c r="J3813" s="91"/>
      <c r="L3813" s="94" t="str">
        <f t="shared" si="2"/>
        <v>No infirmation</v>
      </c>
      <c r="M3813" s="94" t="str">
        <f t="shared" si="3"/>
        <v/>
      </c>
    </row>
    <row r="3814" ht="15.75" customHeight="1">
      <c r="B3814" s="77">
        <f t="shared" si="1"/>
        <v>0</v>
      </c>
      <c r="C3814" s="67"/>
      <c r="D3814" s="78"/>
      <c r="E3814" s="101"/>
      <c r="F3814" s="108"/>
      <c r="G3814" s="120"/>
      <c r="H3814" s="101"/>
      <c r="I3814" s="93"/>
      <c r="J3814" s="91"/>
      <c r="L3814" s="94" t="str">
        <f t="shared" si="2"/>
        <v>No infirmation</v>
      </c>
      <c r="M3814" s="94" t="str">
        <f t="shared" si="3"/>
        <v/>
      </c>
    </row>
    <row r="3815" ht="15.75" customHeight="1">
      <c r="B3815" s="77">
        <f t="shared" si="1"/>
        <v>0</v>
      </c>
      <c r="C3815" s="67"/>
      <c r="D3815" s="78"/>
      <c r="E3815" s="101"/>
      <c r="F3815" s="108"/>
      <c r="G3815" s="120"/>
      <c r="H3815" s="101"/>
      <c r="I3815" s="93"/>
      <c r="J3815" s="91"/>
      <c r="L3815" s="94" t="str">
        <f t="shared" si="2"/>
        <v>No infirmation</v>
      </c>
      <c r="M3815" s="94" t="str">
        <f t="shared" si="3"/>
        <v/>
      </c>
    </row>
    <row r="3816" ht="15.75" customHeight="1">
      <c r="B3816" s="77">
        <f t="shared" si="1"/>
        <v>0</v>
      </c>
      <c r="C3816" s="67"/>
      <c r="D3816" s="78"/>
      <c r="E3816" s="101"/>
      <c r="F3816" s="108"/>
      <c r="G3816" s="120"/>
      <c r="H3816" s="101"/>
      <c r="I3816" s="93"/>
      <c r="J3816" s="91"/>
      <c r="L3816" s="94" t="str">
        <f t="shared" si="2"/>
        <v>No infirmation</v>
      </c>
      <c r="M3816" s="94" t="str">
        <f t="shared" si="3"/>
        <v/>
      </c>
    </row>
    <row r="3817" ht="15.75" customHeight="1">
      <c r="B3817" s="77">
        <f t="shared" si="1"/>
        <v>0</v>
      </c>
      <c r="C3817" s="67"/>
      <c r="D3817" s="78"/>
      <c r="E3817" s="101"/>
      <c r="F3817" s="108"/>
      <c r="G3817" s="120"/>
      <c r="H3817" s="101"/>
      <c r="I3817" s="93"/>
      <c r="J3817" s="91"/>
      <c r="L3817" s="94" t="str">
        <f t="shared" si="2"/>
        <v>No infirmation</v>
      </c>
      <c r="M3817" s="94" t="str">
        <f t="shared" si="3"/>
        <v/>
      </c>
    </row>
    <row r="3818" ht="15.75" customHeight="1">
      <c r="B3818" s="77">
        <f t="shared" si="1"/>
        <v>0</v>
      </c>
      <c r="C3818" s="67"/>
      <c r="D3818" s="78"/>
      <c r="E3818" s="101"/>
      <c r="F3818" s="108"/>
      <c r="G3818" s="120"/>
      <c r="H3818" s="101"/>
      <c r="I3818" s="93"/>
      <c r="J3818" s="91"/>
      <c r="L3818" s="94" t="str">
        <f t="shared" si="2"/>
        <v>No infirmation</v>
      </c>
      <c r="M3818" s="94" t="str">
        <f t="shared" si="3"/>
        <v/>
      </c>
    </row>
    <row r="3819" ht="15.75" customHeight="1">
      <c r="B3819" s="77">
        <f t="shared" si="1"/>
        <v>0</v>
      </c>
      <c r="C3819" s="67"/>
      <c r="D3819" s="78"/>
      <c r="E3819" s="101"/>
      <c r="F3819" s="108"/>
      <c r="G3819" s="120"/>
      <c r="H3819" s="101"/>
      <c r="I3819" s="93"/>
      <c r="J3819" s="91"/>
      <c r="L3819" s="94" t="str">
        <f t="shared" si="2"/>
        <v>No infirmation</v>
      </c>
      <c r="M3819" s="94" t="str">
        <f t="shared" si="3"/>
        <v/>
      </c>
    </row>
    <row r="3820" ht="15.75" customHeight="1">
      <c r="B3820" s="77">
        <f t="shared" si="1"/>
        <v>0</v>
      </c>
      <c r="C3820" s="67"/>
      <c r="D3820" s="78"/>
      <c r="E3820" s="101"/>
      <c r="F3820" s="108"/>
      <c r="G3820" s="120"/>
      <c r="H3820" s="101"/>
      <c r="I3820" s="93"/>
      <c r="J3820" s="91"/>
      <c r="L3820" s="94" t="str">
        <f t="shared" si="2"/>
        <v>No infirmation</v>
      </c>
      <c r="M3820" s="94" t="str">
        <f t="shared" si="3"/>
        <v/>
      </c>
    </row>
    <row r="3821" ht="15.75" customHeight="1">
      <c r="B3821" s="77">
        <f t="shared" si="1"/>
        <v>0</v>
      </c>
      <c r="C3821" s="67"/>
      <c r="D3821" s="78"/>
      <c r="E3821" s="101"/>
      <c r="F3821" s="108"/>
      <c r="G3821" s="120"/>
      <c r="H3821" s="101"/>
      <c r="I3821" s="93"/>
      <c r="J3821" s="91"/>
      <c r="L3821" s="94" t="str">
        <f t="shared" si="2"/>
        <v>No infirmation</v>
      </c>
      <c r="M3821" s="94" t="str">
        <f t="shared" si="3"/>
        <v/>
      </c>
    </row>
    <row r="3822" ht="15.75" customHeight="1">
      <c r="B3822" s="77">
        <f t="shared" si="1"/>
        <v>0</v>
      </c>
      <c r="C3822" s="67"/>
      <c r="D3822" s="78"/>
      <c r="E3822" s="101"/>
      <c r="F3822" s="108"/>
      <c r="G3822" s="120"/>
      <c r="H3822" s="101"/>
      <c r="I3822" s="93"/>
      <c r="J3822" s="91"/>
      <c r="L3822" s="94" t="str">
        <f t="shared" si="2"/>
        <v>No infirmation</v>
      </c>
      <c r="M3822" s="94" t="str">
        <f t="shared" si="3"/>
        <v/>
      </c>
    </row>
    <row r="3823" ht="15.75" customHeight="1">
      <c r="B3823" s="77">
        <f t="shared" si="1"/>
        <v>0</v>
      </c>
      <c r="C3823" s="67"/>
      <c r="D3823" s="78"/>
      <c r="E3823" s="101"/>
      <c r="F3823" s="108"/>
      <c r="G3823" s="120"/>
      <c r="H3823" s="101"/>
      <c r="I3823" s="93"/>
      <c r="J3823" s="91"/>
      <c r="L3823" s="94" t="str">
        <f t="shared" si="2"/>
        <v>No infirmation</v>
      </c>
      <c r="M3823" s="94" t="str">
        <f t="shared" si="3"/>
        <v/>
      </c>
    </row>
    <row r="3824" ht="15.75" customHeight="1">
      <c r="B3824" s="77">
        <f t="shared" si="1"/>
        <v>0</v>
      </c>
      <c r="C3824" s="67"/>
      <c r="D3824" s="78"/>
      <c r="E3824" s="101"/>
      <c r="F3824" s="108"/>
      <c r="G3824" s="120"/>
      <c r="H3824" s="101"/>
      <c r="I3824" s="93"/>
      <c r="J3824" s="91"/>
      <c r="L3824" s="94" t="str">
        <f t="shared" si="2"/>
        <v>No infirmation</v>
      </c>
      <c r="M3824" s="94" t="str">
        <f t="shared" si="3"/>
        <v/>
      </c>
    </row>
    <row r="3825" ht="15.75" customHeight="1">
      <c r="B3825" s="77">
        <f t="shared" si="1"/>
        <v>0</v>
      </c>
      <c r="C3825" s="67"/>
      <c r="D3825" s="78"/>
      <c r="E3825" s="101"/>
      <c r="F3825" s="108"/>
      <c r="G3825" s="120"/>
      <c r="H3825" s="101"/>
      <c r="I3825" s="93"/>
      <c r="J3825" s="91"/>
      <c r="L3825" s="94" t="str">
        <f t="shared" si="2"/>
        <v>No infirmation</v>
      </c>
      <c r="M3825" s="94" t="str">
        <f t="shared" si="3"/>
        <v/>
      </c>
    </row>
    <row r="3826" ht="15.75" customHeight="1">
      <c r="B3826" s="77">
        <f t="shared" si="1"/>
        <v>0</v>
      </c>
      <c r="C3826" s="67"/>
      <c r="D3826" s="78"/>
      <c r="E3826" s="101"/>
      <c r="F3826" s="108"/>
      <c r="G3826" s="120"/>
      <c r="H3826" s="101"/>
      <c r="I3826" s="93"/>
      <c r="J3826" s="91"/>
      <c r="L3826" s="94" t="str">
        <f t="shared" si="2"/>
        <v>No infirmation</v>
      </c>
      <c r="M3826" s="94" t="str">
        <f t="shared" si="3"/>
        <v/>
      </c>
    </row>
    <row r="3827" ht="15.75" customHeight="1">
      <c r="B3827" s="77">
        <f t="shared" si="1"/>
        <v>0</v>
      </c>
      <c r="C3827" s="67"/>
      <c r="D3827" s="78"/>
      <c r="E3827" s="101"/>
      <c r="F3827" s="108"/>
      <c r="G3827" s="120"/>
      <c r="H3827" s="101"/>
      <c r="I3827" s="93"/>
      <c r="J3827" s="91"/>
      <c r="L3827" s="94" t="str">
        <f t="shared" si="2"/>
        <v>No infirmation</v>
      </c>
      <c r="M3827" s="94" t="str">
        <f t="shared" si="3"/>
        <v/>
      </c>
    </row>
    <row r="3828" ht="15.75" customHeight="1">
      <c r="B3828" s="77">
        <f t="shared" si="1"/>
        <v>0</v>
      </c>
      <c r="C3828" s="67"/>
      <c r="D3828" s="78"/>
      <c r="E3828" s="101"/>
      <c r="F3828" s="108"/>
      <c r="G3828" s="120"/>
      <c r="H3828" s="101"/>
      <c r="I3828" s="93"/>
      <c r="J3828" s="91"/>
      <c r="L3828" s="94" t="str">
        <f t="shared" si="2"/>
        <v>No infirmation</v>
      </c>
      <c r="M3828" s="94" t="str">
        <f t="shared" si="3"/>
        <v/>
      </c>
    </row>
    <row r="3829" ht="15.75" customHeight="1">
      <c r="B3829" s="77">
        <f t="shared" si="1"/>
        <v>0</v>
      </c>
      <c r="C3829" s="67"/>
      <c r="D3829" s="78"/>
      <c r="E3829" s="101"/>
      <c r="F3829" s="108"/>
      <c r="G3829" s="120"/>
      <c r="H3829" s="101"/>
      <c r="I3829" s="93"/>
      <c r="J3829" s="91"/>
      <c r="L3829" s="94" t="str">
        <f t="shared" si="2"/>
        <v>No infirmation</v>
      </c>
      <c r="M3829" s="94" t="str">
        <f t="shared" si="3"/>
        <v/>
      </c>
    </row>
    <row r="3830" ht="15.75" customHeight="1">
      <c r="B3830" s="77">
        <f t="shared" si="1"/>
        <v>0</v>
      </c>
      <c r="C3830" s="67"/>
      <c r="D3830" s="78"/>
      <c r="E3830" s="101"/>
      <c r="F3830" s="108"/>
      <c r="G3830" s="120"/>
      <c r="H3830" s="101"/>
      <c r="I3830" s="93"/>
      <c r="J3830" s="91"/>
      <c r="L3830" s="94" t="str">
        <f t="shared" si="2"/>
        <v>No infirmation</v>
      </c>
      <c r="M3830" s="94" t="str">
        <f t="shared" si="3"/>
        <v/>
      </c>
    </row>
    <row r="3831" ht="15.75" customHeight="1">
      <c r="B3831" s="77">
        <f t="shared" si="1"/>
        <v>0</v>
      </c>
      <c r="C3831" s="67"/>
      <c r="D3831" s="78"/>
      <c r="E3831" s="101"/>
      <c r="F3831" s="108"/>
      <c r="G3831" s="120"/>
      <c r="H3831" s="101"/>
      <c r="I3831" s="93"/>
      <c r="J3831" s="91"/>
      <c r="L3831" s="94" t="str">
        <f t="shared" si="2"/>
        <v>No infirmation</v>
      </c>
      <c r="M3831" s="94" t="str">
        <f t="shared" si="3"/>
        <v/>
      </c>
    </row>
    <row r="3832" ht="15.75" customHeight="1">
      <c r="B3832" s="77">
        <f t="shared" si="1"/>
        <v>0</v>
      </c>
      <c r="C3832" s="67"/>
      <c r="D3832" s="78"/>
      <c r="E3832" s="101"/>
      <c r="F3832" s="108"/>
      <c r="G3832" s="120"/>
      <c r="H3832" s="101"/>
      <c r="I3832" s="93"/>
      <c r="J3832" s="91"/>
      <c r="L3832" s="94" t="str">
        <f t="shared" si="2"/>
        <v>No infirmation</v>
      </c>
      <c r="M3832" s="94" t="str">
        <f t="shared" si="3"/>
        <v/>
      </c>
    </row>
    <row r="3833" ht="15.75" customHeight="1">
      <c r="B3833" s="77">
        <f t="shared" si="1"/>
        <v>0</v>
      </c>
      <c r="C3833" s="67"/>
      <c r="D3833" s="78"/>
      <c r="E3833" s="101"/>
      <c r="F3833" s="108"/>
      <c r="G3833" s="120"/>
      <c r="H3833" s="101"/>
      <c r="I3833" s="93"/>
      <c r="J3833" s="91"/>
      <c r="L3833" s="94" t="str">
        <f t="shared" si="2"/>
        <v>No infirmation</v>
      </c>
      <c r="M3833" s="94" t="str">
        <f t="shared" si="3"/>
        <v/>
      </c>
    </row>
    <row r="3834" ht="15.75" customHeight="1">
      <c r="B3834" s="77">
        <f t="shared" si="1"/>
        <v>0</v>
      </c>
      <c r="C3834" s="67"/>
      <c r="D3834" s="78"/>
      <c r="E3834" s="101"/>
      <c r="F3834" s="108"/>
      <c r="G3834" s="120"/>
      <c r="H3834" s="101"/>
      <c r="I3834" s="93"/>
      <c r="J3834" s="91"/>
      <c r="L3834" s="94" t="str">
        <f t="shared" si="2"/>
        <v>No infirmation</v>
      </c>
      <c r="M3834" s="94" t="str">
        <f t="shared" si="3"/>
        <v/>
      </c>
    </row>
    <row r="3835" ht="15.75" customHeight="1">
      <c r="B3835" s="77">
        <f t="shared" si="1"/>
        <v>0</v>
      </c>
      <c r="C3835" s="67"/>
      <c r="D3835" s="78"/>
      <c r="E3835" s="101"/>
      <c r="F3835" s="108"/>
      <c r="G3835" s="120"/>
      <c r="H3835" s="101"/>
      <c r="I3835" s="93"/>
      <c r="J3835" s="91"/>
      <c r="L3835" s="94" t="str">
        <f t="shared" si="2"/>
        <v>No infirmation</v>
      </c>
      <c r="M3835" s="94" t="str">
        <f t="shared" si="3"/>
        <v/>
      </c>
    </row>
    <row r="3836" ht="15.75" customHeight="1">
      <c r="B3836" s="77">
        <f t="shared" si="1"/>
        <v>0</v>
      </c>
      <c r="C3836" s="67"/>
      <c r="D3836" s="78"/>
      <c r="E3836" s="101"/>
      <c r="F3836" s="108"/>
      <c r="G3836" s="120"/>
      <c r="H3836" s="101"/>
      <c r="I3836" s="93"/>
      <c r="J3836" s="91"/>
      <c r="L3836" s="94" t="str">
        <f t="shared" si="2"/>
        <v>No infirmation</v>
      </c>
      <c r="M3836" s="94" t="str">
        <f t="shared" si="3"/>
        <v/>
      </c>
    </row>
    <row r="3837" ht="15.75" customHeight="1">
      <c r="B3837" s="77">
        <f t="shared" si="1"/>
        <v>0</v>
      </c>
      <c r="C3837" s="67"/>
      <c r="D3837" s="78"/>
      <c r="E3837" s="101"/>
      <c r="F3837" s="108"/>
      <c r="G3837" s="120"/>
      <c r="H3837" s="101"/>
      <c r="I3837" s="93"/>
      <c r="J3837" s="91"/>
      <c r="L3837" s="94" t="str">
        <f t="shared" si="2"/>
        <v>No infirmation</v>
      </c>
      <c r="M3837" s="94" t="str">
        <f t="shared" si="3"/>
        <v/>
      </c>
    </row>
    <row r="3838" ht="15.75" customHeight="1">
      <c r="B3838" s="77">
        <f t="shared" si="1"/>
        <v>0</v>
      </c>
      <c r="C3838" s="67"/>
      <c r="D3838" s="78"/>
      <c r="E3838" s="101"/>
      <c r="F3838" s="108"/>
      <c r="G3838" s="120"/>
      <c r="H3838" s="101"/>
      <c r="I3838" s="93"/>
      <c r="J3838" s="91"/>
      <c r="L3838" s="94" t="str">
        <f t="shared" si="2"/>
        <v>No infirmation</v>
      </c>
      <c r="M3838" s="94" t="str">
        <f t="shared" si="3"/>
        <v/>
      </c>
    </row>
    <row r="3839" ht="15.75" customHeight="1">
      <c r="B3839" s="77">
        <f t="shared" si="1"/>
        <v>0</v>
      </c>
      <c r="C3839" s="67"/>
      <c r="D3839" s="78"/>
      <c r="E3839" s="101"/>
      <c r="F3839" s="108"/>
      <c r="G3839" s="120"/>
      <c r="H3839" s="101"/>
      <c r="I3839" s="93"/>
      <c r="J3839" s="91"/>
      <c r="L3839" s="94" t="str">
        <f t="shared" si="2"/>
        <v>No infirmation</v>
      </c>
      <c r="M3839" s="94" t="str">
        <f t="shared" si="3"/>
        <v/>
      </c>
    </row>
    <row r="3840" ht="15.75" customHeight="1">
      <c r="B3840" s="77">
        <f t="shared" si="1"/>
        <v>0</v>
      </c>
      <c r="C3840" s="67"/>
      <c r="D3840" s="78"/>
      <c r="E3840" s="101"/>
      <c r="F3840" s="108"/>
      <c r="G3840" s="120"/>
      <c r="H3840" s="101"/>
      <c r="I3840" s="93"/>
      <c r="J3840" s="91"/>
      <c r="L3840" s="94" t="str">
        <f t="shared" si="2"/>
        <v>No infirmation</v>
      </c>
      <c r="M3840" s="94" t="str">
        <f t="shared" si="3"/>
        <v/>
      </c>
    </row>
    <row r="3841" ht="15.75" customHeight="1">
      <c r="B3841" s="77">
        <f t="shared" si="1"/>
        <v>0</v>
      </c>
      <c r="C3841" s="67"/>
      <c r="D3841" s="78"/>
      <c r="E3841" s="101"/>
      <c r="F3841" s="108"/>
      <c r="G3841" s="120"/>
      <c r="H3841" s="101"/>
      <c r="I3841" s="93"/>
      <c r="J3841" s="91"/>
      <c r="L3841" s="94" t="str">
        <f t="shared" si="2"/>
        <v>No infirmation</v>
      </c>
      <c r="M3841" s="94" t="str">
        <f t="shared" si="3"/>
        <v/>
      </c>
    </row>
    <row r="3842" ht="15.75" customHeight="1">
      <c r="B3842" s="77">
        <f t="shared" si="1"/>
        <v>0</v>
      </c>
      <c r="C3842" s="67"/>
      <c r="D3842" s="78"/>
      <c r="E3842" s="101"/>
      <c r="F3842" s="108"/>
      <c r="G3842" s="120"/>
      <c r="H3842" s="101"/>
      <c r="I3842" s="93"/>
      <c r="J3842" s="91"/>
      <c r="L3842" s="94" t="str">
        <f t="shared" si="2"/>
        <v>No infirmation</v>
      </c>
      <c r="M3842" s="94" t="str">
        <f t="shared" si="3"/>
        <v/>
      </c>
    </row>
    <row r="3843" ht="15.75" customHeight="1">
      <c r="B3843" s="77">
        <f t="shared" si="1"/>
        <v>0</v>
      </c>
      <c r="C3843" s="67"/>
      <c r="D3843" s="78"/>
      <c r="E3843" s="101"/>
      <c r="F3843" s="108"/>
      <c r="G3843" s="120"/>
      <c r="H3843" s="101"/>
      <c r="I3843" s="93"/>
      <c r="J3843" s="91"/>
      <c r="L3843" s="94" t="str">
        <f t="shared" si="2"/>
        <v>No infirmation</v>
      </c>
      <c r="M3843" s="94" t="str">
        <f t="shared" si="3"/>
        <v/>
      </c>
    </row>
    <row r="3844" ht="15.75" customHeight="1">
      <c r="B3844" s="77">
        <f t="shared" si="1"/>
        <v>0</v>
      </c>
      <c r="C3844" s="67"/>
      <c r="D3844" s="78"/>
      <c r="E3844" s="101"/>
      <c r="F3844" s="108"/>
      <c r="G3844" s="120"/>
      <c r="H3844" s="101"/>
      <c r="I3844" s="93"/>
      <c r="J3844" s="91"/>
      <c r="L3844" s="94" t="str">
        <f t="shared" si="2"/>
        <v>No infirmation</v>
      </c>
      <c r="M3844" s="94" t="str">
        <f t="shared" si="3"/>
        <v/>
      </c>
    </row>
    <row r="3845" ht="15.75" customHeight="1">
      <c r="B3845" s="77">
        <f t="shared" si="1"/>
        <v>0</v>
      </c>
      <c r="C3845" s="67"/>
      <c r="D3845" s="78"/>
      <c r="E3845" s="101"/>
      <c r="F3845" s="108"/>
      <c r="G3845" s="120"/>
      <c r="H3845" s="101"/>
      <c r="I3845" s="93"/>
      <c r="J3845" s="91"/>
      <c r="L3845" s="94" t="str">
        <f t="shared" si="2"/>
        <v>No infirmation</v>
      </c>
      <c r="M3845" s="94" t="str">
        <f t="shared" si="3"/>
        <v/>
      </c>
    </row>
    <row r="3846" ht="15.75" customHeight="1">
      <c r="B3846" s="77">
        <f t="shared" si="1"/>
        <v>0</v>
      </c>
      <c r="C3846" s="67"/>
      <c r="D3846" s="78"/>
      <c r="E3846" s="101"/>
      <c r="F3846" s="108"/>
      <c r="G3846" s="120"/>
      <c r="H3846" s="101"/>
      <c r="I3846" s="93"/>
      <c r="J3846" s="91"/>
      <c r="L3846" s="94" t="str">
        <f t="shared" si="2"/>
        <v>No infirmation</v>
      </c>
      <c r="M3846" s="94" t="str">
        <f t="shared" si="3"/>
        <v/>
      </c>
    </row>
    <row r="3847" ht="15.75" customHeight="1">
      <c r="B3847" s="77">
        <f t="shared" si="1"/>
        <v>0</v>
      </c>
      <c r="C3847" s="67"/>
      <c r="D3847" s="78"/>
      <c r="E3847" s="101"/>
      <c r="F3847" s="108"/>
      <c r="G3847" s="120"/>
      <c r="H3847" s="101"/>
      <c r="I3847" s="93"/>
      <c r="J3847" s="91"/>
      <c r="L3847" s="94" t="str">
        <f t="shared" si="2"/>
        <v>No infirmation</v>
      </c>
      <c r="M3847" s="94" t="str">
        <f t="shared" si="3"/>
        <v/>
      </c>
    </row>
    <row r="3848" ht="15.75" customHeight="1">
      <c r="B3848" s="77">
        <f t="shared" si="1"/>
        <v>0</v>
      </c>
      <c r="C3848" s="67"/>
      <c r="D3848" s="78"/>
      <c r="E3848" s="101"/>
      <c r="F3848" s="108"/>
      <c r="G3848" s="120"/>
      <c r="H3848" s="101"/>
      <c r="I3848" s="93"/>
      <c r="J3848" s="91"/>
      <c r="L3848" s="94" t="str">
        <f t="shared" si="2"/>
        <v>No infirmation</v>
      </c>
      <c r="M3848" s="94" t="str">
        <f t="shared" si="3"/>
        <v/>
      </c>
    </row>
    <row r="3849" ht="15.75" customHeight="1">
      <c r="B3849" s="77">
        <f t="shared" si="1"/>
        <v>0</v>
      </c>
      <c r="C3849" s="67"/>
      <c r="D3849" s="78"/>
      <c r="E3849" s="101"/>
      <c r="F3849" s="108"/>
      <c r="G3849" s="120"/>
      <c r="H3849" s="101"/>
      <c r="I3849" s="93"/>
      <c r="J3849" s="91"/>
      <c r="L3849" s="94" t="str">
        <f t="shared" si="2"/>
        <v>No infirmation</v>
      </c>
      <c r="M3849" s="94" t="str">
        <f t="shared" si="3"/>
        <v/>
      </c>
    </row>
    <row r="3850" ht="15.75" customHeight="1">
      <c r="B3850" s="77">
        <f t="shared" si="1"/>
        <v>0</v>
      </c>
      <c r="C3850" s="67"/>
      <c r="D3850" s="78"/>
      <c r="E3850" s="101"/>
      <c r="F3850" s="108"/>
      <c r="G3850" s="120"/>
      <c r="H3850" s="101"/>
      <c r="I3850" s="93"/>
      <c r="J3850" s="91"/>
      <c r="L3850" s="94" t="str">
        <f t="shared" si="2"/>
        <v>No infirmation</v>
      </c>
      <c r="M3850" s="94" t="str">
        <f t="shared" si="3"/>
        <v/>
      </c>
    </row>
    <row r="3851" ht="15.75" customHeight="1">
      <c r="B3851" s="77">
        <f t="shared" si="1"/>
        <v>0</v>
      </c>
      <c r="C3851" s="67"/>
      <c r="D3851" s="78"/>
      <c r="E3851" s="101"/>
      <c r="F3851" s="108"/>
      <c r="G3851" s="120"/>
      <c r="H3851" s="101"/>
      <c r="I3851" s="93"/>
      <c r="J3851" s="91"/>
      <c r="L3851" s="94" t="str">
        <f t="shared" si="2"/>
        <v>No infirmation</v>
      </c>
      <c r="M3851" s="94" t="str">
        <f t="shared" si="3"/>
        <v/>
      </c>
    </row>
    <row r="3852" ht="15.75" customHeight="1">
      <c r="B3852" s="77">
        <f t="shared" si="1"/>
        <v>0</v>
      </c>
      <c r="C3852" s="67"/>
      <c r="D3852" s="78"/>
      <c r="E3852" s="101"/>
      <c r="F3852" s="108"/>
      <c r="G3852" s="120"/>
      <c r="H3852" s="101"/>
      <c r="I3852" s="93"/>
      <c r="J3852" s="91"/>
      <c r="L3852" s="94" t="str">
        <f t="shared" si="2"/>
        <v>No infirmation</v>
      </c>
      <c r="M3852" s="94" t="str">
        <f t="shared" si="3"/>
        <v/>
      </c>
    </row>
    <row r="3853" ht="15.75" customHeight="1">
      <c r="B3853" s="77">
        <f t="shared" si="1"/>
        <v>0</v>
      </c>
      <c r="C3853" s="67"/>
      <c r="D3853" s="78"/>
      <c r="E3853" s="101"/>
      <c r="F3853" s="108"/>
      <c r="G3853" s="120"/>
      <c r="H3853" s="101"/>
      <c r="I3853" s="93"/>
      <c r="J3853" s="91"/>
      <c r="L3853" s="94" t="str">
        <f t="shared" si="2"/>
        <v>No infirmation</v>
      </c>
      <c r="M3853" s="94" t="str">
        <f t="shared" si="3"/>
        <v/>
      </c>
    </row>
    <row r="3854" ht="15.75" customHeight="1">
      <c r="B3854" s="77">
        <f t="shared" si="1"/>
        <v>0</v>
      </c>
      <c r="C3854" s="67"/>
      <c r="D3854" s="78"/>
      <c r="E3854" s="101"/>
      <c r="F3854" s="108"/>
      <c r="G3854" s="120"/>
      <c r="H3854" s="101"/>
      <c r="I3854" s="93"/>
      <c r="J3854" s="91"/>
      <c r="L3854" s="94" t="str">
        <f t="shared" si="2"/>
        <v>No infirmation</v>
      </c>
      <c r="M3854" s="94" t="str">
        <f t="shared" si="3"/>
        <v/>
      </c>
    </row>
    <row r="3855" ht="15.75" customHeight="1">
      <c r="B3855" s="77">
        <f t="shared" si="1"/>
        <v>0</v>
      </c>
      <c r="C3855" s="67"/>
      <c r="D3855" s="78"/>
      <c r="E3855" s="101"/>
      <c r="F3855" s="108"/>
      <c r="G3855" s="120"/>
      <c r="H3855" s="101"/>
      <c r="I3855" s="93"/>
      <c r="J3855" s="91"/>
      <c r="L3855" s="94" t="str">
        <f t="shared" si="2"/>
        <v>No infirmation</v>
      </c>
      <c r="M3855" s="94" t="str">
        <f t="shared" si="3"/>
        <v/>
      </c>
    </row>
    <row r="3856" ht="15.75" customHeight="1">
      <c r="B3856" s="77">
        <f t="shared" si="1"/>
        <v>0</v>
      </c>
      <c r="C3856" s="67"/>
      <c r="D3856" s="78"/>
      <c r="E3856" s="101"/>
      <c r="F3856" s="108"/>
      <c r="G3856" s="120"/>
      <c r="H3856" s="101"/>
      <c r="I3856" s="93"/>
      <c r="J3856" s="91"/>
      <c r="L3856" s="94" t="str">
        <f t="shared" si="2"/>
        <v>No infirmation</v>
      </c>
      <c r="M3856" s="94" t="str">
        <f t="shared" si="3"/>
        <v/>
      </c>
    </row>
    <row r="3857" ht="15.75" customHeight="1">
      <c r="B3857" s="77">
        <f t="shared" si="1"/>
        <v>0</v>
      </c>
      <c r="C3857" s="67"/>
      <c r="D3857" s="78"/>
      <c r="E3857" s="101"/>
      <c r="F3857" s="108"/>
      <c r="G3857" s="120"/>
      <c r="H3857" s="101"/>
      <c r="I3857" s="93"/>
      <c r="J3857" s="91"/>
      <c r="L3857" s="94" t="str">
        <f t="shared" si="2"/>
        <v>No infirmation</v>
      </c>
      <c r="M3857" s="94" t="str">
        <f t="shared" si="3"/>
        <v/>
      </c>
    </row>
    <row r="3858" ht="15.75" customHeight="1">
      <c r="B3858" s="77">
        <f t="shared" si="1"/>
        <v>0</v>
      </c>
      <c r="C3858" s="67"/>
      <c r="D3858" s="78"/>
      <c r="E3858" s="101"/>
      <c r="F3858" s="108"/>
      <c r="G3858" s="120"/>
      <c r="H3858" s="101"/>
      <c r="I3858" s="93"/>
      <c r="J3858" s="91"/>
      <c r="L3858" s="94" t="str">
        <f t="shared" si="2"/>
        <v>No infirmation</v>
      </c>
      <c r="M3858" s="94" t="str">
        <f t="shared" si="3"/>
        <v/>
      </c>
    </row>
    <row r="3859" ht="15.75" customHeight="1">
      <c r="B3859" s="77">
        <f t="shared" si="1"/>
        <v>0</v>
      </c>
      <c r="C3859" s="67"/>
      <c r="D3859" s="78"/>
      <c r="E3859" s="101"/>
      <c r="F3859" s="108"/>
      <c r="G3859" s="120"/>
      <c r="H3859" s="101"/>
      <c r="I3859" s="93"/>
      <c r="J3859" s="91"/>
      <c r="L3859" s="94" t="str">
        <f t="shared" si="2"/>
        <v>No infirmation</v>
      </c>
      <c r="M3859" s="94" t="str">
        <f t="shared" si="3"/>
        <v/>
      </c>
    </row>
    <row r="3860" ht="15.75" customHeight="1">
      <c r="B3860" s="77">
        <f t="shared" si="1"/>
        <v>0</v>
      </c>
      <c r="C3860" s="67"/>
      <c r="D3860" s="78"/>
      <c r="E3860" s="101"/>
      <c r="F3860" s="108"/>
      <c r="G3860" s="120"/>
      <c r="H3860" s="101"/>
      <c r="I3860" s="93"/>
      <c r="J3860" s="91"/>
      <c r="L3860" s="94" t="str">
        <f t="shared" si="2"/>
        <v>No infirmation</v>
      </c>
      <c r="M3860" s="94" t="str">
        <f t="shared" si="3"/>
        <v/>
      </c>
    </row>
    <row r="3861" ht="15.75" customHeight="1">
      <c r="B3861" s="77">
        <f t="shared" si="1"/>
        <v>0</v>
      </c>
      <c r="C3861" s="67"/>
      <c r="D3861" s="78"/>
      <c r="E3861" s="101"/>
      <c r="F3861" s="108"/>
      <c r="G3861" s="120"/>
      <c r="H3861" s="101"/>
      <c r="I3861" s="93"/>
      <c r="J3861" s="91"/>
      <c r="L3861" s="94" t="str">
        <f t="shared" si="2"/>
        <v>No infirmation</v>
      </c>
      <c r="M3861" s="94" t="str">
        <f t="shared" si="3"/>
        <v/>
      </c>
    </row>
    <row r="3862" ht="15.75" customHeight="1">
      <c r="B3862" s="77">
        <f t="shared" si="1"/>
        <v>0</v>
      </c>
      <c r="C3862" s="67"/>
      <c r="D3862" s="78"/>
      <c r="E3862" s="101"/>
      <c r="F3862" s="108"/>
      <c r="G3862" s="120"/>
      <c r="H3862" s="101"/>
      <c r="I3862" s="93"/>
      <c r="J3862" s="91"/>
      <c r="L3862" s="94" t="str">
        <f t="shared" si="2"/>
        <v>No infirmation</v>
      </c>
      <c r="M3862" s="94" t="str">
        <f t="shared" si="3"/>
        <v/>
      </c>
    </row>
    <row r="3863" ht="15.75" customHeight="1">
      <c r="B3863" s="77">
        <f t="shared" si="1"/>
        <v>0</v>
      </c>
      <c r="C3863" s="67"/>
      <c r="D3863" s="78"/>
      <c r="E3863" s="101"/>
      <c r="F3863" s="108"/>
      <c r="G3863" s="120"/>
      <c r="H3863" s="101"/>
      <c r="I3863" s="93"/>
      <c r="J3863" s="91"/>
      <c r="L3863" s="94" t="str">
        <f t="shared" si="2"/>
        <v>No infirmation</v>
      </c>
      <c r="M3863" s="94" t="str">
        <f t="shared" si="3"/>
        <v/>
      </c>
    </row>
    <row r="3864" ht="15.75" customHeight="1">
      <c r="B3864" s="77">
        <f t="shared" si="1"/>
        <v>0</v>
      </c>
      <c r="C3864" s="67"/>
      <c r="D3864" s="78"/>
      <c r="E3864" s="101"/>
      <c r="F3864" s="108"/>
      <c r="G3864" s="120"/>
      <c r="H3864" s="101"/>
      <c r="I3864" s="93"/>
      <c r="J3864" s="91"/>
      <c r="L3864" s="94" t="str">
        <f t="shared" si="2"/>
        <v>No infirmation</v>
      </c>
      <c r="M3864" s="94" t="str">
        <f t="shared" si="3"/>
        <v/>
      </c>
    </row>
    <row r="3865" ht="15.75" customHeight="1">
      <c r="B3865" s="77">
        <f t="shared" si="1"/>
        <v>0</v>
      </c>
      <c r="C3865" s="67"/>
      <c r="D3865" s="78"/>
      <c r="E3865" s="101"/>
      <c r="F3865" s="108"/>
      <c r="G3865" s="120"/>
      <c r="H3865" s="101"/>
      <c r="I3865" s="93"/>
      <c r="J3865" s="91"/>
      <c r="L3865" s="94" t="str">
        <f t="shared" si="2"/>
        <v>No infirmation</v>
      </c>
      <c r="M3865" s="94" t="str">
        <f t="shared" si="3"/>
        <v/>
      </c>
    </row>
    <row r="3866" ht="15.75" customHeight="1">
      <c r="B3866" s="77">
        <f t="shared" si="1"/>
        <v>0</v>
      </c>
      <c r="C3866" s="67"/>
      <c r="D3866" s="78"/>
      <c r="E3866" s="101"/>
      <c r="F3866" s="108"/>
      <c r="G3866" s="120"/>
      <c r="H3866" s="101"/>
      <c r="I3866" s="93"/>
      <c r="J3866" s="91"/>
      <c r="L3866" s="94" t="str">
        <f t="shared" si="2"/>
        <v>No infirmation</v>
      </c>
      <c r="M3866" s="94" t="str">
        <f t="shared" si="3"/>
        <v/>
      </c>
    </row>
    <row r="3867" ht="15.75" customHeight="1">
      <c r="B3867" s="77">
        <f t="shared" si="1"/>
        <v>0</v>
      </c>
      <c r="C3867" s="67"/>
      <c r="D3867" s="78"/>
      <c r="E3867" s="101"/>
      <c r="F3867" s="108"/>
      <c r="G3867" s="120"/>
      <c r="H3867" s="101"/>
      <c r="I3867" s="93"/>
      <c r="J3867" s="91"/>
      <c r="L3867" s="94" t="str">
        <f t="shared" si="2"/>
        <v>No infirmation</v>
      </c>
      <c r="M3867" s="94" t="str">
        <f t="shared" si="3"/>
        <v/>
      </c>
    </row>
    <row r="3868" ht="15.75" customHeight="1">
      <c r="B3868" s="77">
        <f t="shared" si="1"/>
        <v>0</v>
      </c>
      <c r="C3868" s="67"/>
      <c r="D3868" s="78"/>
      <c r="E3868" s="101"/>
      <c r="F3868" s="108"/>
      <c r="G3868" s="120"/>
      <c r="H3868" s="101"/>
      <c r="I3868" s="93"/>
      <c r="J3868" s="91"/>
      <c r="L3868" s="94" t="str">
        <f t="shared" si="2"/>
        <v>No infirmation</v>
      </c>
      <c r="M3868" s="94" t="str">
        <f t="shared" si="3"/>
        <v/>
      </c>
    </row>
    <row r="3869" ht="15.75" customHeight="1">
      <c r="B3869" s="77">
        <f t="shared" si="1"/>
        <v>0</v>
      </c>
      <c r="C3869" s="67"/>
      <c r="D3869" s="78"/>
      <c r="E3869" s="101"/>
      <c r="F3869" s="108"/>
      <c r="G3869" s="120"/>
      <c r="H3869" s="101"/>
      <c r="I3869" s="93"/>
      <c r="J3869" s="91"/>
      <c r="L3869" s="94" t="str">
        <f t="shared" si="2"/>
        <v>No infirmation</v>
      </c>
      <c r="M3869" s="94" t="str">
        <f t="shared" si="3"/>
        <v/>
      </c>
    </row>
    <row r="3870" ht="15.75" customHeight="1">
      <c r="B3870" s="77">
        <f t="shared" si="1"/>
        <v>0</v>
      </c>
      <c r="C3870" s="67"/>
      <c r="D3870" s="78"/>
      <c r="E3870" s="101"/>
      <c r="F3870" s="108"/>
      <c r="G3870" s="120"/>
      <c r="H3870" s="101"/>
      <c r="I3870" s="93"/>
      <c r="J3870" s="91"/>
      <c r="L3870" s="94" t="str">
        <f t="shared" si="2"/>
        <v>No infirmation</v>
      </c>
      <c r="M3870" s="94" t="str">
        <f t="shared" si="3"/>
        <v/>
      </c>
    </row>
    <row r="3871" ht="15.75" customHeight="1">
      <c r="B3871" s="77">
        <f t="shared" si="1"/>
        <v>0</v>
      </c>
      <c r="C3871" s="67"/>
      <c r="D3871" s="78"/>
      <c r="E3871" s="101"/>
      <c r="F3871" s="108"/>
      <c r="G3871" s="120"/>
      <c r="H3871" s="101"/>
      <c r="I3871" s="93"/>
      <c r="J3871" s="91"/>
      <c r="L3871" s="94" t="str">
        <f t="shared" si="2"/>
        <v>No infirmation</v>
      </c>
      <c r="M3871" s="94" t="str">
        <f t="shared" si="3"/>
        <v/>
      </c>
    </row>
    <row r="3872" ht="15.75" customHeight="1">
      <c r="B3872" s="77">
        <f t="shared" si="1"/>
        <v>0</v>
      </c>
      <c r="C3872" s="67"/>
      <c r="D3872" s="78"/>
      <c r="E3872" s="101"/>
      <c r="F3872" s="108"/>
      <c r="G3872" s="120"/>
      <c r="H3872" s="101"/>
      <c r="I3872" s="93"/>
      <c r="J3872" s="91"/>
      <c r="L3872" s="94" t="str">
        <f t="shared" si="2"/>
        <v>No infirmation</v>
      </c>
      <c r="M3872" s="94" t="str">
        <f t="shared" si="3"/>
        <v/>
      </c>
    </row>
    <row r="3873" ht="15.75" customHeight="1">
      <c r="B3873" s="77">
        <f t="shared" si="1"/>
        <v>0</v>
      </c>
      <c r="C3873" s="67"/>
      <c r="D3873" s="78"/>
      <c r="E3873" s="101"/>
      <c r="F3873" s="108"/>
      <c r="G3873" s="120"/>
      <c r="H3873" s="101"/>
      <c r="I3873" s="93"/>
      <c r="J3873" s="91"/>
      <c r="L3873" s="94" t="str">
        <f t="shared" si="2"/>
        <v>No infirmation</v>
      </c>
      <c r="M3873" s="94" t="str">
        <f t="shared" si="3"/>
        <v/>
      </c>
    </row>
    <row r="3874" ht="15.75" customHeight="1">
      <c r="B3874" s="77">
        <f t="shared" si="1"/>
        <v>0</v>
      </c>
      <c r="C3874" s="67"/>
      <c r="D3874" s="78"/>
      <c r="E3874" s="101"/>
      <c r="F3874" s="108"/>
      <c r="G3874" s="120"/>
      <c r="H3874" s="101"/>
      <c r="I3874" s="93"/>
      <c r="J3874" s="91"/>
      <c r="L3874" s="94" t="str">
        <f t="shared" si="2"/>
        <v>No infirmation</v>
      </c>
      <c r="M3874" s="94" t="str">
        <f t="shared" si="3"/>
        <v/>
      </c>
    </row>
    <row r="3875" ht="15.75" customHeight="1">
      <c r="B3875" s="77">
        <f t="shared" si="1"/>
        <v>0</v>
      </c>
      <c r="C3875" s="67"/>
      <c r="D3875" s="78"/>
      <c r="E3875" s="101"/>
      <c r="F3875" s="108"/>
      <c r="G3875" s="120"/>
      <c r="H3875" s="101"/>
      <c r="I3875" s="93"/>
      <c r="J3875" s="91"/>
      <c r="L3875" s="94" t="str">
        <f t="shared" si="2"/>
        <v>No infirmation</v>
      </c>
      <c r="M3875" s="94" t="str">
        <f t="shared" si="3"/>
        <v/>
      </c>
    </row>
    <row r="3876" ht="15.75" customHeight="1">
      <c r="B3876" s="77">
        <f t="shared" si="1"/>
        <v>0</v>
      </c>
      <c r="C3876" s="67"/>
      <c r="D3876" s="78"/>
      <c r="E3876" s="101"/>
      <c r="F3876" s="108"/>
      <c r="G3876" s="120"/>
      <c r="H3876" s="101"/>
      <c r="I3876" s="93"/>
      <c r="J3876" s="91"/>
      <c r="L3876" s="94" t="str">
        <f t="shared" si="2"/>
        <v>No infirmation</v>
      </c>
      <c r="M3876" s="94" t="str">
        <f t="shared" si="3"/>
        <v/>
      </c>
    </row>
    <row r="3877" ht="15.75" customHeight="1">
      <c r="B3877" s="77">
        <f t="shared" si="1"/>
        <v>0</v>
      </c>
      <c r="C3877" s="67"/>
      <c r="D3877" s="78"/>
      <c r="E3877" s="101"/>
      <c r="F3877" s="108"/>
      <c r="G3877" s="120"/>
      <c r="H3877" s="101"/>
      <c r="I3877" s="93"/>
      <c r="J3877" s="91"/>
      <c r="L3877" s="94" t="str">
        <f t="shared" si="2"/>
        <v>No infirmation</v>
      </c>
      <c r="M3877" s="94" t="str">
        <f t="shared" si="3"/>
        <v/>
      </c>
    </row>
    <row r="3878" ht="15.75" customHeight="1">
      <c r="B3878" s="77">
        <f t="shared" si="1"/>
        <v>0</v>
      </c>
      <c r="C3878" s="67"/>
      <c r="D3878" s="78"/>
      <c r="E3878" s="101"/>
      <c r="F3878" s="108"/>
      <c r="G3878" s="120"/>
      <c r="H3878" s="101"/>
      <c r="I3878" s="93"/>
      <c r="J3878" s="91"/>
      <c r="L3878" s="94" t="str">
        <f t="shared" si="2"/>
        <v>No infirmation</v>
      </c>
      <c r="M3878" s="94" t="str">
        <f t="shared" si="3"/>
        <v/>
      </c>
    </row>
    <row r="3879" ht="15.75" customHeight="1">
      <c r="B3879" s="77">
        <f t="shared" si="1"/>
        <v>0</v>
      </c>
      <c r="C3879" s="67"/>
      <c r="D3879" s="78"/>
      <c r="E3879" s="101"/>
      <c r="F3879" s="108"/>
      <c r="G3879" s="120"/>
      <c r="H3879" s="101"/>
      <c r="I3879" s="93"/>
      <c r="J3879" s="91"/>
      <c r="L3879" s="94" t="str">
        <f t="shared" si="2"/>
        <v>No infirmation</v>
      </c>
      <c r="M3879" s="94" t="str">
        <f t="shared" si="3"/>
        <v/>
      </c>
    </row>
    <row r="3880" ht="15.75" customHeight="1">
      <c r="B3880" s="77">
        <f t="shared" si="1"/>
        <v>0</v>
      </c>
      <c r="C3880" s="67"/>
      <c r="D3880" s="78"/>
      <c r="E3880" s="101"/>
      <c r="F3880" s="108"/>
      <c r="G3880" s="120"/>
      <c r="H3880" s="101"/>
      <c r="I3880" s="93"/>
      <c r="J3880" s="91"/>
      <c r="L3880" s="94" t="str">
        <f t="shared" si="2"/>
        <v>No infirmation</v>
      </c>
      <c r="M3880" s="94" t="str">
        <f t="shared" si="3"/>
        <v/>
      </c>
    </row>
    <row r="3881" ht="15.75" customHeight="1">
      <c r="B3881" s="77">
        <f t="shared" si="1"/>
        <v>0</v>
      </c>
      <c r="C3881" s="67"/>
      <c r="D3881" s="78"/>
      <c r="E3881" s="101"/>
      <c r="F3881" s="108"/>
      <c r="G3881" s="120"/>
      <c r="H3881" s="101"/>
      <c r="I3881" s="93"/>
      <c r="J3881" s="91"/>
      <c r="L3881" s="94" t="str">
        <f t="shared" si="2"/>
        <v>No infirmation</v>
      </c>
      <c r="M3881" s="94" t="str">
        <f t="shared" si="3"/>
        <v/>
      </c>
    </row>
    <row r="3882" ht="15.75" customHeight="1">
      <c r="B3882" s="77">
        <f t="shared" si="1"/>
        <v>0</v>
      </c>
      <c r="C3882" s="67"/>
      <c r="D3882" s="78"/>
      <c r="E3882" s="101"/>
      <c r="F3882" s="108"/>
      <c r="G3882" s="120"/>
      <c r="H3882" s="101"/>
      <c r="I3882" s="93"/>
      <c r="J3882" s="91"/>
      <c r="L3882" s="94" t="str">
        <f t="shared" si="2"/>
        <v>No infirmation</v>
      </c>
      <c r="M3882" s="94" t="str">
        <f t="shared" si="3"/>
        <v/>
      </c>
    </row>
    <row r="3883" ht="15.75" customHeight="1">
      <c r="B3883" s="77">
        <f t="shared" si="1"/>
        <v>0</v>
      </c>
      <c r="C3883" s="67"/>
      <c r="D3883" s="78"/>
      <c r="E3883" s="101"/>
      <c r="F3883" s="108"/>
      <c r="G3883" s="120"/>
      <c r="H3883" s="101"/>
      <c r="I3883" s="93"/>
      <c r="J3883" s="91"/>
      <c r="L3883" s="94" t="str">
        <f t="shared" si="2"/>
        <v>No infirmation</v>
      </c>
      <c r="M3883" s="94" t="str">
        <f t="shared" si="3"/>
        <v/>
      </c>
    </row>
    <row r="3884" ht="15.75" customHeight="1">
      <c r="B3884" s="77">
        <f t="shared" si="1"/>
        <v>0</v>
      </c>
      <c r="C3884" s="67"/>
      <c r="D3884" s="78"/>
      <c r="E3884" s="101"/>
      <c r="F3884" s="108"/>
      <c r="G3884" s="120"/>
      <c r="H3884" s="101"/>
      <c r="I3884" s="93"/>
      <c r="J3884" s="91"/>
      <c r="L3884" s="94" t="str">
        <f t="shared" si="2"/>
        <v>No infirmation</v>
      </c>
      <c r="M3884" s="94" t="str">
        <f t="shared" si="3"/>
        <v/>
      </c>
    </row>
    <row r="3885" ht="15.75" customHeight="1">
      <c r="B3885" s="77">
        <f t="shared" si="1"/>
        <v>0</v>
      </c>
      <c r="C3885" s="67"/>
      <c r="D3885" s="78"/>
      <c r="E3885" s="101"/>
      <c r="F3885" s="108"/>
      <c r="G3885" s="120"/>
      <c r="H3885" s="101"/>
      <c r="I3885" s="93"/>
      <c r="J3885" s="91"/>
      <c r="L3885" s="94" t="str">
        <f t="shared" si="2"/>
        <v>No infirmation</v>
      </c>
      <c r="M3885" s="94" t="str">
        <f t="shared" si="3"/>
        <v/>
      </c>
    </row>
    <row r="3886" ht="15.75" customHeight="1">
      <c r="B3886" s="77">
        <f t="shared" si="1"/>
        <v>0</v>
      </c>
      <c r="C3886" s="67"/>
      <c r="D3886" s="78"/>
      <c r="E3886" s="101"/>
      <c r="F3886" s="108"/>
      <c r="G3886" s="120"/>
      <c r="H3886" s="101"/>
      <c r="I3886" s="93"/>
      <c r="J3886" s="91"/>
      <c r="L3886" s="94" t="str">
        <f t="shared" si="2"/>
        <v>No infirmation</v>
      </c>
      <c r="M3886" s="94" t="str">
        <f t="shared" si="3"/>
        <v/>
      </c>
    </row>
    <row r="3887" ht="15.75" customHeight="1">
      <c r="B3887" s="77">
        <f t="shared" si="1"/>
        <v>0</v>
      </c>
      <c r="C3887" s="67"/>
      <c r="D3887" s="78"/>
      <c r="E3887" s="101"/>
      <c r="F3887" s="108"/>
      <c r="G3887" s="120"/>
      <c r="H3887" s="101"/>
      <c r="I3887" s="93"/>
      <c r="J3887" s="91"/>
      <c r="L3887" s="94" t="str">
        <f t="shared" si="2"/>
        <v>No infirmation</v>
      </c>
      <c r="M3887" s="94" t="str">
        <f t="shared" si="3"/>
        <v/>
      </c>
    </row>
    <row r="3888" ht="15.75" customHeight="1">
      <c r="B3888" s="77">
        <f t="shared" si="1"/>
        <v>0</v>
      </c>
      <c r="C3888" s="67"/>
      <c r="D3888" s="78"/>
      <c r="E3888" s="101"/>
      <c r="F3888" s="108"/>
      <c r="G3888" s="120"/>
      <c r="H3888" s="101"/>
      <c r="I3888" s="93"/>
      <c r="J3888" s="91"/>
      <c r="L3888" s="94" t="str">
        <f t="shared" si="2"/>
        <v>No infirmation</v>
      </c>
      <c r="M3888" s="94" t="str">
        <f t="shared" si="3"/>
        <v/>
      </c>
    </row>
    <row r="3889" ht="15.75" customHeight="1">
      <c r="B3889" s="77">
        <f t="shared" si="1"/>
        <v>0</v>
      </c>
      <c r="C3889" s="67"/>
      <c r="D3889" s="78"/>
      <c r="E3889" s="101"/>
      <c r="F3889" s="108"/>
      <c r="G3889" s="120"/>
      <c r="H3889" s="101"/>
      <c r="I3889" s="93"/>
      <c r="J3889" s="91"/>
      <c r="L3889" s="94" t="str">
        <f t="shared" si="2"/>
        <v>No infirmation</v>
      </c>
      <c r="M3889" s="94" t="str">
        <f t="shared" si="3"/>
        <v/>
      </c>
    </row>
    <row r="3890" ht="15.75" customHeight="1">
      <c r="B3890" s="77">
        <f t="shared" si="1"/>
        <v>0</v>
      </c>
      <c r="C3890" s="67"/>
      <c r="D3890" s="78"/>
      <c r="E3890" s="101"/>
      <c r="F3890" s="108"/>
      <c r="G3890" s="120"/>
      <c r="H3890" s="101"/>
      <c r="I3890" s="93"/>
      <c r="J3890" s="91"/>
      <c r="L3890" s="94" t="str">
        <f t="shared" si="2"/>
        <v>No infirmation</v>
      </c>
      <c r="M3890" s="94" t="str">
        <f t="shared" si="3"/>
        <v/>
      </c>
    </row>
    <row r="3891" ht="15.75" customHeight="1">
      <c r="B3891" s="77">
        <f t="shared" si="1"/>
        <v>0</v>
      </c>
      <c r="C3891" s="67"/>
      <c r="D3891" s="78"/>
      <c r="E3891" s="101"/>
      <c r="F3891" s="108"/>
      <c r="G3891" s="120"/>
      <c r="H3891" s="101"/>
      <c r="I3891" s="93"/>
      <c r="J3891" s="91"/>
      <c r="L3891" s="94" t="str">
        <f t="shared" si="2"/>
        <v>No infirmation</v>
      </c>
      <c r="M3891" s="94" t="str">
        <f t="shared" si="3"/>
        <v/>
      </c>
    </row>
    <row r="3892" ht="15.75" customHeight="1">
      <c r="B3892" s="77">
        <f t="shared" si="1"/>
        <v>0</v>
      </c>
      <c r="C3892" s="67"/>
      <c r="D3892" s="78"/>
      <c r="E3892" s="101"/>
      <c r="F3892" s="108"/>
      <c r="G3892" s="120"/>
      <c r="H3892" s="101"/>
      <c r="I3892" s="93"/>
      <c r="J3892" s="91"/>
      <c r="L3892" s="94" t="str">
        <f t="shared" si="2"/>
        <v>No infirmation</v>
      </c>
      <c r="M3892" s="94" t="str">
        <f t="shared" si="3"/>
        <v/>
      </c>
    </row>
    <row r="3893" ht="15.75" customHeight="1">
      <c r="B3893" s="77">
        <f t="shared" si="1"/>
        <v>0</v>
      </c>
      <c r="C3893" s="67"/>
      <c r="D3893" s="78"/>
      <c r="E3893" s="101"/>
      <c r="F3893" s="108"/>
      <c r="G3893" s="120"/>
      <c r="H3893" s="101"/>
      <c r="I3893" s="93"/>
      <c r="J3893" s="91"/>
      <c r="L3893" s="94" t="str">
        <f t="shared" si="2"/>
        <v>No infirmation</v>
      </c>
      <c r="M3893" s="94" t="str">
        <f t="shared" si="3"/>
        <v/>
      </c>
    </row>
    <row r="3894" ht="15.75" customHeight="1">
      <c r="B3894" s="77">
        <f t="shared" si="1"/>
        <v>0</v>
      </c>
      <c r="C3894" s="67"/>
      <c r="D3894" s="78"/>
      <c r="E3894" s="101"/>
      <c r="F3894" s="108"/>
      <c r="G3894" s="120"/>
      <c r="H3894" s="101"/>
      <c r="I3894" s="93"/>
      <c r="J3894" s="91"/>
      <c r="L3894" s="94" t="str">
        <f t="shared" si="2"/>
        <v>No infirmation</v>
      </c>
      <c r="M3894" s="94" t="str">
        <f t="shared" si="3"/>
        <v/>
      </c>
    </row>
    <row r="3895" ht="15.75" customHeight="1">
      <c r="B3895" s="77">
        <f t="shared" si="1"/>
        <v>0</v>
      </c>
      <c r="C3895" s="67"/>
      <c r="D3895" s="78"/>
      <c r="E3895" s="101"/>
      <c r="F3895" s="108"/>
      <c r="G3895" s="120"/>
      <c r="H3895" s="101"/>
      <c r="I3895" s="93"/>
      <c r="J3895" s="91"/>
      <c r="L3895" s="94" t="str">
        <f t="shared" si="2"/>
        <v>No infirmation</v>
      </c>
      <c r="M3895" s="94" t="str">
        <f t="shared" si="3"/>
        <v/>
      </c>
    </row>
    <row r="3896" ht="15.75" customHeight="1">
      <c r="B3896" s="77">
        <f t="shared" si="1"/>
        <v>0</v>
      </c>
      <c r="C3896" s="67"/>
      <c r="D3896" s="78"/>
      <c r="E3896" s="101"/>
      <c r="F3896" s="108"/>
      <c r="G3896" s="120"/>
      <c r="H3896" s="101"/>
      <c r="I3896" s="93"/>
      <c r="J3896" s="91"/>
      <c r="L3896" s="94" t="str">
        <f t="shared" si="2"/>
        <v>No infirmation</v>
      </c>
      <c r="M3896" s="94" t="str">
        <f t="shared" si="3"/>
        <v/>
      </c>
    </row>
    <row r="3897" ht="15.75" customHeight="1">
      <c r="B3897" s="77">
        <f t="shared" si="1"/>
        <v>0</v>
      </c>
      <c r="C3897" s="67"/>
      <c r="D3897" s="78"/>
      <c r="E3897" s="101"/>
      <c r="F3897" s="108"/>
      <c r="G3897" s="120"/>
      <c r="H3897" s="101"/>
      <c r="I3897" s="93"/>
      <c r="J3897" s="91"/>
      <c r="L3897" s="94" t="str">
        <f t="shared" si="2"/>
        <v>No infirmation</v>
      </c>
      <c r="M3897" s="94" t="str">
        <f t="shared" si="3"/>
        <v/>
      </c>
    </row>
    <row r="3898" ht="15.75" customHeight="1">
      <c r="B3898" s="77">
        <f t="shared" si="1"/>
        <v>0</v>
      </c>
      <c r="C3898" s="67"/>
      <c r="D3898" s="78"/>
      <c r="E3898" s="101"/>
      <c r="F3898" s="108"/>
      <c r="G3898" s="120"/>
      <c r="H3898" s="101"/>
      <c r="I3898" s="93"/>
      <c r="J3898" s="91"/>
      <c r="L3898" s="94" t="str">
        <f t="shared" si="2"/>
        <v>No infirmation</v>
      </c>
      <c r="M3898" s="94" t="str">
        <f t="shared" si="3"/>
        <v/>
      </c>
    </row>
    <row r="3899" ht="15.75" customHeight="1">
      <c r="B3899" s="77">
        <f t="shared" si="1"/>
        <v>0</v>
      </c>
      <c r="C3899" s="67"/>
      <c r="D3899" s="78"/>
      <c r="E3899" s="101"/>
      <c r="F3899" s="108"/>
      <c r="G3899" s="120"/>
      <c r="H3899" s="101"/>
      <c r="I3899" s="93"/>
      <c r="J3899" s="91"/>
      <c r="L3899" s="94" t="str">
        <f t="shared" si="2"/>
        <v>No infirmation</v>
      </c>
      <c r="M3899" s="94" t="str">
        <f t="shared" si="3"/>
        <v/>
      </c>
    </row>
    <row r="3900" ht="15.75" customHeight="1">
      <c r="B3900" s="77">
        <f t="shared" si="1"/>
        <v>0</v>
      </c>
      <c r="C3900" s="67"/>
      <c r="D3900" s="78"/>
      <c r="E3900" s="101"/>
      <c r="F3900" s="108"/>
      <c r="G3900" s="120"/>
      <c r="H3900" s="101"/>
      <c r="I3900" s="93"/>
      <c r="J3900" s="91"/>
      <c r="L3900" s="94" t="str">
        <f t="shared" si="2"/>
        <v>No infirmation</v>
      </c>
      <c r="M3900" s="94" t="str">
        <f t="shared" si="3"/>
        <v/>
      </c>
    </row>
    <row r="3901" ht="15.75" customHeight="1">
      <c r="B3901" s="77">
        <f t="shared" si="1"/>
        <v>0</v>
      </c>
      <c r="C3901" s="67"/>
      <c r="D3901" s="78"/>
      <c r="E3901" s="101"/>
      <c r="F3901" s="108"/>
      <c r="G3901" s="120"/>
      <c r="H3901" s="101"/>
      <c r="I3901" s="93"/>
      <c r="J3901" s="91"/>
      <c r="L3901" s="94" t="str">
        <f t="shared" si="2"/>
        <v>No infirmation</v>
      </c>
      <c r="M3901" s="94" t="str">
        <f t="shared" si="3"/>
        <v/>
      </c>
    </row>
    <row r="3902" ht="15.75" customHeight="1">
      <c r="B3902" s="77">
        <f t="shared" si="1"/>
        <v>0</v>
      </c>
      <c r="C3902" s="67"/>
      <c r="D3902" s="78"/>
      <c r="E3902" s="101"/>
      <c r="F3902" s="108"/>
      <c r="G3902" s="120"/>
      <c r="H3902" s="101"/>
      <c r="I3902" s="93"/>
      <c r="J3902" s="91"/>
      <c r="L3902" s="94" t="str">
        <f t="shared" si="2"/>
        <v>No infirmation</v>
      </c>
      <c r="M3902" s="94" t="str">
        <f t="shared" si="3"/>
        <v/>
      </c>
    </row>
    <row r="3903" ht="15.75" customHeight="1">
      <c r="B3903" s="77">
        <f t="shared" si="1"/>
        <v>0</v>
      </c>
      <c r="C3903" s="67"/>
      <c r="D3903" s="78"/>
      <c r="E3903" s="101"/>
      <c r="F3903" s="108"/>
      <c r="G3903" s="120"/>
      <c r="H3903" s="101"/>
      <c r="I3903" s="93"/>
      <c r="J3903" s="91"/>
      <c r="L3903" s="94" t="str">
        <f t="shared" si="2"/>
        <v>No infirmation</v>
      </c>
      <c r="M3903" s="94" t="str">
        <f t="shared" si="3"/>
        <v/>
      </c>
    </row>
    <row r="3904" ht="15.75" customHeight="1">
      <c r="B3904" s="77">
        <f t="shared" si="1"/>
        <v>0</v>
      </c>
      <c r="C3904" s="67"/>
      <c r="D3904" s="78"/>
      <c r="E3904" s="101"/>
      <c r="F3904" s="108"/>
      <c r="G3904" s="120"/>
      <c r="H3904" s="101"/>
      <c r="I3904" s="93"/>
      <c r="J3904" s="91"/>
      <c r="L3904" s="94" t="str">
        <f t="shared" si="2"/>
        <v>No infirmation</v>
      </c>
      <c r="M3904" s="94" t="str">
        <f t="shared" si="3"/>
        <v/>
      </c>
    </row>
    <row r="3905" ht="15.75" customHeight="1">
      <c r="B3905" s="77">
        <f t="shared" si="1"/>
        <v>0</v>
      </c>
      <c r="C3905" s="67"/>
      <c r="D3905" s="78"/>
      <c r="E3905" s="101"/>
      <c r="F3905" s="108"/>
      <c r="G3905" s="120"/>
      <c r="H3905" s="101"/>
      <c r="I3905" s="93"/>
      <c r="J3905" s="91"/>
      <c r="L3905" s="94" t="str">
        <f t="shared" si="2"/>
        <v>No infirmation</v>
      </c>
      <c r="M3905" s="94" t="str">
        <f t="shared" si="3"/>
        <v/>
      </c>
    </row>
    <row r="3906" ht="15.75" customHeight="1">
      <c r="B3906" s="77">
        <f t="shared" si="1"/>
        <v>0</v>
      </c>
      <c r="C3906" s="67"/>
      <c r="D3906" s="78"/>
      <c r="E3906" s="101"/>
      <c r="F3906" s="108"/>
      <c r="G3906" s="120"/>
      <c r="H3906" s="101"/>
      <c r="I3906" s="93"/>
      <c r="J3906" s="91"/>
      <c r="L3906" s="94" t="str">
        <f t="shared" si="2"/>
        <v>No infirmation</v>
      </c>
      <c r="M3906" s="94" t="str">
        <f t="shared" si="3"/>
        <v/>
      </c>
    </row>
    <row r="3907" ht="15.75" customHeight="1">
      <c r="B3907" s="77">
        <f t="shared" si="1"/>
        <v>0</v>
      </c>
      <c r="C3907" s="67"/>
      <c r="D3907" s="78"/>
      <c r="E3907" s="101"/>
      <c r="F3907" s="108"/>
      <c r="G3907" s="120"/>
      <c r="H3907" s="101"/>
      <c r="I3907" s="93"/>
      <c r="J3907" s="91"/>
      <c r="L3907" s="94" t="str">
        <f t="shared" si="2"/>
        <v>No infirmation</v>
      </c>
      <c r="M3907" s="94" t="str">
        <f t="shared" si="3"/>
        <v/>
      </c>
    </row>
    <row r="3908" ht="15.75" customHeight="1">
      <c r="B3908" s="77">
        <f t="shared" si="1"/>
        <v>0</v>
      </c>
      <c r="C3908" s="67"/>
      <c r="D3908" s="78"/>
      <c r="E3908" s="101"/>
      <c r="F3908" s="108"/>
      <c r="G3908" s="120"/>
      <c r="H3908" s="101"/>
      <c r="I3908" s="93"/>
      <c r="J3908" s="91"/>
      <c r="L3908" s="94" t="str">
        <f t="shared" si="2"/>
        <v>No infirmation</v>
      </c>
      <c r="M3908" s="94" t="str">
        <f t="shared" si="3"/>
        <v/>
      </c>
    </row>
    <row r="3909" ht="15.75" customHeight="1">
      <c r="B3909" s="77">
        <f t="shared" si="1"/>
        <v>0</v>
      </c>
      <c r="C3909" s="67"/>
      <c r="D3909" s="78"/>
      <c r="E3909" s="101"/>
      <c r="F3909" s="108"/>
      <c r="G3909" s="120"/>
      <c r="H3909" s="101"/>
      <c r="I3909" s="93"/>
      <c r="J3909" s="91"/>
      <c r="L3909" s="94" t="str">
        <f t="shared" si="2"/>
        <v>No infirmation</v>
      </c>
      <c r="M3909" s="94" t="str">
        <f t="shared" si="3"/>
        <v/>
      </c>
    </row>
    <row r="3910" ht="15.75" customHeight="1">
      <c r="B3910" s="77">
        <f t="shared" si="1"/>
        <v>0</v>
      </c>
      <c r="C3910" s="67"/>
      <c r="D3910" s="78"/>
      <c r="E3910" s="101"/>
      <c r="F3910" s="108"/>
      <c r="G3910" s="120"/>
      <c r="H3910" s="101"/>
      <c r="I3910" s="93"/>
      <c r="J3910" s="91"/>
      <c r="L3910" s="94" t="str">
        <f t="shared" si="2"/>
        <v>No infirmation</v>
      </c>
      <c r="M3910" s="94" t="str">
        <f t="shared" si="3"/>
        <v/>
      </c>
    </row>
    <row r="3911" ht="15.75" customHeight="1">
      <c r="B3911" s="77">
        <f t="shared" si="1"/>
        <v>0</v>
      </c>
      <c r="C3911" s="67"/>
      <c r="D3911" s="78"/>
      <c r="E3911" s="101"/>
      <c r="F3911" s="108"/>
      <c r="G3911" s="120"/>
      <c r="H3911" s="101"/>
      <c r="I3911" s="93"/>
      <c r="J3911" s="91"/>
      <c r="L3911" s="94" t="str">
        <f t="shared" si="2"/>
        <v>No infirmation</v>
      </c>
      <c r="M3911" s="94" t="str">
        <f t="shared" si="3"/>
        <v/>
      </c>
    </row>
    <row r="3912" ht="15.75" customHeight="1">
      <c r="B3912" s="77">
        <f t="shared" si="1"/>
        <v>0</v>
      </c>
      <c r="C3912" s="67"/>
      <c r="D3912" s="78"/>
      <c r="E3912" s="101"/>
      <c r="F3912" s="108"/>
      <c r="G3912" s="120"/>
      <c r="H3912" s="101"/>
      <c r="I3912" s="93"/>
      <c r="J3912" s="91"/>
      <c r="L3912" s="94" t="str">
        <f t="shared" si="2"/>
        <v>No infirmation</v>
      </c>
      <c r="M3912" s="94" t="str">
        <f t="shared" si="3"/>
        <v/>
      </c>
    </row>
    <row r="3913" ht="15.75" customHeight="1">
      <c r="B3913" s="77">
        <f t="shared" si="1"/>
        <v>0</v>
      </c>
      <c r="C3913" s="67"/>
      <c r="D3913" s="78"/>
      <c r="E3913" s="101"/>
      <c r="F3913" s="108"/>
      <c r="G3913" s="120"/>
      <c r="H3913" s="101"/>
      <c r="I3913" s="93"/>
      <c r="J3913" s="91"/>
      <c r="L3913" s="94" t="str">
        <f t="shared" si="2"/>
        <v>No infirmation</v>
      </c>
      <c r="M3913" s="94" t="str">
        <f t="shared" si="3"/>
        <v/>
      </c>
    </row>
    <row r="3914" ht="15.75" customHeight="1">
      <c r="B3914" s="77">
        <f t="shared" si="1"/>
        <v>0</v>
      </c>
      <c r="C3914" s="67"/>
      <c r="D3914" s="78"/>
      <c r="E3914" s="101"/>
      <c r="F3914" s="108"/>
      <c r="G3914" s="120"/>
      <c r="H3914" s="101"/>
      <c r="I3914" s="93"/>
      <c r="J3914" s="91"/>
      <c r="L3914" s="94" t="str">
        <f t="shared" si="2"/>
        <v>No infirmation</v>
      </c>
      <c r="M3914" s="94" t="str">
        <f t="shared" si="3"/>
        <v/>
      </c>
    </row>
    <row r="3915" ht="15.75" customHeight="1">
      <c r="B3915" s="77">
        <f t="shared" si="1"/>
        <v>0</v>
      </c>
      <c r="C3915" s="67"/>
      <c r="D3915" s="78"/>
      <c r="E3915" s="101"/>
      <c r="F3915" s="108"/>
      <c r="G3915" s="120"/>
      <c r="H3915" s="101"/>
      <c r="I3915" s="93"/>
      <c r="J3915" s="91"/>
      <c r="L3915" s="94" t="str">
        <f t="shared" si="2"/>
        <v>No infirmation</v>
      </c>
      <c r="M3915" s="94" t="str">
        <f t="shared" si="3"/>
        <v/>
      </c>
    </row>
    <row r="3916" ht="15.75" customHeight="1">
      <c r="B3916" s="77">
        <f t="shared" si="1"/>
        <v>0</v>
      </c>
      <c r="C3916" s="67"/>
      <c r="D3916" s="78"/>
      <c r="E3916" s="101"/>
      <c r="F3916" s="108"/>
      <c r="G3916" s="120"/>
      <c r="H3916" s="101"/>
      <c r="I3916" s="93"/>
      <c r="J3916" s="91"/>
      <c r="L3916" s="94" t="str">
        <f t="shared" si="2"/>
        <v>No infirmation</v>
      </c>
      <c r="M3916" s="94" t="str">
        <f t="shared" si="3"/>
        <v/>
      </c>
    </row>
    <row r="3917" ht="15.75" customHeight="1">
      <c r="B3917" s="77">
        <f t="shared" si="1"/>
        <v>0</v>
      </c>
      <c r="C3917" s="67"/>
      <c r="D3917" s="78"/>
      <c r="E3917" s="101"/>
      <c r="F3917" s="108"/>
      <c r="G3917" s="120"/>
      <c r="H3917" s="101"/>
      <c r="I3917" s="93"/>
      <c r="J3917" s="91"/>
      <c r="L3917" s="94" t="str">
        <f t="shared" si="2"/>
        <v>No infirmation</v>
      </c>
      <c r="M3917" s="94" t="str">
        <f t="shared" si="3"/>
        <v/>
      </c>
    </row>
    <row r="3918" ht="15.75" customHeight="1">
      <c r="B3918" s="77">
        <f t="shared" si="1"/>
        <v>0</v>
      </c>
      <c r="C3918" s="67"/>
      <c r="D3918" s="78"/>
      <c r="E3918" s="101"/>
      <c r="F3918" s="108"/>
      <c r="G3918" s="120"/>
      <c r="H3918" s="101"/>
      <c r="I3918" s="93"/>
      <c r="J3918" s="91"/>
      <c r="L3918" s="94" t="str">
        <f t="shared" si="2"/>
        <v>No infirmation</v>
      </c>
      <c r="M3918" s="94" t="str">
        <f t="shared" si="3"/>
        <v/>
      </c>
    </row>
    <row r="3919" ht="15.75" customHeight="1">
      <c r="B3919" s="77">
        <f t="shared" si="1"/>
        <v>0</v>
      </c>
      <c r="C3919" s="67"/>
      <c r="D3919" s="78"/>
      <c r="E3919" s="101"/>
      <c r="F3919" s="108"/>
      <c r="G3919" s="120"/>
      <c r="H3919" s="101"/>
      <c r="I3919" s="93"/>
      <c r="J3919" s="91"/>
      <c r="L3919" s="94" t="str">
        <f t="shared" si="2"/>
        <v>No infirmation</v>
      </c>
      <c r="M3919" s="94" t="str">
        <f t="shared" si="3"/>
        <v/>
      </c>
    </row>
    <row r="3920" ht="15.75" customHeight="1">
      <c r="B3920" s="77">
        <f t="shared" si="1"/>
        <v>0</v>
      </c>
      <c r="C3920" s="67"/>
      <c r="D3920" s="78"/>
      <c r="E3920" s="101"/>
      <c r="F3920" s="108"/>
      <c r="G3920" s="120"/>
      <c r="H3920" s="101"/>
      <c r="I3920" s="93"/>
      <c r="J3920" s="91"/>
      <c r="L3920" s="94" t="str">
        <f t="shared" si="2"/>
        <v>No infirmation</v>
      </c>
      <c r="M3920" s="94" t="str">
        <f t="shared" si="3"/>
        <v/>
      </c>
    </row>
    <row r="3921" ht="15.75" customHeight="1">
      <c r="B3921" s="77">
        <f t="shared" si="1"/>
        <v>0</v>
      </c>
      <c r="C3921" s="67"/>
      <c r="D3921" s="78"/>
      <c r="E3921" s="101"/>
      <c r="F3921" s="108"/>
      <c r="G3921" s="120"/>
      <c r="H3921" s="101"/>
      <c r="I3921" s="93"/>
      <c r="J3921" s="91"/>
      <c r="L3921" s="94" t="str">
        <f t="shared" si="2"/>
        <v>No infirmation</v>
      </c>
      <c r="M3921" s="94" t="str">
        <f t="shared" si="3"/>
        <v/>
      </c>
    </row>
    <row r="3922" ht="15.75" customHeight="1">
      <c r="B3922" s="77">
        <f t="shared" si="1"/>
        <v>0</v>
      </c>
      <c r="C3922" s="67"/>
      <c r="D3922" s="78"/>
      <c r="E3922" s="101"/>
      <c r="F3922" s="108"/>
      <c r="G3922" s="120"/>
      <c r="H3922" s="101"/>
      <c r="I3922" s="93"/>
      <c r="J3922" s="91"/>
      <c r="L3922" s="94" t="str">
        <f t="shared" si="2"/>
        <v>No infirmation</v>
      </c>
      <c r="M3922" s="94" t="str">
        <f t="shared" si="3"/>
        <v/>
      </c>
    </row>
    <row r="3923" ht="15.75" customHeight="1">
      <c r="B3923" s="77">
        <f t="shared" si="1"/>
        <v>0</v>
      </c>
      <c r="C3923" s="67"/>
      <c r="D3923" s="78"/>
      <c r="E3923" s="101"/>
      <c r="F3923" s="108"/>
      <c r="G3923" s="120"/>
      <c r="H3923" s="101"/>
      <c r="I3923" s="93"/>
      <c r="J3923" s="91"/>
      <c r="L3923" s="94" t="str">
        <f t="shared" si="2"/>
        <v>No infirmation</v>
      </c>
      <c r="M3923" s="94" t="str">
        <f t="shared" si="3"/>
        <v/>
      </c>
    </row>
    <row r="3924" ht="15.75" customHeight="1">
      <c r="B3924" s="77">
        <f t="shared" si="1"/>
        <v>0</v>
      </c>
      <c r="C3924" s="67"/>
      <c r="D3924" s="78"/>
      <c r="E3924" s="101"/>
      <c r="F3924" s="108"/>
      <c r="G3924" s="120"/>
      <c r="H3924" s="101"/>
      <c r="I3924" s="93"/>
      <c r="J3924" s="91"/>
      <c r="L3924" s="94" t="str">
        <f t="shared" si="2"/>
        <v>No infirmation</v>
      </c>
      <c r="M3924" s="94" t="str">
        <f t="shared" si="3"/>
        <v/>
      </c>
    </row>
    <row r="3925" ht="15.75" customHeight="1">
      <c r="B3925" s="77">
        <f t="shared" si="1"/>
        <v>0</v>
      </c>
      <c r="C3925" s="67"/>
      <c r="D3925" s="78"/>
      <c r="E3925" s="101"/>
      <c r="F3925" s="108"/>
      <c r="G3925" s="120"/>
      <c r="H3925" s="101"/>
      <c r="I3925" s="93"/>
      <c r="J3925" s="91"/>
      <c r="L3925" s="94" t="str">
        <f t="shared" si="2"/>
        <v>No infirmation</v>
      </c>
      <c r="M3925" s="94" t="str">
        <f t="shared" si="3"/>
        <v/>
      </c>
    </row>
    <row r="3926" ht="15.75" customHeight="1">
      <c r="B3926" s="77">
        <f t="shared" si="1"/>
        <v>0</v>
      </c>
      <c r="C3926" s="67"/>
      <c r="D3926" s="78"/>
      <c r="E3926" s="101"/>
      <c r="F3926" s="108"/>
      <c r="G3926" s="120"/>
      <c r="H3926" s="101"/>
      <c r="I3926" s="93"/>
      <c r="J3926" s="91"/>
      <c r="L3926" s="94" t="str">
        <f t="shared" si="2"/>
        <v>No infirmation</v>
      </c>
      <c r="M3926" s="94" t="str">
        <f t="shared" si="3"/>
        <v/>
      </c>
    </row>
    <row r="3927" ht="15.75" customHeight="1">
      <c r="B3927" s="77">
        <f t="shared" si="1"/>
        <v>0</v>
      </c>
      <c r="C3927" s="67"/>
      <c r="D3927" s="78"/>
      <c r="E3927" s="101"/>
      <c r="F3927" s="108"/>
      <c r="G3927" s="120"/>
      <c r="H3927" s="101"/>
      <c r="I3927" s="93"/>
      <c r="J3927" s="91"/>
      <c r="L3927" s="94" t="str">
        <f t="shared" si="2"/>
        <v>No infirmation</v>
      </c>
      <c r="M3927" s="94" t="str">
        <f t="shared" si="3"/>
        <v/>
      </c>
    </row>
    <row r="3928" ht="15.75" customHeight="1">
      <c r="B3928" s="77">
        <f t="shared" si="1"/>
        <v>0</v>
      </c>
      <c r="C3928" s="67"/>
      <c r="D3928" s="78"/>
      <c r="E3928" s="101"/>
      <c r="F3928" s="108"/>
      <c r="G3928" s="120"/>
      <c r="H3928" s="101"/>
      <c r="I3928" s="93"/>
      <c r="J3928" s="91"/>
      <c r="L3928" s="94" t="str">
        <f t="shared" si="2"/>
        <v>No infirmation</v>
      </c>
      <c r="M3928" s="94" t="str">
        <f t="shared" si="3"/>
        <v/>
      </c>
    </row>
    <row r="3929" ht="15.75" customHeight="1">
      <c r="B3929" s="77">
        <f t="shared" si="1"/>
        <v>0</v>
      </c>
      <c r="C3929" s="67"/>
      <c r="D3929" s="78"/>
      <c r="E3929" s="101"/>
      <c r="F3929" s="108"/>
      <c r="G3929" s="120"/>
      <c r="H3929" s="101"/>
      <c r="I3929" s="93"/>
      <c r="J3929" s="91"/>
      <c r="L3929" s="94" t="str">
        <f t="shared" si="2"/>
        <v>No infirmation</v>
      </c>
      <c r="M3929" s="94" t="str">
        <f t="shared" si="3"/>
        <v/>
      </c>
    </row>
    <row r="3930" ht="15.75" customHeight="1">
      <c r="B3930" s="77">
        <f t="shared" si="1"/>
        <v>0</v>
      </c>
      <c r="C3930" s="67"/>
      <c r="D3930" s="78"/>
      <c r="E3930" s="101"/>
      <c r="F3930" s="108"/>
      <c r="G3930" s="120"/>
      <c r="H3930" s="101"/>
      <c r="I3930" s="93"/>
      <c r="J3930" s="91"/>
      <c r="L3930" s="94" t="str">
        <f t="shared" si="2"/>
        <v>No infirmation</v>
      </c>
      <c r="M3930" s="94" t="str">
        <f t="shared" si="3"/>
        <v/>
      </c>
    </row>
    <row r="3931" ht="15.75" customHeight="1">
      <c r="B3931" s="77">
        <f t="shared" si="1"/>
        <v>0</v>
      </c>
      <c r="C3931" s="67"/>
      <c r="D3931" s="78"/>
      <c r="E3931" s="101"/>
      <c r="F3931" s="108"/>
      <c r="G3931" s="120"/>
      <c r="H3931" s="101"/>
      <c r="I3931" s="93"/>
      <c r="J3931" s="91"/>
      <c r="L3931" s="94" t="str">
        <f t="shared" si="2"/>
        <v>No infirmation</v>
      </c>
      <c r="M3931" s="94" t="str">
        <f t="shared" si="3"/>
        <v/>
      </c>
    </row>
    <row r="3932" ht="15.75" customHeight="1">
      <c r="B3932" s="77">
        <f t="shared" si="1"/>
        <v>0</v>
      </c>
      <c r="C3932" s="67"/>
      <c r="D3932" s="78"/>
      <c r="E3932" s="101"/>
      <c r="F3932" s="108"/>
      <c r="G3932" s="120"/>
      <c r="H3932" s="101"/>
      <c r="I3932" s="93"/>
      <c r="J3932" s="91"/>
      <c r="L3932" s="94" t="str">
        <f t="shared" si="2"/>
        <v>No infirmation</v>
      </c>
      <c r="M3932" s="94" t="str">
        <f t="shared" si="3"/>
        <v/>
      </c>
    </row>
    <row r="3933" ht="15.75" customHeight="1">
      <c r="B3933" s="77">
        <f t="shared" si="1"/>
        <v>0</v>
      </c>
      <c r="C3933" s="67"/>
      <c r="D3933" s="78"/>
      <c r="E3933" s="101"/>
      <c r="F3933" s="108"/>
      <c r="G3933" s="120"/>
      <c r="H3933" s="101"/>
      <c r="I3933" s="93"/>
      <c r="J3933" s="91"/>
      <c r="L3933" s="94" t="str">
        <f t="shared" si="2"/>
        <v>No infirmation</v>
      </c>
      <c r="M3933" s="94" t="str">
        <f t="shared" si="3"/>
        <v/>
      </c>
    </row>
    <row r="3934" ht="15.75" customHeight="1">
      <c r="B3934" s="77">
        <f t="shared" si="1"/>
        <v>0</v>
      </c>
      <c r="C3934" s="67"/>
      <c r="D3934" s="78"/>
      <c r="E3934" s="101"/>
      <c r="F3934" s="108"/>
      <c r="G3934" s="120"/>
      <c r="H3934" s="101"/>
      <c r="I3934" s="93"/>
      <c r="J3934" s="91"/>
      <c r="L3934" s="94" t="str">
        <f t="shared" si="2"/>
        <v>No infirmation</v>
      </c>
      <c r="M3934" s="94" t="str">
        <f t="shared" si="3"/>
        <v/>
      </c>
    </row>
    <row r="3935" ht="15.75" customHeight="1">
      <c r="B3935" s="77">
        <f t="shared" si="1"/>
        <v>0</v>
      </c>
      <c r="C3935" s="67"/>
      <c r="D3935" s="78"/>
      <c r="E3935" s="101"/>
      <c r="F3935" s="108"/>
      <c r="G3935" s="120"/>
      <c r="H3935" s="101"/>
      <c r="I3935" s="93"/>
      <c r="J3935" s="91"/>
      <c r="L3935" s="94" t="str">
        <f t="shared" si="2"/>
        <v>No infirmation</v>
      </c>
      <c r="M3935" s="94" t="str">
        <f t="shared" si="3"/>
        <v/>
      </c>
    </row>
    <row r="3936" ht="15.75" customHeight="1">
      <c r="B3936" s="77">
        <f t="shared" si="1"/>
        <v>0</v>
      </c>
      <c r="C3936" s="67"/>
      <c r="D3936" s="78"/>
      <c r="E3936" s="101"/>
      <c r="F3936" s="108"/>
      <c r="G3936" s="120"/>
      <c r="H3936" s="101"/>
      <c r="I3936" s="93"/>
      <c r="J3936" s="91"/>
      <c r="L3936" s="94" t="str">
        <f t="shared" si="2"/>
        <v>No infirmation</v>
      </c>
      <c r="M3936" s="94" t="str">
        <f t="shared" si="3"/>
        <v/>
      </c>
    </row>
    <row r="3937" ht="15.75" customHeight="1">
      <c r="B3937" s="77">
        <f t="shared" si="1"/>
        <v>0</v>
      </c>
      <c r="C3937" s="67"/>
      <c r="D3937" s="78"/>
      <c r="E3937" s="101"/>
      <c r="F3937" s="108"/>
      <c r="G3937" s="120"/>
      <c r="H3937" s="101"/>
      <c r="I3937" s="93"/>
      <c r="J3937" s="91"/>
      <c r="L3937" s="94" t="str">
        <f t="shared" si="2"/>
        <v>No infirmation</v>
      </c>
      <c r="M3937" s="94" t="str">
        <f t="shared" si="3"/>
        <v/>
      </c>
    </row>
    <row r="3938" ht="15.75" customHeight="1">
      <c r="B3938" s="77">
        <f t="shared" si="1"/>
        <v>0</v>
      </c>
      <c r="C3938" s="67"/>
      <c r="D3938" s="78"/>
      <c r="E3938" s="101"/>
      <c r="F3938" s="108"/>
      <c r="G3938" s="120"/>
      <c r="H3938" s="101"/>
      <c r="I3938" s="93"/>
      <c r="J3938" s="91"/>
      <c r="L3938" s="94" t="str">
        <f t="shared" si="2"/>
        <v>No infirmation</v>
      </c>
      <c r="M3938" s="94" t="str">
        <f t="shared" si="3"/>
        <v/>
      </c>
    </row>
    <row r="3939" ht="15.75" customHeight="1">
      <c r="B3939" s="77">
        <f t="shared" si="1"/>
        <v>0</v>
      </c>
      <c r="C3939" s="67"/>
      <c r="D3939" s="78"/>
      <c r="E3939" s="101"/>
      <c r="F3939" s="108"/>
      <c r="G3939" s="120"/>
      <c r="H3939" s="101"/>
      <c r="I3939" s="93"/>
      <c r="J3939" s="91"/>
      <c r="L3939" s="94" t="str">
        <f t="shared" si="2"/>
        <v>No infirmation</v>
      </c>
      <c r="M3939" s="94" t="str">
        <f t="shared" si="3"/>
        <v/>
      </c>
    </row>
    <row r="3940" ht="15.75" customHeight="1">
      <c r="B3940" s="77">
        <f t="shared" si="1"/>
        <v>0</v>
      </c>
      <c r="C3940" s="67"/>
      <c r="D3940" s="78"/>
      <c r="E3940" s="101"/>
      <c r="F3940" s="108"/>
      <c r="G3940" s="120"/>
      <c r="H3940" s="101"/>
      <c r="I3940" s="93"/>
      <c r="J3940" s="91"/>
      <c r="L3940" s="94" t="str">
        <f t="shared" si="2"/>
        <v>No infirmation</v>
      </c>
      <c r="M3940" s="94" t="str">
        <f t="shared" si="3"/>
        <v/>
      </c>
    </row>
    <row r="3941" ht="15.75" customHeight="1">
      <c r="B3941" s="77">
        <f t="shared" si="1"/>
        <v>0</v>
      </c>
      <c r="C3941" s="67"/>
      <c r="D3941" s="78"/>
      <c r="E3941" s="101"/>
      <c r="F3941" s="108"/>
      <c r="G3941" s="120"/>
      <c r="H3941" s="101"/>
      <c r="I3941" s="93"/>
      <c r="J3941" s="91"/>
      <c r="L3941" s="94" t="str">
        <f t="shared" si="2"/>
        <v>No infirmation</v>
      </c>
      <c r="M3941" s="94" t="str">
        <f t="shared" si="3"/>
        <v/>
      </c>
    </row>
    <row r="3942" ht="15.75" customHeight="1">
      <c r="B3942" s="77">
        <f t="shared" si="1"/>
        <v>0</v>
      </c>
      <c r="C3942" s="67"/>
      <c r="D3942" s="78"/>
      <c r="E3942" s="101"/>
      <c r="F3942" s="108"/>
      <c r="G3942" s="120"/>
      <c r="H3942" s="101"/>
      <c r="I3942" s="93"/>
      <c r="J3942" s="91"/>
      <c r="L3942" s="94" t="str">
        <f t="shared" si="2"/>
        <v>No infirmation</v>
      </c>
      <c r="M3942" s="94" t="str">
        <f t="shared" si="3"/>
        <v/>
      </c>
    </row>
    <row r="3943" ht="15.75" customHeight="1">
      <c r="B3943" s="77">
        <f t="shared" si="1"/>
        <v>0</v>
      </c>
      <c r="C3943" s="67"/>
      <c r="D3943" s="78"/>
      <c r="E3943" s="101"/>
      <c r="F3943" s="108"/>
      <c r="G3943" s="120"/>
      <c r="H3943" s="101"/>
      <c r="I3943" s="93"/>
      <c r="J3943" s="91"/>
      <c r="L3943" s="94" t="str">
        <f t="shared" si="2"/>
        <v>No infirmation</v>
      </c>
      <c r="M3943" s="94" t="str">
        <f t="shared" si="3"/>
        <v/>
      </c>
    </row>
    <row r="3944" ht="15.75" customHeight="1">
      <c r="B3944" s="77">
        <f t="shared" si="1"/>
        <v>0</v>
      </c>
      <c r="C3944" s="67"/>
      <c r="D3944" s="78"/>
      <c r="E3944" s="101"/>
      <c r="F3944" s="108"/>
      <c r="G3944" s="120"/>
      <c r="H3944" s="101"/>
      <c r="I3944" s="93"/>
      <c r="J3944" s="91"/>
      <c r="L3944" s="94" t="str">
        <f t="shared" si="2"/>
        <v>No infirmation</v>
      </c>
      <c r="M3944" s="94" t="str">
        <f t="shared" si="3"/>
        <v/>
      </c>
    </row>
    <row r="3945" ht="15.75" customHeight="1">
      <c r="B3945" s="77">
        <f t="shared" si="1"/>
        <v>0</v>
      </c>
      <c r="C3945" s="67"/>
      <c r="D3945" s="78"/>
      <c r="E3945" s="101"/>
      <c r="F3945" s="108"/>
      <c r="G3945" s="120"/>
      <c r="H3945" s="101"/>
      <c r="I3945" s="93"/>
      <c r="J3945" s="91"/>
      <c r="L3945" s="94" t="str">
        <f t="shared" si="2"/>
        <v>No infirmation</v>
      </c>
      <c r="M3945" s="94" t="str">
        <f t="shared" si="3"/>
        <v/>
      </c>
    </row>
    <row r="3946" ht="15.75" customHeight="1">
      <c r="B3946" s="77">
        <f t="shared" si="1"/>
        <v>0</v>
      </c>
      <c r="C3946" s="67"/>
      <c r="D3946" s="78"/>
      <c r="E3946" s="101"/>
      <c r="F3946" s="108"/>
      <c r="G3946" s="120"/>
      <c r="H3946" s="101"/>
      <c r="I3946" s="93"/>
      <c r="J3946" s="91"/>
      <c r="L3946" s="94" t="str">
        <f t="shared" si="2"/>
        <v>No infirmation</v>
      </c>
      <c r="M3946" s="94" t="str">
        <f t="shared" si="3"/>
        <v/>
      </c>
    </row>
    <row r="3947" ht="15.75" customHeight="1">
      <c r="B3947" s="77">
        <f t="shared" si="1"/>
        <v>0</v>
      </c>
      <c r="C3947" s="67"/>
      <c r="D3947" s="78"/>
      <c r="E3947" s="101"/>
      <c r="F3947" s="108"/>
      <c r="G3947" s="120"/>
      <c r="H3947" s="101"/>
      <c r="I3947" s="93"/>
      <c r="J3947" s="91"/>
      <c r="L3947" s="94" t="str">
        <f t="shared" si="2"/>
        <v>No infirmation</v>
      </c>
      <c r="M3947" s="94" t="str">
        <f t="shared" si="3"/>
        <v/>
      </c>
    </row>
    <row r="3948" ht="15.75" customHeight="1">
      <c r="B3948" s="77">
        <f t="shared" si="1"/>
        <v>0</v>
      </c>
      <c r="C3948" s="67"/>
      <c r="D3948" s="78"/>
      <c r="E3948" s="101"/>
      <c r="F3948" s="108"/>
      <c r="G3948" s="120"/>
      <c r="H3948" s="101"/>
      <c r="I3948" s="93"/>
      <c r="J3948" s="91"/>
      <c r="L3948" s="94" t="str">
        <f t="shared" si="2"/>
        <v>No infirmation</v>
      </c>
      <c r="M3948" s="94" t="str">
        <f t="shared" si="3"/>
        <v/>
      </c>
    </row>
    <row r="3949" ht="15.75" customHeight="1">
      <c r="B3949" s="77">
        <f t="shared" si="1"/>
        <v>0</v>
      </c>
      <c r="C3949" s="67"/>
      <c r="D3949" s="78"/>
      <c r="E3949" s="101"/>
      <c r="F3949" s="108"/>
      <c r="G3949" s="120"/>
      <c r="H3949" s="101"/>
      <c r="I3949" s="93"/>
      <c r="J3949" s="91"/>
      <c r="L3949" s="94" t="str">
        <f t="shared" si="2"/>
        <v>No infirmation</v>
      </c>
      <c r="M3949" s="94" t="str">
        <f t="shared" si="3"/>
        <v/>
      </c>
    </row>
    <row r="3950" ht="15.75" customHeight="1">
      <c r="B3950" s="77">
        <f t="shared" si="1"/>
        <v>0</v>
      </c>
      <c r="C3950" s="67"/>
      <c r="D3950" s="78"/>
      <c r="E3950" s="101"/>
      <c r="F3950" s="108"/>
      <c r="G3950" s="120"/>
      <c r="H3950" s="101"/>
      <c r="I3950" s="93"/>
      <c r="J3950" s="91"/>
      <c r="L3950" s="94" t="str">
        <f t="shared" si="2"/>
        <v>No infirmation</v>
      </c>
      <c r="M3950" s="94" t="str">
        <f t="shared" si="3"/>
        <v/>
      </c>
    </row>
    <row r="3951" ht="15.75" customHeight="1">
      <c r="B3951" s="77">
        <f t="shared" si="1"/>
        <v>0</v>
      </c>
      <c r="C3951" s="67"/>
      <c r="D3951" s="78"/>
      <c r="E3951" s="101"/>
      <c r="F3951" s="108"/>
      <c r="G3951" s="120"/>
      <c r="H3951" s="101"/>
      <c r="I3951" s="93"/>
      <c r="J3951" s="91"/>
      <c r="L3951" s="94" t="str">
        <f t="shared" si="2"/>
        <v>No infirmation</v>
      </c>
      <c r="M3951" s="94" t="str">
        <f t="shared" si="3"/>
        <v/>
      </c>
    </row>
    <row r="3952" ht="15.75" customHeight="1">
      <c r="B3952" s="77">
        <f t="shared" si="1"/>
        <v>0</v>
      </c>
      <c r="C3952" s="67"/>
      <c r="D3952" s="78"/>
      <c r="E3952" s="101"/>
      <c r="F3952" s="108"/>
      <c r="G3952" s="120"/>
      <c r="H3952" s="101"/>
      <c r="I3952" s="93"/>
      <c r="J3952" s="91"/>
      <c r="L3952" s="94" t="str">
        <f t="shared" si="2"/>
        <v>No infirmation</v>
      </c>
      <c r="M3952" s="94" t="str">
        <f t="shared" si="3"/>
        <v/>
      </c>
    </row>
    <row r="3953" ht="15.75" customHeight="1">
      <c r="B3953" s="77">
        <f t="shared" si="1"/>
        <v>0</v>
      </c>
      <c r="C3953" s="67"/>
      <c r="D3953" s="78"/>
      <c r="E3953" s="101"/>
      <c r="F3953" s="108"/>
      <c r="G3953" s="120"/>
      <c r="H3953" s="101"/>
      <c r="I3953" s="93"/>
      <c r="J3953" s="91"/>
      <c r="L3953" s="94" t="str">
        <f t="shared" si="2"/>
        <v>No infirmation</v>
      </c>
      <c r="M3953" s="94" t="str">
        <f t="shared" si="3"/>
        <v/>
      </c>
    </row>
    <row r="3954" ht="15.75" customHeight="1">
      <c r="B3954" s="77">
        <f t="shared" si="1"/>
        <v>0</v>
      </c>
      <c r="C3954" s="67"/>
      <c r="D3954" s="78"/>
      <c r="E3954" s="101"/>
      <c r="F3954" s="108"/>
      <c r="G3954" s="120"/>
      <c r="H3954" s="101"/>
      <c r="I3954" s="93"/>
      <c r="J3954" s="91"/>
      <c r="L3954" s="94" t="str">
        <f t="shared" si="2"/>
        <v>No infirmation</v>
      </c>
      <c r="M3954" s="94" t="str">
        <f t="shared" si="3"/>
        <v/>
      </c>
    </row>
    <row r="3955" ht="15.75" customHeight="1">
      <c r="B3955" s="77">
        <f t="shared" si="1"/>
        <v>0</v>
      </c>
      <c r="C3955" s="67"/>
      <c r="D3955" s="78"/>
      <c r="E3955" s="101"/>
      <c r="F3955" s="108"/>
      <c r="G3955" s="120"/>
      <c r="H3955" s="101"/>
      <c r="I3955" s="93"/>
      <c r="J3955" s="91"/>
      <c r="L3955" s="94" t="str">
        <f t="shared" si="2"/>
        <v>No infirmation</v>
      </c>
      <c r="M3955" s="94" t="str">
        <f t="shared" si="3"/>
        <v/>
      </c>
    </row>
    <row r="3956" ht="15.75" customHeight="1">
      <c r="B3956" s="77">
        <f t="shared" si="1"/>
        <v>0</v>
      </c>
      <c r="C3956" s="67"/>
      <c r="D3956" s="78"/>
      <c r="E3956" s="101"/>
      <c r="F3956" s="108"/>
      <c r="G3956" s="120"/>
      <c r="H3956" s="101"/>
      <c r="I3956" s="93"/>
      <c r="J3956" s="91"/>
      <c r="L3956" s="94" t="str">
        <f t="shared" si="2"/>
        <v>No infirmation</v>
      </c>
      <c r="M3956" s="94" t="str">
        <f t="shared" si="3"/>
        <v/>
      </c>
    </row>
    <row r="3957" ht="15.75" customHeight="1">
      <c r="B3957" s="77">
        <f t="shared" si="1"/>
        <v>0</v>
      </c>
      <c r="C3957" s="67"/>
      <c r="D3957" s="78"/>
      <c r="E3957" s="101"/>
      <c r="F3957" s="108"/>
      <c r="G3957" s="120"/>
      <c r="H3957" s="101"/>
      <c r="I3957" s="93"/>
      <c r="J3957" s="91"/>
      <c r="L3957" s="94" t="str">
        <f t="shared" si="2"/>
        <v>No infirmation</v>
      </c>
      <c r="M3957" s="94" t="str">
        <f t="shared" si="3"/>
        <v/>
      </c>
    </row>
    <row r="3958" ht="15.75" customHeight="1">
      <c r="B3958" s="77">
        <f t="shared" si="1"/>
        <v>0</v>
      </c>
      <c r="C3958" s="67"/>
      <c r="D3958" s="78"/>
      <c r="E3958" s="101"/>
      <c r="F3958" s="108"/>
      <c r="G3958" s="120"/>
      <c r="H3958" s="101"/>
      <c r="I3958" s="93"/>
      <c r="J3958" s="91"/>
      <c r="L3958" s="94" t="str">
        <f t="shared" si="2"/>
        <v>No infirmation</v>
      </c>
      <c r="M3958" s="94" t="str">
        <f t="shared" si="3"/>
        <v/>
      </c>
    </row>
    <row r="3959" ht="15.75" customHeight="1">
      <c r="B3959" s="77">
        <f t="shared" si="1"/>
        <v>0</v>
      </c>
      <c r="C3959" s="67"/>
      <c r="D3959" s="78"/>
      <c r="E3959" s="101"/>
      <c r="F3959" s="108"/>
      <c r="G3959" s="120"/>
      <c r="H3959" s="101"/>
      <c r="I3959" s="93"/>
      <c r="J3959" s="91"/>
      <c r="L3959" s="94" t="str">
        <f t="shared" si="2"/>
        <v>No infirmation</v>
      </c>
      <c r="M3959" s="94" t="str">
        <f t="shared" si="3"/>
        <v/>
      </c>
    </row>
    <row r="3960" ht="15.75" customHeight="1">
      <c r="B3960" s="77">
        <f t="shared" si="1"/>
        <v>0</v>
      </c>
      <c r="C3960" s="67"/>
      <c r="D3960" s="78"/>
      <c r="E3960" s="101"/>
      <c r="F3960" s="108"/>
      <c r="G3960" s="120"/>
      <c r="H3960" s="101"/>
      <c r="I3960" s="93"/>
      <c r="J3960" s="91"/>
      <c r="L3960" s="94" t="str">
        <f t="shared" si="2"/>
        <v>No infirmation</v>
      </c>
      <c r="M3960" s="94" t="str">
        <f t="shared" si="3"/>
        <v/>
      </c>
    </row>
    <row r="3961" ht="15.75" customHeight="1">
      <c r="B3961" s="77">
        <f t="shared" si="1"/>
        <v>0</v>
      </c>
      <c r="C3961" s="67"/>
      <c r="D3961" s="78"/>
      <c r="E3961" s="101"/>
      <c r="F3961" s="108"/>
      <c r="G3961" s="120"/>
      <c r="H3961" s="101"/>
      <c r="I3961" s="93"/>
      <c r="J3961" s="91"/>
      <c r="L3961" s="94" t="str">
        <f t="shared" si="2"/>
        <v>No infirmation</v>
      </c>
      <c r="M3961" s="94" t="str">
        <f t="shared" si="3"/>
        <v/>
      </c>
    </row>
    <row r="3962" ht="15.75" customHeight="1">
      <c r="B3962" s="77">
        <f t="shared" si="1"/>
        <v>0</v>
      </c>
      <c r="C3962" s="67"/>
      <c r="D3962" s="78"/>
      <c r="E3962" s="101"/>
      <c r="F3962" s="108"/>
      <c r="G3962" s="120"/>
      <c r="H3962" s="101"/>
      <c r="I3962" s="93"/>
      <c r="J3962" s="91"/>
      <c r="L3962" s="94" t="str">
        <f t="shared" si="2"/>
        <v>No infirmation</v>
      </c>
      <c r="M3962" s="94" t="str">
        <f t="shared" si="3"/>
        <v/>
      </c>
    </row>
    <row r="3963" ht="15.75" customHeight="1">
      <c r="B3963" s="77">
        <f t="shared" si="1"/>
        <v>0</v>
      </c>
      <c r="C3963" s="67"/>
      <c r="D3963" s="78"/>
      <c r="E3963" s="101"/>
      <c r="F3963" s="108"/>
      <c r="G3963" s="120"/>
      <c r="H3963" s="101"/>
      <c r="I3963" s="93"/>
      <c r="J3963" s="91"/>
      <c r="L3963" s="94" t="str">
        <f t="shared" si="2"/>
        <v>No infirmation</v>
      </c>
      <c r="M3963" s="94" t="str">
        <f t="shared" si="3"/>
        <v/>
      </c>
    </row>
    <row r="3964" ht="15.75" customHeight="1">
      <c r="B3964" s="77">
        <f t="shared" si="1"/>
        <v>0</v>
      </c>
      <c r="C3964" s="67"/>
      <c r="D3964" s="78"/>
      <c r="E3964" s="101"/>
      <c r="F3964" s="108"/>
      <c r="G3964" s="120"/>
      <c r="H3964" s="101"/>
      <c r="I3964" s="93"/>
      <c r="J3964" s="91"/>
      <c r="L3964" s="94" t="str">
        <f t="shared" si="2"/>
        <v>No infirmation</v>
      </c>
      <c r="M3964" s="94" t="str">
        <f t="shared" si="3"/>
        <v/>
      </c>
    </row>
    <row r="3965" ht="15.75" customHeight="1">
      <c r="B3965" s="77">
        <f t="shared" si="1"/>
        <v>0</v>
      </c>
      <c r="C3965" s="67"/>
      <c r="D3965" s="78"/>
      <c r="E3965" s="101"/>
      <c r="F3965" s="108"/>
      <c r="G3965" s="120"/>
      <c r="H3965" s="101"/>
      <c r="I3965" s="93"/>
      <c r="J3965" s="91"/>
      <c r="L3965" s="94" t="str">
        <f t="shared" si="2"/>
        <v>No infirmation</v>
      </c>
      <c r="M3965" s="94" t="str">
        <f t="shared" si="3"/>
        <v/>
      </c>
    </row>
    <row r="3966" ht="15.75" customHeight="1">
      <c r="B3966" s="77">
        <f t="shared" si="1"/>
        <v>0</v>
      </c>
      <c r="C3966" s="67"/>
      <c r="D3966" s="78"/>
      <c r="E3966" s="101"/>
      <c r="F3966" s="108"/>
      <c r="G3966" s="120"/>
      <c r="H3966" s="101"/>
      <c r="I3966" s="93"/>
      <c r="J3966" s="91"/>
      <c r="L3966" s="94" t="str">
        <f t="shared" si="2"/>
        <v>No infirmation</v>
      </c>
      <c r="M3966" s="94" t="str">
        <f t="shared" si="3"/>
        <v/>
      </c>
    </row>
    <row r="3967" ht="15.75" customHeight="1">
      <c r="B3967" s="77">
        <f t="shared" si="1"/>
        <v>0</v>
      </c>
      <c r="C3967" s="67"/>
      <c r="D3967" s="78"/>
      <c r="E3967" s="101"/>
      <c r="F3967" s="108"/>
      <c r="G3967" s="120"/>
      <c r="H3967" s="101"/>
      <c r="I3967" s="93"/>
      <c r="J3967" s="91"/>
      <c r="L3967" s="94" t="str">
        <f t="shared" si="2"/>
        <v>No infirmation</v>
      </c>
      <c r="M3967" s="94" t="str">
        <f t="shared" si="3"/>
        <v/>
      </c>
    </row>
    <row r="3968" ht="15.75" customHeight="1">
      <c r="B3968" s="77">
        <f t="shared" si="1"/>
        <v>0</v>
      </c>
      <c r="C3968" s="67"/>
      <c r="D3968" s="78"/>
      <c r="E3968" s="101"/>
      <c r="F3968" s="108"/>
      <c r="G3968" s="120"/>
      <c r="H3968" s="101"/>
      <c r="I3968" s="93"/>
      <c r="J3968" s="91"/>
      <c r="L3968" s="94" t="str">
        <f t="shared" si="2"/>
        <v>No infirmation</v>
      </c>
      <c r="M3968" s="94" t="str">
        <f t="shared" si="3"/>
        <v/>
      </c>
    </row>
    <row r="3969" ht="15.75" customHeight="1">
      <c r="B3969" s="77">
        <f t="shared" si="1"/>
        <v>0</v>
      </c>
      <c r="C3969" s="67"/>
      <c r="D3969" s="78"/>
      <c r="E3969" s="101"/>
      <c r="F3969" s="108"/>
      <c r="G3969" s="120"/>
      <c r="H3969" s="101"/>
      <c r="I3969" s="93"/>
      <c r="J3969" s="91"/>
      <c r="L3969" s="94" t="str">
        <f t="shared" si="2"/>
        <v>No infirmation</v>
      </c>
      <c r="M3969" s="94" t="str">
        <f t="shared" si="3"/>
        <v/>
      </c>
    </row>
    <row r="3970" ht="15.75" customHeight="1">
      <c r="B3970" s="77">
        <f t="shared" si="1"/>
        <v>0</v>
      </c>
      <c r="C3970" s="67"/>
      <c r="D3970" s="78"/>
      <c r="E3970" s="101"/>
      <c r="F3970" s="108"/>
      <c r="G3970" s="120"/>
      <c r="H3970" s="101"/>
      <c r="I3970" s="93"/>
      <c r="J3970" s="91"/>
      <c r="L3970" s="94" t="str">
        <f t="shared" si="2"/>
        <v>No infirmation</v>
      </c>
      <c r="M3970" s="94" t="str">
        <f t="shared" si="3"/>
        <v/>
      </c>
    </row>
    <row r="3971" ht="15.75" customHeight="1">
      <c r="B3971" s="77">
        <f t="shared" si="1"/>
        <v>0</v>
      </c>
      <c r="C3971" s="67"/>
      <c r="D3971" s="78"/>
      <c r="E3971" s="101"/>
      <c r="F3971" s="108"/>
      <c r="G3971" s="120"/>
      <c r="H3971" s="101"/>
      <c r="I3971" s="93"/>
      <c r="J3971" s="91"/>
      <c r="L3971" s="94" t="str">
        <f t="shared" si="2"/>
        <v>No infirmation</v>
      </c>
      <c r="M3971" s="94" t="str">
        <f t="shared" si="3"/>
        <v/>
      </c>
    </row>
    <row r="3972" ht="15.75" customHeight="1">
      <c r="B3972" s="77">
        <f t="shared" si="1"/>
        <v>0</v>
      </c>
      <c r="C3972" s="67"/>
      <c r="D3972" s="78"/>
      <c r="E3972" s="101"/>
      <c r="F3972" s="108"/>
      <c r="G3972" s="120"/>
      <c r="H3972" s="101"/>
      <c r="I3972" s="93"/>
      <c r="J3972" s="91"/>
      <c r="L3972" s="94" t="str">
        <f t="shared" si="2"/>
        <v>No infirmation</v>
      </c>
      <c r="M3972" s="94" t="str">
        <f t="shared" si="3"/>
        <v/>
      </c>
    </row>
    <row r="3973" ht="15.75" customHeight="1">
      <c r="B3973" s="77">
        <f t="shared" si="1"/>
        <v>0</v>
      </c>
      <c r="C3973" s="67"/>
      <c r="D3973" s="78"/>
      <c r="E3973" s="101"/>
      <c r="F3973" s="108"/>
      <c r="G3973" s="120"/>
      <c r="H3973" s="101"/>
      <c r="I3973" s="93"/>
      <c r="J3973" s="91"/>
      <c r="L3973" s="94" t="str">
        <f t="shared" si="2"/>
        <v>No infirmation</v>
      </c>
      <c r="M3973" s="94" t="str">
        <f t="shared" si="3"/>
        <v/>
      </c>
    </row>
    <row r="3974" ht="15.75" customHeight="1">
      <c r="B3974" s="77">
        <f t="shared" si="1"/>
        <v>0</v>
      </c>
      <c r="C3974" s="67"/>
      <c r="D3974" s="78"/>
      <c r="E3974" s="101"/>
      <c r="F3974" s="108"/>
      <c r="G3974" s="120"/>
      <c r="H3974" s="101"/>
      <c r="I3974" s="93"/>
      <c r="J3974" s="91"/>
      <c r="L3974" s="94" t="str">
        <f t="shared" si="2"/>
        <v>No infirmation</v>
      </c>
      <c r="M3974" s="94" t="str">
        <f t="shared" si="3"/>
        <v/>
      </c>
    </row>
    <row r="3975" ht="15.75" customHeight="1">
      <c r="B3975" s="77">
        <f t="shared" si="1"/>
        <v>0</v>
      </c>
      <c r="C3975" s="67"/>
      <c r="D3975" s="78"/>
      <c r="E3975" s="101"/>
      <c r="F3975" s="108"/>
      <c r="G3975" s="120"/>
      <c r="H3975" s="101"/>
      <c r="I3975" s="93"/>
      <c r="J3975" s="91"/>
      <c r="L3975" s="94" t="str">
        <f t="shared" si="2"/>
        <v>No infirmation</v>
      </c>
      <c r="M3975" s="94" t="str">
        <f t="shared" si="3"/>
        <v/>
      </c>
    </row>
    <row r="3976" ht="15.75" customHeight="1">
      <c r="B3976" s="77">
        <f t="shared" si="1"/>
        <v>0</v>
      </c>
      <c r="C3976" s="67"/>
      <c r="D3976" s="78"/>
      <c r="E3976" s="101"/>
      <c r="F3976" s="108"/>
      <c r="G3976" s="120"/>
      <c r="H3976" s="101"/>
      <c r="I3976" s="93"/>
      <c r="J3976" s="91"/>
      <c r="L3976" s="94" t="str">
        <f t="shared" si="2"/>
        <v>No infirmation</v>
      </c>
      <c r="M3976" s="94" t="str">
        <f t="shared" si="3"/>
        <v/>
      </c>
    </row>
    <row r="3977" ht="15.75" customHeight="1">
      <c r="B3977" s="77">
        <f t="shared" si="1"/>
        <v>0</v>
      </c>
      <c r="C3977" s="67"/>
      <c r="D3977" s="78"/>
      <c r="E3977" s="101"/>
      <c r="F3977" s="108"/>
      <c r="G3977" s="120"/>
      <c r="H3977" s="101"/>
      <c r="I3977" s="93"/>
      <c r="J3977" s="91"/>
      <c r="L3977" s="94" t="str">
        <f t="shared" si="2"/>
        <v>No infirmation</v>
      </c>
      <c r="M3977" s="94" t="str">
        <f t="shared" si="3"/>
        <v/>
      </c>
    </row>
    <row r="3978" ht="15.75" customHeight="1">
      <c r="B3978" s="77">
        <f t="shared" si="1"/>
        <v>0</v>
      </c>
      <c r="C3978" s="67"/>
      <c r="D3978" s="78"/>
      <c r="E3978" s="101"/>
      <c r="F3978" s="108"/>
      <c r="G3978" s="120"/>
      <c r="H3978" s="101"/>
      <c r="I3978" s="93"/>
      <c r="J3978" s="91"/>
      <c r="L3978" s="94" t="str">
        <f t="shared" si="2"/>
        <v>No infirmation</v>
      </c>
      <c r="M3978" s="94" t="str">
        <f t="shared" si="3"/>
        <v/>
      </c>
    </row>
    <row r="3979" ht="15.75" customHeight="1">
      <c r="B3979" s="77">
        <f t="shared" si="1"/>
        <v>0</v>
      </c>
      <c r="C3979" s="67"/>
      <c r="D3979" s="78"/>
      <c r="E3979" s="101"/>
      <c r="F3979" s="108"/>
      <c r="G3979" s="120"/>
      <c r="H3979" s="101"/>
      <c r="I3979" s="93"/>
      <c r="J3979" s="91"/>
      <c r="L3979" s="94" t="str">
        <f t="shared" si="2"/>
        <v>No infirmation</v>
      </c>
      <c r="M3979" s="94" t="str">
        <f t="shared" si="3"/>
        <v/>
      </c>
    </row>
    <row r="3980" ht="15.75" customHeight="1">
      <c r="B3980" s="77">
        <f t="shared" si="1"/>
        <v>0</v>
      </c>
      <c r="C3980" s="67"/>
      <c r="D3980" s="78"/>
      <c r="E3980" s="101"/>
      <c r="F3980" s="108"/>
      <c r="G3980" s="120"/>
      <c r="H3980" s="101"/>
      <c r="I3980" s="93"/>
      <c r="J3980" s="91"/>
      <c r="L3980" s="94" t="str">
        <f t="shared" si="2"/>
        <v>No infirmation</v>
      </c>
      <c r="M3980" s="94" t="str">
        <f t="shared" si="3"/>
        <v/>
      </c>
    </row>
    <row r="3981" ht="15.75" customHeight="1">
      <c r="B3981" s="77">
        <f t="shared" si="1"/>
        <v>0</v>
      </c>
      <c r="C3981" s="67"/>
      <c r="D3981" s="78"/>
      <c r="E3981" s="101"/>
      <c r="F3981" s="108"/>
      <c r="G3981" s="120"/>
      <c r="H3981" s="101"/>
      <c r="I3981" s="93"/>
      <c r="J3981" s="91"/>
      <c r="L3981" s="94" t="str">
        <f t="shared" si="2"/>
        <v>No infirmation</v>
      </c>
      <c r="M3981" s="94" t="str">
        <f t="shared" si="3"/>
        <v/>
      </c>
    </row>
    <row r="3982" ht="15.75" customHeight="1">
      <c r="B3982" s="77">
        <f t="shared" si="1"/>
        <v>0</v>
      </c>
      <c r="C3982" s="67"/>
      <c r="D3982" s="78"/>
      <c r="E3982" s="101"/>
      <c r="F3982" s="108"/>
      <c r="G3982" s="120"/>
      <c r="H3982" s="101"/>
      <c r="I3982" s="93"/>
      <c r="J3982" s="91"/>
      <c r="L3982" s="94" t="str">
        <f t="shared" si="2"/>
        <v>No infirmation</v>
      </c>
      <c r="M3982" s="94" t="str">
        <f t="shared" si="3"/>
        <v/>
      </c>
    </row>
    <row r="3983" ht="15.75" customHeight="1">
      <c r="B3983" s="77">
        <f t="shared" si="1"/>
        <v>0</v>
      </c>
      <c r="C3983" s="67"/>
      <c r="D3983" s="78"/>
      <c r="E3983" s="101"/>
      <c r="F3983" s="108"/>
      <c r="G3983" s="120"/>
      <c r="H3983" s="101"/>
      <c r="I3983" s="93"/>
      <c r="J3983" s="91"/>
      <c r="L3983" s="94" t="str">
        <f t="shared" si="2"/>
        <v>No infirmation</v>
      </c>
      <c r="M3983" s="94" t="str">
        <f t="shared" si="3"/>
        <v/>
      </c>
    </row>
    <row r="3984" ht="15.75" customHeight="1">
      <c r="B3984" s="77">
        <f t="shared" si="1"/>
        <v>0</v>
      </c>
      <c r="C3984" s="67"/>
      <c r="D3984" s="78"/>
      <c r="E3984" s="101"/>
      <c r="F3984" s="108"/>
      <c r="G3984" s="120"/>
      <c r="H3984" s="101"/>
      <c r="I3984" s="93"/>
      <c r="J3984" s="91"/>
      <c r="L3984" s="94" t="str">
        <f t="shared" si="2"/>
        <v>No infirmation</v>
      </c>
      <c r="M3984" s="94" t="str">
        <f t="shared" si="3"/>
        <v/>
      </c>
    </row>
    <row r="3985" ht="15.75" customHeight="1">
      <c r="B3985" s="77">
        <f t="shared" si="1"/>
        <v>0</v>
      </c>
      <c r="C3985" s="67"/>
      <c r="D3985" s="78"/>
      <c r="E3985" s="101"/>
      <c r="F3985" s="108"/>
      <c r="G3985" s="120"/>
      <c r="H3985" s="101"/>
      <c r="I3985" s="93"/>
      <c r="J3985" s="91"/>
      <c r="L3985" s="94" t="str">
        <f t="shared" si="2"/>
        <v>No infirmation</v>
      </c>
      <c r="M3985" s="94" t="str">
        <f t="shared" si="3"/>
        <v/>
      </c>
    </row>
    <row r="3986" ht="15.75" customHeight="1">
      <c r="B3986" s="77">
        <f t="shared" si="1"/>
        <v>0</v>
      </c>
      <c r="C3986" s="67"/>
      <c r="D3986" s="78"/>
      <c r="E3986" s="101"/>
      <c r="F3986" s="108"/>
      <c r="G3986" s="120"/>
      <c r="H3986" s="101"/>
      <c r="I3986" s="93"/>
      <c r="J3986" s="91"/>
      <c r="L3986" s="94" t="str">
        <f t="shared" si="2"/>
        <v>No infirmation</v>
      </c>
      <c r="M3986" s="94" t="str">
        <f t="shared" si="3"/>
        <v/>
      </c>
    </row>
    <row r="3987" ht="15.75" customHeight="1">
      <c r="B3987" s="77">
        <f t="shared" si="1"/>
        <v>0</v>
      </c>
      <c r="C3987" s="67"/>
      <c r="D3987" s="78"/>
      <c r="E3987" s="101"/>
      <c r="F3987" s="108"/>
      <c r="G3987" s="120"/>
      <c r="H3987" s="101"/>
      <c r="I3987" s="93"/>
      <c r="J3987" s="91"/>
      <c r="L3987" s="94" t="str">
        <f t="shared" si="2"/>
        <v>No infirmation</v>
      </c>
      <c r="M3987" s="94" t="str">
        <f t="shared" si="3"/>
        <v/>
      </c>
    </row>
    <row r="3988" ht="15.75" customHeight="1">
      <c r="B3988" s="77">
        <f t="shared" si="1"/>
        <v>0</v>
      </c>
      <c r="C3988" s="67"/>
      <c r="D3988" s="78"/>
      <c r="E3988" s="101"/>
      <c r="F3988" s="108"/>
      <c r="G3988" s="120"/>
      <c r="H3988" s="101"/>
      <c r="I3988" s="93"/>
      <c r="J3988" s="91"/>
      <c r="L3988" s="94" t="str">
        <f t="shared" si="2"/>
        <v>No infirmation</v>
      </c>
      <c r="M3988" s="94" t="str">
        <f t="shared" si="3"/>
        <v/>
      </c>
    </row>
    <row r="3989" ht="15.75" customHeight="1">
      <c r="B3989" s="77">
        <f t="shared" si="1"/>
        <v>0</v>
      </c>
      <c r="C3989" s="67"/>
      <c r="D3989" s="78"/>
      <c r="E3989" s="101"/>
      <c r="F3989" s="108"/>
      <c r="G3989" s="120"/>
      <c r="H3989" s="101"/>
      <c r="I3989" s="93"/>
      <c r="J3989" s="91"/>
      <c r="L3989" s="94" t="str">
        <f t="shared" si="2"/>
        <v>No infirmation</v>
      </c>
      <c r="M3989" s="94" t="str">
        <f t="shared" si="3"/>
        <v/>
      </c>
    </row>
    <row r="3990" ht="15.75" customHeight="1">
      <c r="B3990" s="77">
        <f t="shared" si="1"/>
        <v>0</v>
      </c>
      <c r="C3990" s="67"/>
      <c r="D3990" s="78"/>
      <c r="E3990" s="101"/>
      <c r="F3990" s="108"/>
      <c r="G3990" s="120"/>
      <c r="H3990" s="101"/>
      <c r="I3990" s="93"/>
      <c r="J3990" s="91"/>
      <c r="L3990" s="94" t="str">
        <f t="shared" si="2"/>
        <v>No infirmation</v>
      </c>
      <c r="M3990" s="94" t="str">
        <f t="shared" si="3"/>
        <v/>
      </c>
    </row>
    <row r="3991" ht="15.75" customHeight="1">
      <c r="B3991" s="77">
        <f t="shared" si="1"/>
        <v>0</v>
      </c>
      <c r="C3991" s="67"/>
      <c r="D3991" s="78"/>
      <c r="E3991" s="101"/>
      <c r="F3991" s="108"/>
      <c r="G3991" s="120"/>
      <c r="H3991" s="101"/>
      <c r="I3991" s="93"/>
      <c r="J3991" s="91"/>
      <c r="L3991" s="94" t="str">
        <f t="shared" si="2"/>
        <v>No infirmation</v>
      </c>
      <c r="M3991" s="94" t="str">
        <f t="shared" si="3"/>
        <v/>
      </c>
    </row>
    <row r="3992" ht="15.75" customHeight="1">
      <c r="B3992" s="77">
        <f t="shared" si="1"/>
        <v>0</v>
      </c>
      <c r="C3992" s="67"/>
      <c r="D3992" s="78"/>
      <c r="E3992" s="101"/>
      <c r="F3992" s="108"/>
      <c r="G3992" s="120"/>
      <c r="H3992" s="101"/>
      <c r="I3992" s="93"/>
      <c r="J3992" s="91"/>
      <c r="L3992" s="94" t="str">
        <f t="shared" si="2"/>
        <v>No infirmation</v>
      </c>
      <c r="M3992" s="94" t="str">
        <f t="shared" si="3"/>
        <v/>
      </c>
    </row>
    <row r="3993" ht="15.75" customHeight="1">
      <c r="B3993" s="77">
        <f t="shared" si="1"/>
        <v>0</v>
      </c>
      <c r="C3993" s="67"/>
      <c r="D3993" s="78"/>
      <c r="E3993" s="101"/>
      <c r="F3993" s="108"/>
      <c r="G3993" s="120"/>
      <c r="H3993" s="101"/>
      <c r="I3993" s="93"/>
      <c r="J3993" s="91"/>
      <c r="L3993" s="94" t="str">
        <f t="shared" si="2"/>
        <v>No infirmation</v>
      </c>
      <c r="M3993" s="94" t="str">
        <f t="shared" si="3"/>
        <v/>
      </c>
    </row>
    <row r="3994" ht="15.75" customHeight="1">
      <c r="B3994" s="77">
        <f t="shared" si="1"/>
        <v>0</v>
      </c>
      <c r="C3994" s="67"/>
      <c r="D3994" s="78"/>
      <c r="E3994" s="101"/>
      <c r="F3994" s="108"/>
      <c r="G3994" s="120"/>
      <c r="H3994" s="101"/>
      <c r="I3994" s="93"/>
      <c r="J3994" s="91"/>
      <c r="L3994" s="94" t="str">
        <f t="shared" si="2"/>
        <v>No infirmation</v>
      </c>
      <c r="M3994" s="94" t="str">
        <f t="shared" si="3"/>
        <v/>
      </c>
    </row>
    <row r="3995" ht="15.75" customHeight="1">
      <c r="B3995" s="77">
        <f t="shared" si="1"/>
        <v>0</v>
      </c>
      <c r="C3995" s="67"/>
      <c r="D3995" s="78"/>
      <c r="E3995" s="101"/>
      <c r="F3995" s="108"/>
      <c r="G3995" s="120"/>
      <c r="H3995" s="101"/>
      <c r="I3995" s="93"/>
      <c r="J3995" s="91"/>
      <c r="L3995" s="94" t="str">
        <f t="shared" si="2"/>
        <v>No infirmation</v>
      </c>
      <c r="M3995" s="94" t="str">
        <f t="shared" si="3"/>
        <v/>
      </c>
    </row>
    <row r="3996" ht="15.75" customHeight="1">
      <c r="B3996" s="77">
        <f t="shared" si="1"/>
        <v>0</v>
      </c>
      <c r="C3996" s="67"/>
      <c r="D3996" s="78"/>
      <c r="E3996" s="101"/>
      <c r="F3996" s="108"/>
      <c r="G3996" s="120"/>
      <c r="H3996" s="101"/>
      <c r="I3996" s="93"/>
      <c r="J3996" s="91"/>
      <c r="L3996" s="94" t="str">
        <f t="shared" si="2"/>
        <v>No infirmation</v>
      </c>
      <c r="M3996" s="94" t="str">
        <f t="shared" si="3"/>
        <v/>
      </c>
    </row>
    <row r="3997" ht="15.75" customHeight="1">
      <c r="B3997" s="77">
        <f t="shared" si="1"/>
        <v>0</v>
      </c>
      <c r="C3997" s="67"/>
      <c r="D3997" s="78"/>
      <c r="E3997" s="101"/>
      <c r="F3997" s="108"/>
      <c r="G3997" s="120"/>
      <c r="H3997" s="101"/>
      <c r="I3997" s="93"/>
      <c r="J3997" s="91"/>
      <c r="L3997" s="94" t="str">
        <f t="shared" si="2"/>
        <v>No infirmation</v>
      </c>
      <c r="M3997" s="94" t="str">
        <f t="shared" si="3"/>
        <v/>
      </c>
    </row>
    <row r="3998" ht="15.75" customHeight="1">
      <c r="B3998" s="77">
        <f t="shared" si="1"/>
        <v>0</v>
      </c>
      <c r="C3998" s="67"/>
      <c r="D3998" s="78"/>
      <c r="E3998" s="101"/>
      <c r="F3998" s="108"/>
      <c r="G3998" s="120"/>
      <c r="H3998" s="101"/>
      <c r="I3998" s="93"/>
      <c r="J3998" s="91"/>
      <c r="L3998" s="94" t="str">
        <f t="shared" si="2"/>
        <v>No infirmation</v>
      </c>
      <c r="M3998" s="94" t="str">
        <f t="shared" si="3"/>
        <v/>
      </c>
    </row>
    <row r="3999" ht="15.75" customHeight="1">
      <c r="B3999" s="77">
        <f t="shared" si="1"/>
        <v>0</v>
      </c>
      <c r="C3999" s="67"/>
      <c r="D3999" s="78"/>
      <c r="E3999" s="101"/>
      <c r="F3999" s="108"/>
      <c r="G3999" s="120"/>
      <c r="H3999" s="101"/>
      <c r="I3999" s="93"/>
      <c r="J3999" s="91"/>
      <c r="L3999" s="94" t="str">
        <f t="shared" si="2"/>
        <v>No infirmation</v>
      </c>
      <c r="M3999" s="94" t="str">
        <f t="shared" si="3"/>
        <v/>
      </c>
    </row>
    <row r="4000" ht="15.75" customHeight="1">
      <c r="B4000" s="77">
        <f t="shared" si="1"/>
        <v>0</v>
      </c>
      <c r="C4000" s="67"/>
      <c r="D4000" s="78"/>
      <c r="E4000" s="101"/>
      <c r="F4000" s="108"/>
      <c r="G4000" s="120"/>
      <c r="H4000" s="101"/>
      <c r="I4000" s="93"/>
      <c r="J4000" s="91"/>
      <c r="L4000" s="94" t="str">
        <f t="shared" si="2"/>
        <v>No infirmation</v>
      </c>
      <c r="M4000" s="94" t="str">
        <f t="shared" si="3"/>
        <v/>
      </c>
    </row>
    <row r="4001" ht="15.75" customHeight="1">
      <c r="B4001" s="77">
        <f t="shared" si="1"/>
        <v>0</v>
      </c>
      <c r="C4001" s="67"/>
      <c r="D4001" s="78"/>
      <c r="E4001" s="101"/>
      <c r="F4001" s="108"/>
      <c r="G4001" s="120"/>
      <c r="H4001" s="101"/>
      <c r="I4001" s="93"/>
      <c r="J4001" s="91"/>
      <c r="L4001" s="94" t="str">
        <f t="shared" si="2"/>
        <v>No infirmation</v>
      </c>
      <c r="M4001" s="94" t="str">
        <f t="shared" si="3"/>
        <v/>
      </c>
    </row>
    <row r="4002" ht="15.75" customHeight="1">
      <c r="B4002" s="77">
        <f t="shared" si="1"/>
        <v>0</v>
      </c>
      <c r="C4002" s="67"/>
      <c r="D4002" s="78"/>
      <c r="E4002" s="101"/>
      <c r="F4002" s="108"/>
      <c r="G4002" s="120"/>
      <c r="H4002" s="101"/>
      <c r="I4002" s="93"/>
      <c r="J4002" s="91"/>
      <c r="L4002" s="94" t="str">
        <f t="shared" si="2"/>
        <v>No infirmation</v>
      </c>
      <c r="M4002" s="94" t="str">
        <f t="shared" si="3"/>
        <v/>
      </c>
    </row>
    <row r="4003" ht="15.75" customHeight="1">
      <c r="B4003" s="77">
        <f t="shared" si="1"/>
        <v>0</v>
      </c>
      <c r="C4003" s="67"/>
      <c r="D4003" s="78"/>
      <c r="E4003" s="101"/>
      <c r="F4003" s="108"/>
      <c r="G4003" s="120"/>
      <c r="H4003" s="101"/>
      <c r="I4003" s="93"/>
      <c r="J4003" s="91"/>
      <c r="L4003" s="94" t="str">
        <f t="shared" si="2"/>
        <v>No infirmation</v>
      </c>
      <c r="M4003" s="94" t="str">
        <f t="shared" si="3"/>
        <v/>
      </c>
    </row>
    <row r="4004" ht="15.75" customHeight="1">
      <c r="B4004" s="77">
        <f t="shared" si="1"/>
        <v>0</v>
      </c>
      <c r="C4004" s="67"/>
      <c r="D4004" s="78"/>
      <c r="E4004" s="101"/>
      <c r="F4004" s="108"/>
      <c r="G4004" s="120"/>
      <c r="H4004" s="101"/>
      <c r="I4004" s="93"/>
      <c r="J4004" s="91"/>
      <c r="L4004" s="94" t="str">
        <f t="shared" si="2"/>
        <v>No infirmation</v>
      </c>
      <c r="M4004" s="94" t="str">
        <f t="shared" si="3"/>
        <v/>
      </c>
    </row>
    <row r="4005" ht="15.75" customHeight="1">
      <c r="B4005" s="77">
        <f t="shared" si="1"/>
        <v>0</v>
      </c>
      <c r="C4005" s="67"/>
      <c r="D4005" s="78"/>
      <c r="E4005" s="101"/>
      <c r="F4005" s="108"/>
      <c r="G4005" s="120"/>
      <c r="H4005" s="101"/>
      <c r="I4005" s="93"/>
      <c r="J4005" s="91"/>
      <c r="L4005" s="94" t="str">
        <f t="shared" si="2"/>
        <v>No infirmation</v>
      </c>
      <c r="M4005" s="94" t="str">
        <f t="shared" si="3"/>
        <v/>
      </c>
    </row>
    <row r="4006" ht="15.75" customHeight="1">
      <c r="B4006" s="77">
        <f t="shared" si="1"/>
        <v>0</v>
      </c>
      <c r="C4006" s="67"/>
      <c r="D4006" s="78"/>
      <c r="E4006" s="101"/>
      <c r="F4006" s="108"/>
      <c r="G4006" s="120"/>
      <c r="H4006" s="101"/>
      <c r="I4006" s="93"/>
      <c r="J4006" s="91"/>
      <c r="L4006" s="94" t="str">
        <f t="shared" si="2"/>
        <v>No infirmation</v>
      </c>
      <c r="M4006" s="94" t="str">
        <f t="shared" si="3"/>
        <v/>
      </c>
    </row>
    <row r="4007" ht="15.75" customHeight="1">
      <c r="B4007" s="77">
        <f t="shared" si="1"/>
        <v>0</v>
      </c>
      <c r="C4007" s="67"/>
      <c r="D4007" s="78"/>
      <c r="E4007" s="101"/>
      <c r="F4007" s="108"/>
      <c r="G4007" s="120"/>
      <c r="H4007" s="101"/>
      <c r="I4007" s="93"/>
      <c r="J4007" s="91"/>
      <c r="L4007" s="94" t="str">
        <f t="shared" si="2"/>
        <v>No infirmation</v>
      </c>
      <c r="M4007" s="94" t="str">
        <f t="shared" si="3"/>
        <v/>
      </c>
    </row>
    <row r="4008" ht="15.75" customHeight="1">
      <c r="B4008" s="77">
        <f t="shared" si="1"/>
        <v>0</v>
      </c>
      <c r="C4008" s="67"/>
      <c r="D4008" s="78"/>
      <c r="E4008" s="101"/>
      <c r="F4008" s="108"/>
      <c r="G4008" s="120"/>
      <c r="H4008" s="101"/>
      <c r="I4008" s="93"/>
      <c r="J4008" s="91"/>
      <c r="L4008" s="94" t="str">
        <f t="shared" si="2"/>
        <v>No infirmation</v>
      </c>
      <c r="M4008" s="94" t="str">
        <f t="shared" si="3"/>
        <v/>
      </c>
    </row>
    <row r="4009" ht="15.75" customHeight="1">
      <c r="B4009" s="77">
        <f t="shared" si="1"/>
        <v>0</v>
      </c>
      <c r="C4009" s="67"/>
      <c r="D4009" s="78"/>
      <c r="E4009" s="101"/>
      <c r="F4009" s="108"/>
      <c r="G4009" s="120"/>
      <c r="H4009" s="101"/>
      <c r="I4009" s="93"/>
      <c r="J4009" s="91"/>
      <c r="L4009" s="94" t="str">
        <f t="shared" si="2"/>
        <v>No infirmation</v>
      </c>
      <c r="M4009" s="94" t="str">
        <f t="shared" si="3"/>
        <v/>
      </c>
    </row>
    <row r="4010" ht="15.75" customHeight="1">
      <c r="B4010" s="77">
        <f t="shared" si="1"/>
        <v>0</v>
      </c>
      <c r="C4010" s="67"/>
      <c r="D4010" s="78"/>
      <c r="E4010" s="101"/>
      <c r="F4010" s="108"/>
      <c r="G4010" s="120"/>
      <c r="H4010" s="101"/>
      <c r="I4010" s="93"/>
      <c r="J4010" s="91"/>
      <c r="L4010" s="94" t="str">
        <f t="shared" si="2"/>
        <v>No infirmation</v>
      </c>
      <c r="M4010" s="94" t="str">
        <f t="shared" si="3"/>
        <v/>
      </c>
    </row>
    <row r="4011" ht="15.75" customHeight="1">
      <c r="B4011" s="77">
        <f t="shared" si="1"/>
        <v>0</v>
      </c>
      <c r="C4011" s="67"/>
      <c r="D4011" s="78"/>
      <c r="E4011" s="101"/>
      <c r="F4011" s="108"/>
      <c r="G4011" s="120"/>
      <c r="H4011" s="101"/>
      <c r="I4011" s="93"/>
      <c r="J4011" s="91"/>
      <c r="L4011" s="94" t="str">
        <f t="shared" si="2"/>
        <v>No infirmation</v>
      </c>
      <c r="M4011" s="94" t="str">
        <f t="shared" si="3"/>
        <v/>
      </c>
    </row>
    <row r="4012" ht="15.75" customHeight="1">
      <c r="B4012" s="77">
        <f t="shared" si="1"/>
        <v>0</v>
      </c>
      <c r="C4012" s="67"/>
      <c r="D4012" s="78"/>
      <c r="E4012" s="101"/>
      <c r="F4012" s="108"/>
      <c r="G4012" s="120"/>
      <c r="H4012" s="101"/>
      <c r="I4012" s="93"/>
      <c r="J4012" s="91"/>
      <c r="L4012" s="94" t="str">
        <f t="shared" si="2"/>
        <v>No infirmation</v>
      </c>
      <c r="M4012" s="94" t="str">
        <f t="shared" si="3"/>
        <v/>
      </c>
    </row>
    <row r="4013" ht="15.75" customHeight="1">
      <c r="B4013" s="77">
        <f t="shared" si="1"/>
        <v>0</v>
      </c>
      <c r="C4013" s="67"/>
      <c r="D4013" s="78"/>
      <c r="E4013" s="101"/>
      <c r="F4013" s="108"/>
      <c r="G4013" s="120"/>
      <c r="H4013" s="101"/>
      <c r="I4013" s="93"/>
      <c r="J4013" s="91"/>
      <c r="L4013" s="94" t="str">
        <f t="shared" si="2"/>
        <v>No infirmation</v>
      </c>
      <c r="M4013" s="94" t="str">
        <f t="shared" si="3"/>
        <v/>
      </c>
    </row>
    <row r="4014" ht="15.75" customHeight="1">
      <c r="B4014" s="77">
        <f t="shared" si="1"/>
        <v>0</v>
      </c>
      <c r="C4014" s="67"/>
      <c r="D4014" s="78"/>
      <c r="E4014" s="101"/>
      <c r="F4014" s="108"/>
      <c r="G4014" s="120"/>
      <c r="H4014" s="101"/>
      <c r="I4014" s="93"/>
      <c r="J4014" s="91"/>
      <c r="L4014" s="94" t="str">
        <f t="shared" si="2"/>
        <v>No infirmation</v>
      </c>
      <c r="M4014" s="94" t="str">
        <f t="shared" si="3"/>
        <v/>
      </c>
    </row>
    <row r="4015" ht="15.75" customHeight="1">
      <c r="B4015" s="77">
        <f t="shared" si="1"/>
        <v>0</v>
      </c>
      <c r="C4015" s="67"/>
      <c r="D4015" s="78"/>
      <c r="E4015" s="101"/>
      <c r="F4015" s="108"/>
      <c r="G4015" s="120"/>
      <c r="H4015" s="101"/>
      <c r="I4015" s="93"/>
      <c r="J4015" s="91"/>
      <c r="L4015" s="94" t="str">
        <f t="shared" si="2"/>
        <v>No infirmation</v>
      </c>
      <c r="M4015" s="94" t="str">
        <f t="shared" si="3"/>
        <v/>
      </c>
    </row>
    <row r="4016" ht="15.75" customHeight="1">
      <c r="B4016" s="77">
        <f t="shared" si="1"/>
        <v>0</v>
      </c>
      <c r="C4016" s="67"/>
      <c r="D4016" s="78"/>
      <c r="E4016" s="101"/>
      <c r="F4016" s="108"/>
      <c r="G4016" s="120"/>
      <c r="H4016" s="101"/>
      <c r="I4016" s="93"/>
      <c r="J4016" s="91"/>
      <c r="L4016" s="94" t="str">
        <f t="shared" si="2"/>
        <v>No infirmation</v>
      </c>
      <c r="M4016" s="94" t="str">
        <f t="shared" si="3"/>
        <v/>
      </c>
    </row>
    <row r="4017" ht="15.75" customHeight="1">
      <c r="B4017" s="77">
        <f t="shared" si="1"/>
        <v>0</v>
      </c>
      <c r="C4017" s="67"/>
      <c r="D4017" s="78"/>
      <c r="E4017" s="101"/>
      <c r="F4017" s="108"/>
      <c r="G4017" s="120"/>
      <c r="H4017" s="101"/>
      <c r="I4017" s="93"/>
      <c r="J4017" s="91"/>
      <c r="L4017" s="94" t="str">
        <f t="shared" si="2"/>
        <v>No infirmation</v>
      </c>
      <c r="M4017" s="94" t="str">
        <f t="shared" si="3"/>
        <v/>
      </c>
    </row>
    <row r="4018" ht="15.75" customHeight="1">
      <c r="B4018" s="77">
        <f t="shared" si="1"/>
        <v>0</v>
      </c>
      <c r="C4018" s="67"/>
      <c r="D4018" s="78"/>
      <c r="E4018" s="101"/>
      <c r="F4018" s="108"/>
      <c r="G4018" s="120"/>
      <c r="H4018" s="101"/>
      <c r="I4018" s="93"/>
      <c r="J4018" s="91"/>
      <c r="L4018" s="94" t="str">
        <f t="shared" si="2"/>
        <v>No infirmation</v>
      </c>
      <c r="M4018" s="94" t="str">
        <f t="shared" si="3"/>
        <v/>
      </c>
    </row>
    <row r="4019" ht="15.75" customHeight="1">
      <c r="B4019" s="77">
        <f t="shared" si="1"/>
        <v>0</v>
      </c>
      <c r="C4019" s="67"/>
      <c r="D4019" s="78"/>
      <c r="E4019" s="101"/>
      <c r="F4019" s="108"/>
      <c r="G4019" s="120"/>
      <c r="H4019" s="101"/>
      <c r="I4019" s="93"/>
      <c r="J4019" s="91"/>
      <c r="L4019" s="94" t="str">
        <f t="shared" si="2"/>
        <v>No infirmation</v>
      </c>
      <c r="M4019" s="94" t="str">
        <f t="shared" si="3"/>
        <v/>
      </c>
    </row>
    <row r="4020" ht="15.75" customHeight="1">
      <c r="B4020" s="77">
        <f t="shared" si="1"/>
        <v>0</v>
      </c>
      <c r="C4020" s="67"/>
      <c r="D4020" s="78"/>
      <c r="E4020" s="101"/>
      <c r="F4020" s="108"/>
      <c r="G4020" s="120"/>
      <c r="H4020" s="101"/>
      <c r="I4020" s="93"/>
      <c r="J4020" s="91"/>
      <c r="L4020" s="94" t="str">
        <f t="shared" si="2"/>
        <v>No infirmation</v>
      </c>
      <c r="M4020" s="94" t="str">
        <f t="shared" si="3"/>
        <v/>
      </c>
    </row>
    <row r="4021" ht="15.75" customHeight="1">
      <c r="B4021" s="77">
        <f t="shared" si="1"/>
        <v>0</v>
      </c>
      <c r="C4021" s="67"/>
      <c r="D4021" s="78"/>
      <c r="E4021" s="101"/>
      <c r="F4021" s="108"/>
      <c r="G4021" s="120"/>
      <c r="H4021" s="101"/>
      <c r="I4021" s="93"/>
      <c r="J4021" s="91"/>
      <c r="L4021" s="94" t="str">
        <f t="shared" si="2"/>
        <v>No infirmation</v>
      </c>
      <c r="M4021" s="94" t="str">
        <f t="shared" si="3"/>
        <v/>
      </c>
    </row>
    <row r="4022" ht="15.75" customHeight="1">
      <c r="B4022" s="77">
        <f t="shared" si="1"/>
        <v>0</v>
      </c>
      <c r="C4022" s="67"/>
      <c r="D4022" s="78"/>
      <c r="E4022" s="101"/>
      <c r="F4022" s="108"/>
      <c r="G4022" s="120"/>
      <c r="H4022" s="101"/>
      <c r="I4022" s="93"/>
      <c r="J4022" s="91"/>
      <c r="L4022" s="94" t="str">
        <f t="shared" si="2"/>
        <v>No infirmation</v>
      </c>
      <c r="M4022" s="94" t="str">
        <f t="shared" si="3"/>
        <v/>
      </c>
    </row>
    <row r="4023" ht="15.75" customHeight="1">
      <c r="B4023" s="77">
        <f t="shared" si="1"/>
        <v>0</v>
      </c>
      <c r="C4023" s="67"/>
      <c r="D4023" s="78"/>
      <c r="E4023" s="101"/>
      <c r="F4023" s="108"/>
      <c r="G4023" s="120"/>
      <c r="H4023" s="101"/>
      <c r="I4023" s="93"/>
      <c r="J4023" s="91"/>
      <c r="L4023" s="94" t="str">
        <f t="shared" si="2"/>
        <v>No infirmation</v>
      </c>
      <c r="M4023" s="94" t="str">
        <f t="shared" si="3"/>
        <v/>
      </c>
    </row>
    <row r="4024" ht="15.75" customHeight="1">
      <c r="B4024" s="77">
        <f t="shared" si="1"/>
        <v>0</v>
      </c>
      <c r="C4024" s="67"/>
      <c r="D4024" s="78"/>
      <c r="E4024" s="101"/>
      <c r="F4024" s="108"/>
      <c r="G4024" s="120"/>
      <c r="H4024" s="101"/>
      <c r="I4024" s="93"/>
      <c r="J4024" s="91"/>
      <c r="L4024" s="94" t="str">
        <f t="shared" si="2"/>
        <v>No infirmation</v>
      </c>
      <c r="M4024" s="94" t="str">
        <f t="shared" si="3"/>
        <v/>
      </c>
    </row>
    <row r="4025" ht="15.75" customHeight="1">
      <c r="B4025" s="77">
        <f t="shared" si="1"/>
        <v>0</v>
      </c>
      <c r="C4025" s="67"/>
      <c r="D4025" s="78"/>
      <c r="E4025" s="101"/>
      <c r="F4025" s="108"/>
      <c r="G4025" s="120"/>
      <c r="H4025" s="101"/>
      <c r="I4025" s="93"/>
      <c r="J4025" s="91"/>
      <c r="L4025" s="94" t="str">
        <f t="shared" si="2"/>
        <v>No infirmation</v>
      </c>
      <c r="M4025" s="94" t="str">
        <f t="shared" si="3"/>
        <v/>
      </c>
    </row>
    <row r="4026" ht="15.75" customHeight="1">
      <c r="B4026" s="77">
        <f t="shared" si="1"/>
        <v>0</v>
      </c>
      <c r="C4026" s="67"/>
      <c r="D4026" s="78"/>
      <c r="E4026" s="101"/>
      <c r="F4026" s="108"/>
      <c r="G4026" s="120"/>
      <c r="H4026" s="101"/>
      <c r="I4026" s="93"/>
      <c r="J4026" s="91"/>
      <c r="L4026" s="94" t="str">
        <f t="shared" si="2"/>
        <v>No infirmation</v>
      </c>
      <c r="M4026" s="94" t="str">
        <f t="shared" si="3"/>
        <v/>
      </c>
    </row>
    <row r="4027" ht="15.75" customHeight="1">
      <c r="B4027" s="77">
        <f t="shared" si="1"/>
        <v>0</v>
      </c>
      <c r="C4027" s="67"/>
      <c r="D4027" s="78"/>
      <c r="E4027" s="101"/>
      <c r="F4027" s="108"/>
      <c r="G4027" s="120"/>
      <c r="H4027" s="101"/>
      <c r="I4027" s="93"/>
      <c r="J4027" s="91"/>
      <c r="L4027" s="94" t="str">
        <f t="shared" si="2"/>
        <v>No infirmation</v>
      </c>
      <c r="M4027" s="94" t="str">
        <f t="shared" si="3"/>
        <v/>
      </c>
    </row>
    <row r="4028" ht="15.75" customHeight="1">
      <c r="B4028" s="77">
        <f t="shared" si="1"/>
        <v>0</v>
      </c>
      <c r="C4028" s="67"/>
      <c r="D4028" s="78"/>
      <c r="E4028" s="101"/>
      <c r="F4028" s="108"/>
      <c r="G4028" s="120"/>
      <c r="H4028" s="101"/>
      <c r="I4028" s="93"/>
      <c r="J4028" s="91"/>
      <c r="L4028" s="94" t="str">
        <f t="shared" si="2"/>
        <v>No infirmation</v>
      </c>
      <c r="M4028" s="94" t="str">
        <f t="shared" si="3"/>
        <v/>
      </c>
    </row>
    <row r="4029" ht="15.75" customHeight="1">
      <c r="B4029" s="77">
        <f t="shared" si="1"/>
        <v>0</v>
      </c>
      <c r="C4029" s="67"/>
      <c r="D4029" s="78"/>
      <c r="E4029" s="101"/>
      <c r="F4029" s="108"/>
      <c r="G4029" s="120"/>
      <c r="H4029" s="101"/>
      <c r="I4029" s="93"/>
      <c r="J4029" s="91"/>
      <c r="L4029" s="94" t="str">
        <f t="shared" si="2"/>
        <v>No infirmation</v>
      </c>
      <c r="M4029" s="94" t="str">
        <f t="shared" si="3"/>
        <v/>
      </c>
    </row>
    <row r="4030" ht="15.75" customHeight="1">
      <c r="B4030" s="77">
        <f t="shared" si="1"/>
        <v>0</v>
      </c>
      <c r="C4030" s="67"/>
      <c r="D4030" s="78"/>
      <c r="E4030" s="101"/>
      <c r="F4030" s="108"/>
      <c r="G4030" s="120"/>
      <c r="H4030" s="101"/>
      <c r="I4030" s="93"/>
      <c r="J4030" s="91"/>
      <c r="L4030" s="94" t="str">
        <f t="shared" si="2"/>
        <v>No infirmation</v>
      </c>
      <c r="M4030" s="94" t="str">
        <f t="shared" si="3"/>
        <v/>
      </c>
    </row>
    <row r="4031" ht="15.75" customHeight="1">
      <c r="B4031" s="77">
        <f t="shared" si="1"/>
        <v>0</v>
      </c>
      <c r="C4031" s="67"/>
      <c r="D4031" s="78"/>
      <c r="E4031" s="101"/>
      <c r="F4031" s="108"/>
      <c r="G4031" s="120"/>
      <c r="H4031" s="101"/>
      <c r="I4031" s="93"/>
      <c r="J4031" s="91"/>
      <c r="L4031" s="94" t="str">
        <f t="shared" si="2"/>
        <v>No infirmation</v>
      </c>
      <c r="M4031" s="94" t="str">
        <f t="shared" si="3"/>
        <v/>
      </c>
    </row>
    <row r="4032" ht="15.75" customHeight="1">
      <c r="B4032" s="77">
        <f t="shared" si="1"/>
        <v>0</v>
      </c>
      <c r="C4032" s="67"/>
      <c r="D4032" s="78"/>
      <c r="E4032" s="101"/>
      <c r="F4032" s="108"/>
      <c r="G4032" s="120"/>
      <c r="H4032" s="101"/>
      <c r="I4032" s="93"/>
      <c r="J4032" s="91"/>
      <c r="L4032" s="94" t="str">
        <f t="shared" si="2"/>
        <v>No infirmation</v>
      </c>
      <c r="M4032" s="94" t="str">
        <f t="shared" si="3"/>
        <v/>
      </c>
    </row>
    <row r="4033" ht="15.75" customHeight="1">
      <c r="B4033" s="77">
        <f t="shared" si="1"/>
        <v>0</v>
      </c>
      <c r="C4033" s="67"/>
      <c r="D4033" s="78"/>
      <c r="E4033" s="101"/>
      <c r="F4033" s="108"/>
      <c r="G4033" s="120"/>
      <c r="H4033" s="101"/>
      <c r="I4033" s="93"/>
      <c r="J4033" s="91"/>
      <c r="L4033" s="94" t="str">
        <f t="shared" si="2"/>
        <v>No infirmation</v>
      </c>
      <c r="M4033" s="94" t="str">
        <f t="shared" si="3"/>
        <v/>
      </c>
    </row>
    <row r="4034" ht="15.75" customHeight="1">
      <c r="B4034" s="77">
        <f t="shared" si="1"/>
        <v>0</v>
      </c>
      <c r="C4034" s="67"/>
      <c r="D4034" s="78"/>
      <c r="E4034" s="101"/>
      <c r="F4034" s="108"/>
      <c r="G4034" s="120"/>
      <c r="H4034" s="101"/>
      <c r="I4034" s="93"/>
      <c r="J4034" s="91"/>
      <c r="L4034" s="94" t="str">
        <f t="shared" si="2"/>
        <v>No infirmation</v>
      </c>
      <c r="M4034" s="94" t="str">
        <f t="shared" si="3"/>
        <v/>
      </c>
    </row>
    <row r="4035" ht="15.75" customHeight="1">
      <c r="B4035" s="77">
        <f t="shared" si="1"/>
        <v>0</v>
      </c>
      <c r="C4035" s="67"/>
      <c r="D4035" s="78"/>
      <c r="E4035" s="101"/>
      <c r="F4035" s="108"/>
      <c r="G4035" s="120"/>
      <c r="H4035" s="101"/>
      <c r="I4035" s="93"/>
      <c r="J4035" s="91"/>
      <c r="L4035" s="94" t="str">
        <f t="shared" si="2"/>
        <v>No infirmation</v>
      </c>
      <c r="M4035" s="94" t="str">
        <f t="shared" si="3"/>
        <v/>
      </c>
    </row>
    <row r="4036" ht="15.75" customHeight="1">
      <c r="B4036" s="77">
        <f t="shared" si="1"/>
        <v>0</v>
      </c>
      <c r="C4036" s="67"/>
      <c r="D4036" s="78"/>
      <c r="E4036" s="101"/>
      <c r="F4036" s="108"/>
      <c r="G4036" s="120"/>
      <c r="H4036" s="101"/>
      <c r="I4036" s="93"/>
      <c r="J4036" s="91"/>
      <c r="L4036" s="94" t="str">
        <f t="shared" si="2"/>
        <v>No infirmation</v>
      </c>
      <c r="M4036" s="94" t="str">
        <f t="shared" si="3"/>
        <v/>
      </c>
    </row>
    <row r="4037" ht="15.75" customHeight="1">
      <c r="B4037" s="77">
        <f t="shared" si="1"/>
        <v>0</v>
      </c>
      <c r="C4037" s="67"/>
      <c r="D4037" s="78"/>
      <c r="E4037" s="101"/>
      <c r="F4037" s="108"/>
      <c r="G4037" s="120"/>
      <c r="H4037" s="101"/>
      <c r="I4037" s="93"/>
      <c r="J4037" s="91"/>
      <c r="L4037" s="94" t="str">
        <f t="shared" si="2"/>
        <v>No infirmation</v>
      </c>
      <c r="M4037" s="94" t="str">
        <f t="shared" si="3"/>
        <v/>
      </c>
    </row>
    <row r="4038" ht="15.75" customHeight="1">
      <c r="B4038" s="77">
        <f t="shared" si="1"/>
        <v>0</v>
      </c>
      <c r="C4038" s="67"/>
      <c r="D4038" s="78"/>
      <c r="E4038" s="101"/>
      <c r="F4038" s="108"/>
      <c r="G4038" s="120"/>
      <c r="H4038" s="101"/>
      <c r="I4038" s="93"/>
      <c r="J4038" s="91"/>
      <c r="L4038" s="94" t="str">
        <f t="shared" si="2"/>
        <v>No infirmation</v>
      </c>
      <c r="M4038" s="94" t="str">
        <f t="shared" si="3"/>
        <v/>
      </c>
    </row>
    <row r="4039" ht="15.75" customHeight="1">
      <c r="B4039" s="77">
        <f t="shared" si="1"/>
        <v>0</v>
      </c>
      <c r="C4039" s="67"/>
      <c r="D4039" s="78"/>
      <c r="E4039" s="101"/>
      <c r="F4039" s="108"/>
      <c r="G4039" s="120"/>
      <c r="H4039" s="101"/>
      <c r="I4039" s="93"/>
      <c r="J4039" s="91"/>
      <c r="L4039" s="94" t="str">
        <f t="shared" si="2"/>
        <v>No infirmation</v>
      </c>
      <c r="M4039" s="94" t="str">
        <f t="shared" si="3"/>
        <v/>
      </c>
    </row>
    <row r="4040" ht="15.75" customHeight="1">
      <c r="B4040" s="77">
        <f t="shared" si="1"/>
        <v>0</v>
      </c>
      <c r="C4040" s="67"/>
      <c r="D4040" s="78"/>
      <c r="E4040" s="101"/>
      <c r="F4040" s="108"/>
      <c r="G4040" s="120"/>
      <c r="H4040" s="101"/>
      <c r="I4040" s="93"/>
      <c r="J4040" s="91"/>
      <c r="L4040" s="94" t="str">
        <f t="shared" si="2"/>
        <v>No infirmation</v>
      </c>
      <c r="M4040" s="94" t="str">
        <f t="shared" si="3"/>
        <v/>
      </c>
    </row>
    <row r="4041" ht="15.75" customHeight="1">
      <c r="B4041" s="77">
        <f t="shared" si="1"/>
        <v>0</v>
      </c>
      <c r="C4041" s="67"/>
      <c r="D4041" s="78"/>
      <c r="E4041" s="101"/>
      <c r="F4041" s="108"/>
      <c r="G4041" s="120"/>
      <c r="H4041" s="101"/>
      <c r="I4041" s="93"/>
      <c r="J4041" s="91"/>
      <c r="L4041" s="94" t="str">
        <f t="shared" si="2"/>
        <v>No infirmation</v>
      </c>
      <c r="M4041" s="94" t="str">
        <f t="shared" si="3"/>
        <v/>
      </c>
    </row>
    <row r="4042" ht="15.75" customHeight="1">
      <c r="B4042" s="77">
        <f t="shared" si="1"/>
        <v>0</v>
      </c>
      <c r="C4042" s="67"/>
      <c r="D4042" s="78"/>
      <c r="E4042" s="101"/>
      <c r="F4042" s="108"/>
      <c r="G4042" s="120"/>
      <c r="H4042" s="101"/>
      <c r="I4042" s="93"/>
      <c r="J4042" s="91"/>
      <c r="L4042" s="94" t="str">
        <f t="shared" si="2"/>
        <v>No infirmation</v>
      </c>
      <c r="M4042" s="94" t="str">
        <f t="shared" si="3"/>
        <v/>
      </c>
    </row>
    <row r="4043" ht="15.75" customHeight="1">
      <c r="B4043" s="77">
        <f t="shared" si="1"/>
        <v>0</v>
      </c>
      <c r="C4043" s="67"/>
      <c r="D4043" s="78"/>
      <c r="E4043" s="101"/>
      <c r="F4043" s="108"/>
      <c r="G4043" s="120"/>
      <c r="H4043" s="101"/>
      <c r="I4043" s="93"/>
      <c r="J4043" s="91"/>
      <c r="L4043" s="94" t="str">
        <f t="shared" si="2"/>
        <v>No infirmation</v>
      </c>
      <c r="M4043" s="94" t="str">
        <f t="shared" si="3"/>
        <v/>
      </c>
    </row>
    <row r="4044" ht="15.75" customHeight="1">
      <c r="B4044" s="77">
        <f t="shared" si="1"/>
        <v>0</v>
      </c>
      <c r="C4044" s="67"/>
      <c r="D4044" s="78"/>
      <c r="E4044" s="101"/>
      <c r="F4044" s="108"/>
      <c r="G4044" s="120"/>
      <c r="H4044" s="101"/>
      <c r="I4044" s="93"/>
      <c r="J4044" s="91"/>
      <c r="L4044" s="94" t="str">
        <f t="shared" si="2"/>
        <v>No infirmation</v>
      </c>
      <c r="M4044" s="94" t="str">
        <f t="shared" si="3"/>
        <v/>
      </c>
    </row>
    <row r="4045" ht="15.75" customHeight="1">
      <c r="B4045" s="77">
        <f t="shared" si="1"/>
        <v>0</v>
      </c>
      <c r="C4045" s="67"/>
      <c r="D4045" s="78"/>
      <c r="E4045" s="101"/>
      <c r="F4045" s="108"/>
      <c r="G4045" s="120"/>
      <c r="H4045" s="101"/>
      <c r="I4045" s="93"/>
      <c r="J4045" s="91"/>
      <c r="L4045" s="94" t="str">
        <f t="shared" si="2"/>
        <v>No infirmation</v>
      </c>
      <c r="M4045" s="94" t="str">
        <f t="shared" si="3"/>
        <v/>
      </c>
    </row>
    <row r="4046" ht="15.75" customHeight="1">
      <c r="B4046" s="77">
        <f t="shared" si="1"/>
        <v>0</v>
      </c>
      <c r="C4046" s="67"/>
      <c r="D4046" s="78"/>
      <c r="E4046" s="101"/>
      <c r="F4046" s="108"/>
      <c r="G4046" s="120"/>
      <c r="H4046" s="101"/>
      <c r="I4046" s="93"/>
      <c r="J4046" s="91"/>
      <c r="L4046" s="94" t="str">
        <f t="shared" si="2"/>
        <v>No infirmation</v>
      </c>
      <c r="M4046" s="94" t="str">
        <f t="shared" si="3"/>
        <v/>
      </c>
    </row>
    <row r="4047" ht="15.75" customHeight="1">
      <c r="B4047" s="77">
        <f t="shared" si="1"/>
        <v>0</v>
      </c>
      <c r="C4047" s="67"/>
      <c r="D4047" s="78"/>
      <c r="E4047" s="101"/>
      <c r="F4047" s="108"/>
      <c r="G4047" s="120"/>
      <c r="H4047" s="101"/>
      <c r="I4047" s="93"/>
      <c r="J4047" s="91"/>
      <c r="L4047" s="94" t="str">
        <f t="shared" si="2"/>
        <v>No infirmation</v>
      </c>
      <c r="M4047" s="94" t="str">
        <f t="shared" si="3"/>
        <v/>
      </c>
    </row>
    <row r="4048" ht="15.75" customHeight="1">
      <c r="B4048" s="77">
        <f t="shared" si="1"/>
        <v>0</v>
      </c>
      <c r="C4048" s="67"/>
      <c r="D4048" s="78"/>
      <c r="E4048" s="101"/>
      <c r="F4048" s="108"/>
      <c r="G4048" s="120"/>
      <c r="H4048" s="101"/>
      <c r="I4048" s="93"/>
      <c r="J4048" s="91"/>
      <c r="L4048" s="94" t="str">
        <f t="shared" si="2"/>
        <v>No infirmation</v>
      </c>
      <c r="M4048" s="94" t="str">
        <f t="shared" si="3"/>
        <v/>
      </c>
    </row>
    <row r="4049" ht="15.75" customHeight="1">
      <c r="B4049" s="77">
        <f t="shared" si="1"/>
        <v>0</v>
      </c>
      <c r="C4049" s="67"/>
      <c r="D4049" s="78"/>
      <c r="E4049" s="101"/>
      <c r="F4049" s="108"/>
      <c r="G4049" s="120"/>
      <c r="H4049" s="101"/>
      <c r="I4049" s="93"/>
      <c r="J4049" s="91"/>
      <c r="L4049" s="94" t="str">
        <f t="shared" si="2"/>
        <v>No infirmation</v>
      </c>
      <c r="M4049" s="94" t="str">
        <f t="shared" si="3"/>
        <v/>
      </c>
    </row>
    <row r="4050" ht="15.75" customHeight="1">
      <c r="B4050" s="77">
        <f t="shared" si="1"/>
        <v>0</v>
      </c>
      <c r="C4050" s="67"/>
      <c r="D4050" s="78"/>
      <c r="E4050" s="101"/>
      <c r="F4050" s="108"/>
      <c r="G4050" s="120"/>
      <c r="H4050" s="101"/>
      <c r="I4050" s="93"/>
      <c r="J4050" s="91"/>
      <c r="L4050" s="94" t="str">
        <f t="shared" si="2"/>
        <v>No infirmation</v>
      </c>
      <c r="M4050" s="94" t="str">
        <f t="shared" si="3"/>
        <v/>
      </c>
    </row>
    <row r="4051" ht="15.75" customHeight="1">
      <c r="B4051" s="77">
        <f t="shared" si="1"/>
        <v>0</v>
      </c>
      <c r="C4051" s="67"/>
      <c r="D4051" s="78"/>
      <c r="E4051" s="101"/>
      <c r="F4051" s="108"/>
      <c r="G4051" s="120"/>
      <c r="H4051" s="101"/>
      <c r="I4051" s="93"/>
      <c r="J4051" s="91"/>
      <c r="L4051" s="94" t="str">
        <f t="shared" si="2"/>
        <v>No infirmation</v>
      </c>
      <c r="M4051" s="94" t="str">
        <f t="shared" si="3"/>
        <v/>
      </c>
    </row>
    <row r="4052" ht="15.75" customHeight="1">
      <c r="B4052" s="77">
        <f t="shared" si="1"/>
        <v>0</v>
      </c>
      <c r="C4052" s="67"/>
      <c r="D4052" s="78"/>
      <c r="E4052" s="101"/>
      <c r="F4052" s="108"/>
      <c r="G4052" s="120"/>
      <c r="H4052" s="101"/>
      <c r="I4052" s="93"/>
      <c r="J4052" s="91"/>
      <c r="L4052" s="94" t="str">
        <f t="shared" si="2"/>
        <v>No infirmation</v>
      </c>
      <c r="M4052" s="94" t="str">
        <f t="shared" si="3"/>
        <v/>
      </c>
    </row>
    <row r="4053" ht="15.75" customHeight="1">
      <c r="B4053" s="77">
        <f t="shared" si="1"/>
        <v>0</v>
      </c>
      <c r="C4053" s="67"/>
      <c r="D4053" s="78"/>
      <c r="E4053" s="101"/>
      <c r="F4053" s="108"/>
      <c r="G4053" s="120"/>
      <c r="H4053" s="101"/>
      <c r="I4053" s="93"/>
      <c r="J4053" s="91"/>
      <c r="L4053" s="94" t="str">
        <f t="shared" si="2"/>
        <v>No infirmation</v>
      </c>
      <c r="M4053" s="94" t="str">
        <f t="shared" si="3"/>
        <v/>
      </c>
    </row>
    <row r="4054" ht="15.75" customHeight="1">
      <c r="B4054" s="77">
        <f t="shared" si="1"/>
        <v>0</v>
      </c>
      <c r="C4054" s="67"/>
      <c r="D4054" s="78"/>
      <c r="E4054" s="101"/>
      <c r="F4054" s="108"/>
      <c r="G4054" s="120"/>
      <c r="H4054" s="101"/>
      <c r="I4054" s="93"/>
      <c r="J4054" s="91"/>
      <c r="L4054" s="94" t="str">
        <f t="shared" si="2"/>
        <v>No infirmation</v>
      </c>
      <c r="M4054" s="94" t="str">
        <f t="shared" si="3"/>
        <v/>
      </c>
    </row>
    <row r="4055" ht="15.75" customHeight="1">
      <c r="B4055" s="77">
        <f t="shared" si="1"/>
        <v>0</v>
      </c>
      <c r="C4055" s="67"/>
      <c r="D4055" s="78"/>
      <c r="E4055" s="101"/>
      <c r="F4055" s="108"/>
      <c r="G4055" s="120"/>
      <c r="H4055" s="101"/>
      <c r="I4055" s="93"/>
      <c r="J4055" s="91"/>
      <c r="L4055" s="94" t="str">
        <f t="shared" si="2"/>
        <v>No infirmation</v>
      </c>
      <c r="M4055" s="94" t="str">
        <f t="shared" si="3"/>
        <v/>
      </c>
    </row>
    <row r="4056" ht="15.75" customHeight="1">
      <c r="B4056" s="77">
        <f t="shared" si="1"/>
        <v>0</v>
      </c>
      <c r="C4056" s="67"/>
      <c r="D4056" s="78"/>
      <c r="E4056" s="101"/>
      <c r="F4056" s="108"/>
      <c r="G4056" s="120"/>
      <c r="H4056" s="101"/>
      <c r="I4056" s="93"/>
      <c r="J4056" s="91"/>
      <c r="L4056" s="94" t="str">
        <f t="shared" si="2"/>
        <v>No infirmation</v>
      </c>
      <c r="M4056" s="94" t="str">
        <f t="shared" si="3"/>
        <v/>
      </c>
    </row>
    <row r="4057" ht="15.75" customHeight="1">
      <c r="B4057" s="77">
        <f t="shared" si="1"/>
        <v>0</v>
      </c>
      <c r="C4057" s="67"/>
      <c r="D4057" s="78"/>
      <c r="E4057" s="101"/>
      <c r="F4057" s="108"/>
      <c r="G4057" s="120"/>
      <c r="H4057" s="101"/>
      <c r="I4057" s="93"/>
      <c r="J4057" s="91"/>
      <c r="L4057" s="94" t="str">
        <f t="shared" si="2"/>
        <v>No infirmation</v>
      </c>
      <c r="M4057" s="94" t="str">
        <f t="shared" si="3"/>
        <v/>
      </c>
    </row>
    <row r="4058" ht="15.75" customHeight="1">
      <c r="B4058" s="77">
        <f t="shared" si="1"/>
        <v>0</v>
      </c>
      <c r="C4058" s="67"/>
      <c r="D4058" s="78"/>
      <c r="E4058" s="101"/>
      <c r="F4058" s="108"/>
      <c r="G4058" s="120"/>
      <c r="H4058" s="101"/>
      <c r="I4058" s="93"/>
      <c r="J4058" s="91"/>
      <c r="L4058" s="94" t="str">
        <f t="shared" si="2"/>
        <v>No infirmation</v>
      </c>
      <c r="M4058" s="94" t="str">
        <f t="shared" si="3"/>
        <v/>
      </c>
    </row>
    <row r="4059" ht="15.75" customHeight="1">
      <c r="B4059" s="77">
        <f t="shared" si="1"/>
        <v>0</v>
      </c>
      <c r="C4059" s="67"/>
      <c r="D4059" s="78"/>
      <c r="E4059" s="101"/>
      <c r="F4059" s="108"/>
      <c r="G4059" s="120"/>
      <c r="H4059" s="101"/>
      <c r="I4059" s="93"/>
      <c r="J4059" s="91"/>
      <c r="L4059" s="94" t="str">
        <f t="shared" si="2"/>
        <v>No infirmation</v>
      </c>
      <c r="M4059" s="94" t="str">
        <f t="shared" si="3"/>
        <v/>
      </c>
    </row>
    <row r="4060" ht="15.75" customHeight="1">
      <c r="B4060" s="77">
        <f t="shared" si="1"/>
        <v>0</v>
      </c>
      <c r="C4060" s="67"/>
      <c r="D4060" s="78"/>
      <c r="E4060" s="101"/>
      <c r="F4060" s="108"/>
      <c r="G4060" s="120"/>
      <c r="H4060" s="101"/>
      <c r="I4060" s="93"/>
      <c r="J4060" s="91"/>
      <c r="L4060" s="94" t="str">
        <f t="shared" si="2"/>
        <v>No infirmation</v>
      </c>
      <c r="M4060" s="94" t="str">
        <f t="shared" si="3"/>
        <v/>
      </c>
    </row>
    <row r="4061" ht="15.75" customHeight="1">
      <c r="B4061" s="77">
        <f t="shared" si="1"/>
        <v>0</v>
      </c>
      <c r="C4061" s="67"/>
      <c r="D4061" s="78"/>
      <c r="E4061" s="101"/>
      <c r="F4061" s="108"/>
      <c r="G4061" s="120"/>
      <c r="H4061" s="101"/>
      <c r="I4061" s="93"/>
      <c r="J4061" s="91"/>
      <c r="L4061" s="94" t="str">
        <f t="shared" si="2"/>
        <v>No infirmation</v>
      </c>
      <c r="M4061" s="94" t="str">
        <f t="shared" si="3"/>
        <v/>
      </c>
    </row>
    <row r="4062" ht="15.75" customHeight="1">
      <c r="B4062" s="77">
        <f t="shared" si="1"/>
        <v>0</v>
      </c>
      <c r="C4062" s="67"/>
      <c r="D4062" s="78"/>
      <c r="E4062" s="101"/>
      <c r="F4062" s="108"/>
      <c r="G4062" s="120"/>
      <c r="H4062" s="101"/>
      <c r="I4062" s="93"/>
      <c r="J4062" s="91"/>
      <c r="L4062" s="94" t="str">
        <f t="shared" si="2"/>
        <v>No infirmation</v>
      </c>
      <c r="M4062" s="94" t="str">
        <f t="shared" si="3"/>
        <v/>
      </c>
    </row>
    <row r="4063" ht="15.75" customHeight="1">
      <c r="B4063" s="77">
        <f t="shared" si="1"/>
        <v>0</v>
      </c>
      <c r="C4063" s="67"/>
      <c r="D4063" s="78"/>
      <c r="E4063" s="101"/>
      <c r="F4063" s="108"/>
      <c r="G4063" s="120"/>
      <c r="H4063" s="101"/>
      <c r="I4063" s="93"/>
      <c r="J4063" s="91"/>
      <c r="L4063" s="94" t="str">
        <f t="shared" si="2"/>
        <v>No infirmation</v>
      </c>
      <c r="M4063" s="94" t="str">
        <f t="shared" si="3"/>
        <v/>
      </c>
    </row>
    <row r="4064" ht="15.75" customHeight="1">
      <c r="B4064" s="77">
        <f t="shared" si="1"/>
        <v>0</v>
      </c>
      <c r="C4064" s="67"/>
      <c r="D4064" s="78"/>
      <c r="E4064" s="101"/>
      <c r="F4064" s="108"/>
      <c r="G4064" s="120"/>
      <c r="H4064" s="101"/>
      <c r="I4064" s="93"/>
      <c r="J4064" s="91"/>
      <c r="L4064" s="94" t="str">
        <f t="shared" si="2"/>
        <v>No infirmation</v>
      </c>
      <c r="M4064" s="94" t="str">
        <f t="shared" si="3"/>
        <v/>
      </c>
    </row>
    <row r="4065" ht="15.75" customHeight="1">
      <c r="B4065" s="77">
        <f t="shared" si="1"/>
        <v>0</v>
      </c>
      <c r="C4065" s="67"/>
      <c r="D4065" s="78"/>
      <c r="E4065" s="101"/>
      <c r="F4065" s="108"/>
      <c r="G4065" s="120"/>
      <c r="H4065" s="101"/>
      <c r="I4065" s="93"/>
      <c r="J4065" s="91"/>
      <c r="L4065" s="94" t="str">
        <f t="shared" si="2"/>
        <v>No infirmation</v>
      </c>
      <c r="M4065" s="94" t="str">
        <f t="shared" si="3"/>
        <v/>
      </c>
    </row>
    <row r="4066" ht="15.75" customHeight="1">
      <c r="B4066" s="77">
        <f t="shared" si="1"/>
        <v>0</v>
      </c>
      <c r="C4066" s="67"/>
      <c r="D4066" s="78"/>
      <c r="E4066" s="101"/>
      <c r="F4066" s="108"/>
      <c r="G4066" s="120"/>
      <c r="H4066" s="101"/>
      <c r="I4066" s="93"/>
      <c r="J4066" s="91"/>
      <c r="L4066" s="94" t="str">
        <f t="shared" si="2"/>
        <v>No infirmation</v>
      </c>
      <c r="M4066" s="94" t="str">
        <f t="shared" si="3"/>
        <v/>
      </c>
    </row>
    <row r="4067" ht="15.75" customHeight="1">
      <c r="B4067" s="77">
        <f t="shared" si="1"/>
        <v>0</v>
      </c>
      <c r="C4067" s="67"/>
      <c r="D4067" s="78"/>
      <c r="E4067" s="101"/>
      <c r="F4067" s="108"/>
      <c r="G4067" s="120"/>
      <c r="H4067" s="101"/>
      <c r="I4067" s="93"/>
      <c r="J4067" s="91"/>
      <c r="L4067" s="94" t="str">
        <f t="shared" si="2"/>
        <v>No infirmation</v>
      </c>
      <c r="M4067" s="94" t="str">
        <f t="shared" si="3"/>
        <v/>
      </c>
    </row>
    <row r="4068" ht="15.75" customHeight="1">
      <c r="B4068" s="77">
        <f t="shared" si="1"/>
        <v>0</v>
      </c>
      <c r="C4068" s="67"/>
      <c r="D4068" s="78"/>
      <c r="E4068" s="101"/>
      <c r="F4068" s="108"/>
      <c r="G4068" s="120"/>
      <c r="H4068" s="101"/>
      <c r="I4068" s="93"/>
      <c r="J4068" s="91"/>
      <c r="L4068" s="94" t="str">
        <f t="shared" si="2"/>
        <v>No infirmation</v>
      </c>
      <c r="M4068" s="94" t="str">
        <f t="shared" si="3"/>
        <v/>
      </c>
    </row>
    <row r="4069" ht="15.75" customHeight="1">
      <c r="B4069" s="77">
        <f t="shared" si="1"/>
        <v>0</v>
      </c>
      <c r="C4069" s="67"/>
      <c r="D4069" s="78"/>
      <c r="E4069" s="101"/>
      <c r="F4069" s="108"/>
      <c r="G4069" s="120"/>
      <c r="H4069" s="101"/>
      <c r="I4069" s="93"/>
      <c r="J4069" s="91"/>
      <c r="L4069" s="94" t="str">
        <f t="shared" si="2"/>
        <v>No infirmation</v>
      </c>
      <c r="M4069" s="94" t="str">
        <f t="shared" si="3"/>
        <v/>
      </c>
    </row>
    <row r="4070" ht="15.75" customHeight="1">
      <c r="B4070" s="77">
        <f t="shared" si="1"/>
        <v>0</v>
      </c>
      <c r="C4070" s="67"/>
      <c r="D4070" s="78"/>
      <c r="E4070" s="101"/>
      <c r="F4070" s="108"/>
      <c r="G4070" s="120"/>
      <c r="H4070" s="101"/>
      <c r="I4070" s="93"/>
      <c r="J4070" s="91"/>
      <c r="L4070" s="94" t="str">
        <f t="shared" si="2"/>
        <v>No infirmation</v>
      </c>
      <c r="M4070" s="94" t="str">
        <f t="shared" si="3"/>
        <v/>
      </c>
    </row>
    <row r="4071" ht="15.75" customHeight="1">
      <c r="B4071" s="77">
        <f t="shared" si="1"/>
        <v>0</v>
      </c>
      <c r="C4071" s="67"/>
      <c r="D4071" s="78"/>
      <c r="E4071" s="101"/>
      <c r="F4071" s="108"/>
      <c r="G4071" s="120"/>
      <c r="H4071" s="101"/>
      <c r="I4071" s="93"/>
      <c r="J4071" s="91"/>
      <c r="L4071" s="94" t="str">
        <f t="shared" si="2"/>
        <v>No infirmation</v>
      </c>
      <c r="M4071" s="94" t="str">
        <f t="shared" si="3"/>
        <v/>
      </c>
    </row>
    <row r="4072" ht="15.75" customHeight="1">
      <c r="B4072" s="77">
        <f t="shared" si="1"/>
        <v>0</v>
      </c>
      <c r="C4072" s="67"/>
      <c r="D4072" s="78"/>
      <c r="E4072" s="101"/>
      <c r="F4072" s="108"/>
      <c r="G4072" s="120"/>
      <c r="H4072" s="101"/>
      <c r="I4072" s="93"/>
      <c r="J4072" s="91"/>
      <c r="L4072" s="94" t="str">
        <f t="shared" si="2"/>
        <v>No infirmation</v>
      </c>
      <c r="M4072" s="94" t="str">
        <f t="shared" si="3"/>
        <v/>
      </c>
    </row>
    <row r="4073" ht="15.75" customHeight="1">
      <c r="B4073" s="77">
        <f t="shared" si="1"/>
        <v>0</v>
      </c>
      <c r="C4073" s="67"/>
      <c r="D4073" s="78"/>
      <c r="E4073" s="101"/>
      <c r="F4073" s="108"/>
      <c r="G4073" s="120"/>
      <c r="H4073" s="101"/>
      <c r="I4073" s="93"/>
      <c r="J4073" s="91"/>
      <c r="L4073" s="94" t="str">
        <f t="shared" si="2"/>
        <v>No infirmation</v>
      </c>
      <c r="M4073" s="94" t="str">
        <f t="shared" si="3"/>
        <v/>
      </c>
    </row>
    <row r="4074" ht="15.75" customHeight="1">
      <c r="B4074" s="77">
        <f t="shared" si="1"/>
        <v>0</v>
      </c>
      <c r="C4074" s="67"/>
      <c r="D4074" s="78"/>
      <c r="E4074" s="101"/>
      <c r="F4074" s="108"/>
      <c r="G4074" s="120"/>
      <c r="H4074" s="101"/>
      <c r="I4074" s="93"/>
      <c r="J4074" s="91"/>
      <c r="L4074" s="94" t="str">
        <f t="shared" si="2"/>
        <v>No infirmation</v>
      </c>
      <c r="M4074" s="94" t="str">
        <f t="shared" si="3"/>
        <v/>
      </c>
    </row>
    <row r="4075" ht="15.75" customHeight="1">
      <c r="B4075" s="77">
        <f t="shared" si="1"/>
        <v>0</v>
      </c>
      <c r="C4075" s="67"/>
      <c r="D4075" s="78"/>
      <c r="E4075" s="101"/>
      <c r="F4075" s="108"/>
      <c r="G4075" s="120"/>
      <c r="H4075" s="101"/>
      <c r="I4075" s="93"/>
      <c r="J4075" s="91"/>
      <c r="L4075" s="94" t="str">
        <f t="shared" si="2"/>
        <v>No infirmation</v>
      </c>
      <c r="M4075" s="94" t="str">
        <f t="shared" si="3"/>
        <v/>
      </c>
    </row>
    <row r="4076" ht="15.75" customHeight="1">
      <c r="B4076" s="77">
        <f t="shared" si="1"/>
        <v>0</v>
      </c>
      <c r="C4076" s="67"/>
      <c r="D4076" s="78"/>
      <c r="E4076" s="101"/>
      <c r="F4076" s="108"/>
      <c r="G4076" s="120"/>
      <c r="H4076" s="101"/>
      <c r="I4076" s="93"/>
      <c r="J4076" s="91"/>
      <c r="L4076" s="94" t="str">
        <f t="shared" si="2"/>
        <v>No infirmation</v>
      </c>
      <c r="M4076" s="94" t="str">
        <f t="shared" si="3"/>
        <v/>
      </c>
    </row>
    <row r="4077" ht="15.75" customHeight="1">
      <c r="B4077" s="77">
        <f t="shared" si="1"/>
        <v>0</v>
      </c>
      <c r="C4077" s="67"/>
      <c r="D4077" s="78"/>
      <c r="E4077" s="101"/>
      <c r="F4077" s="108"/>
      <c r="G4077" s="120"/>
      <c r="H4077" s="101"/>
      <c r="I4077" s="93"/>
      <c r="J4077" s="91"/>
      <c r="L4077" s="94" t="str">
        <f t="shared" si="2"/>
        <v>No infirmation</v>
      </c>
      <c r="M4077" s="94" t="str">
        <f t="shared" si="3"/>
        <v/>
      </c>
    </row>
    <row r="4078" ht="15.75" customHeight="1">
      <c r="B4078" s="77">
        <f t="shared" si="1"/>
        <v>0</v>
      </c>
      <c r="C4078" s="67"/>
      <c r="D4078" s="78"/>
      <c r="E4078" s="101"/>
      <c r="F4078" s="108"/>
      <c r="G4078" s="120"/>
      <c r="H4078" s="101"/>
      <c r="I4078" s="93"/>
      <c r="J4078" s="91"/>
      <c r="L4078" s="94" t="str">
        <f t="shared" si="2"/>
        <v>No infirmation</v>
      </c>
      <c r="M4078" s="94" t="str">
        <f t="shared" si="3"/>
        <v/>
      </c>
    </row>
    <row r="4079" ht="15.75" customHeight="1">
      <c r="B4079" s="77">
        <f t="shared" si="1"/>
        <v>0</v>
      </c>
      <c r="C4079" s="67"/>
      <c r="D4079" s="78"/>
      <c r="E4079" s="101"/>
      <c r="F4079" s="108"/>
      <c r="G4079" s="120"/>
      <c r="H4079" s="101"/>
      <c r="I4079" s="93"/>
      <c r="J4079" s="91"/>
      <c r="L4079" s="94" t="str">
        <f t="shared" si="2"/>
        <v>No infirmation</v>
      </c>
      <c r="M4079" s="94" t="str">
        <f t="shared" si="3"/>
        <v/>
      </c>
    </row>
    <row r="4080" ht="15.75" customHeight="1">
      <c r="B4080" s="77">
        <f t="shared" si="1"/>
        <v>0</v>
      </c>
      <c r="C4080" s="67"/>
      <c r="D4080" s="78"/>
      <c r="E4080" s="101"/>
      <c r="F4080" s="108"/>
      <c r="G4080" s="120"/>
      <c r="H4080" s="101"/>
      <c r="I4080" s="93"/>
      <c r="J4080" s="91"/>
      <c r="L4080" s="94" t="str">
        <f t="shared" si="2"/>
        <v>No infirmation</v>
      </c>
      <c r="M4080" s="94" t="str">
        <f t="shared" si="3"/>
        <v/>
      </c>
    </row>
    <row r="4081" ht="15.75" customHeight="1">
      <c r="B4081" s="77">
        <f t="shared" si="1"/>
        <v>0</v>
      </c>
      <c r="C4081" s="67"/>
      <c r="D4081" s="78"/>
      <c r="E4081" s="101"/>
      <c r="F4081" s="108"/>
      <c r="G4081" s="120"/>
      <c r="H4081" s="101"/>
      <c r="I4081" s="93"/>
      <c r="J4081" s="91"/>
      <c r="L4081" s="94" t="str">
        <f t="shared" si="2"/>
        <v>No infirmation</v>
      </c>
      <c r="M4081" s="94" t="str">
        <f t="shared" si="3"/>
        <v/>
      </c>
    </row>
    <row r="4082" ht="15.75" customHeight="1">
      <c r="B4082" s="77">
        <f t="shared" si="1"/>
        <v>0</v>
      </c>
      <c r="C4082" s="67"/>
      <c r="D4082" s="78"/>
      <c r="E4082" s="101"/>
      <c r="F4082" s="108"/>
      <c r="G4082" s="120"/>
      <c r="H4082" s="101"/>
      <c r="I4082" s="93"/>
      <c r="J4082" s="91"/>
      <c r="L4082" s="94" t="str">
        <f t="shared" si="2"/>
        <v>No infirmation</v>
      </c>
      <c r="M4082" s="94" t="str">
        <f t="shared" si="3"/>
        <v/>
      </c>
    </row>
    <row r="4083" ht="15.75" customHeight="1">
      <c r="B4083" s="77">
        <f t="shared" si="1"/>
        <v>0</v>
      </c>
      <c r="C4083" s="67"/>
      <c r="D4083" s="78"/>
      <c r="E4083" s="101"/>
      <c r="F4083" s="108"/>
      <c r="G4083" s="120"/>
      <c r="H4083" s="101"/>
      <c r="I4083" s="93"/>
      <c r="J4083" s="91"/>
      <c r="L4083" s="94" t="str">
        <f t="shared" si="2"/>
        <v>No infirmation</v>
      </c>
      <c r="M4083" s="94" t="str">
        <f t="shared" si="3"/>
        <v/>
      </c>
    </row>
    <row r="4084" ht="15.75" customHeight="1">
      <c r="B4084" s="77">
        <f t="shared" si="1"/>
        <v>0</v>
      </c>
      <c r="C4084" s="67"/>
      <c r="D4084" s="78"/>
      <c r="E4084" s="101"/>
      <c r="F4084" s="108"/>
      <c r="G4084" s="120"/>
      <c r="H4084" s="101"/>
      <c r="I4084" s="93"/>
      <c r="J4084" s="91"/>
      <c r="L4084" s="94" t="str">
        <f t="shared" si="2"/>
        <v>No infirmation</v>
      </c>
      <c r="M4084" s="94" t="str">
        <f t="shared" si="3"/>
        <v/>
      </c>
    </row>
    <row r="4085" ht="15.75" customHeight="1">
      <c r="B4085" s="77">
        <f t="shared" si="1"/>
        <v>0</v>
      </c>
      <c r="C4085" s="67"/>
      <c r="D4085" s="78"/>
      <c r="E4085" s="101"/>
      <c r="F4085" s="108"/>
      <c r="G4085" s="120"/>
      <c r="H4085" s="101"/>
      <c r="I4085" s="93"/>
      <c r="J4085" s="91"/>
      <c r="L4085" s="94" t="str">
        <f t="shared" si="2"/>
        <v>No infirmation</v>
      </c>
      <c r="M4085" s="94" t="str">
        <f t="shared" si="3"/>
        <v/>
      </c>
    </row>
    <row r="4086" ht="15.75" customHeight="1">
      <c r="B4086" s="77">
        <f t="shared" si="1"/>
        <v>0</v>
      </c>
      <c r="C4086" s="67"/>
      <c r="D4086" s="78"/>
      <c r="E4086" s="101"/>
      <c r="F4086" s="108"/>
      <c r="G4086" s="120"/>
      <c r="H4086" s="101"/>
      <c r="I4086" s="93"/>
      <c r="J4086" s="91"/>
      <c r="L4086" s="94" t="str">
        <f t="shared" si="2"/>
        <v>No infirmation</v>
      </c>
      <c r="M4086" s="94" t="str">
        <f t="shared" si="3"/>
        <v/>
      </c>
    </row>
    <row r="4087" ht="15.75" customHeight="1">
      <c r="B4087" s="77">
        <f t="shared" si="1"/>
        <v>0</v>
      </c>
      <c r="C4087" s="67"/>
      <c r="D4087" s="78"/>
      <c r="E4087" s="101"/>
      <c r="F4087" s="108"/>
      <c r="G4087" s="120"/>
      <c r="H4087" s="101"/>
      <c r="I4087" s="93"/>
      <c r="J4087" s="91"/>
      <c r="L4087" s="94" t="str">
        <f t="shared" si="2"/>
        <v>No infirmation</v>
      </c>
      <c r="M4087" s="94" t="str">
        <f t="shared" si="3"/>
        <v/>
      </c>
    </row>
    <row r="4088" ht="15.75" customHeight="1">
      <c r="B4088" s="77">
        <f t="shared" si="1"/>
        <v>0</v>
      </c>
      <c r="C4088" s="67"/>
      <c r="D4088" s="78"/>
      <c r="E4088" s="101"/>
      <c r="F4088" s="108"/>
      <c r="G4088" s="120"/>
      <c r="H4088" s="101"/>
      <c r="I4088" s="93"/>
      <c r="J4088" s="91"/>
      <c r="L4088" s="94" t="str">
        <f t="shared" si="2"/>
        <v>No infirmation</v>
      </c>
      <c r="M4088" s="94" t="str">
        <f t="shared" si="3"/>
        <v/>
      </c>
    </row>
    <row r="4089" ht="15.75" customHeight="1">
      <c r="B4089" s="77">
        <f t="shared" si="1"/>
        <v>0</v>
      </c>
      <c r="C4089" s="67"/>
      <c r="D4089" s="78"/>
      <c r="E4089" s="101"/>
      <c r="F4089" s="108"/>
      <c r="G4089" s="120"/>
      <c r="H4089" s="101"/>
      <c r="I4089" s="93"/>
      <c r="J4089" s="91"/>
      <c r="L4089" s="94" t="str">
        <f t="shared" si="2"/>
        <v>No infirmation</v>
      </c>
      <c r="M4089" s="94" t="str">
        <f t="shared" si="3"/>
        <v/>
      </c>
    </row>
    <row r="4090" ht="15.75" customHeight="1">
      <c r="B4090" s="77">
        <f t="shared" si="1"/>
        <v>0</v>
      </c>
      <c r="C4090" s="67"/>
      <c r="D4090" s="78"/>
      <c r="E4090" s="101"/>
      <c r="F4090" s="108"/>
      <c r="G4090" s="120"/>
      <c r="H4090" s="101"/>
      <c r="I4090" s="93"/>
      <c r="J4090" s="91"/>
      <c r="L4090" s="94" t="str">
        <f t="shared" si="2"/>
        <v>No infirmation</v>
      </c>
      <c r="M4090" s="94" t="str">
        <f t="shared" si="3"/>
        <v/>
      </c>
    </row>
    <row r="4091" ht="15.75" customHeight="1">
      <c r="B4091" s="77">
        <f t="shared" si="1"/>
        <v>0</v>
      </c>
      <c r="C4091" s="67"/>
      <c r="D4091" s="78"/>
      <c r="E4091" s="101"/>
      <c r="F4091" s="108"/>
      <c r="G4091" s="120"/>
      <c r="H4091" s="101"/>
      <c r="I4091" s="93"/>
      <c r="J4091" s="91"/>
      <c r="L4091" s="94" t="str">
        <f t="shared" si="2"/>
        <v>No infirmation</v>
      </c>
      <c r="M4091" s="94" t="str">
        <f t="shared" si="3"/>
        <v/>
      </c>
    </row>
    <row r="4092" ht="15.75" customHeight="1">
      <c r="B4092" s="77">
        <f t="shared" si="1"/>
        <v>0</v>
      </c>
      <c r="C4092" s="67"/>
      <c r="D4092" s="78"/>
      <c r="E4092" s="101"/>
      <c r="F4092" s="108"/>
      <c r="G4092" s="120"/>
      <c r="H4092" s="101"/>
      <c r="I4092" s="93"/>
      <c r="J4092" s="91"/>
      <c r="L4092" s="94" t="str">
        <f t="shared" si="2"/>
        <v>No infirmation</v>
      </c>
      <c r="M4092" s="94" t="str">
        <f t="shared" si="3"/>
        <v/>
      </c>
    </row>
    <row r="4093" ht="15.75" customHeight="1">
      <c r="B4093" s="77">
        <f t="shared" si="1"/>
        <v>0</v>
      </c>
      <c r="C4093" s="67"/>
      <c r="D4093" s="78"/>
      <c r="E4093" s="101"/>
      <c r="F4093" s="108"/>
      <c r="G4093" s="120"/>
      <c r="H4093" s="101"/>
      <c r="I4093" s="93"/>
      <c r="J4093" s="91"/>
      <c r="L4093" s="94" t="str">
        <f t="shared" si="2"/>
        <v>No infirmation</v>
      </c>
      <c r="M4093" s="94" t="str">
        <f t="shared" si="3"/>
        <v/>
      </c>
    </row>
    <row r="4094" ht="15.75" customHeight="1">
      <c r="B4094" s="77">
        <f t="shared" si="1"/>
        <v>0</v>
      </c>
      <c r="C4094" s="67"/>
      <c r="D4094" s="78"/>
      <c r="E4094" s="101"/>
      <c r="F4094" s="108"/>
      <c r="G4094" s="120"/>
      <c r="H4094" s="101"/>
      <c r="I4094" s="93"/>
      <c r="J4094" s="91"/>
      <c r="L4094" s="94" t="str">
        <f t="shared" si="2"/>
        <v>No infirmation</v>
      </c>
      <c r="M4094" s="94" t="str">
        <f t="shared" si="3"/>
        <v/>
      </c>
    </row>
    <row r="4095" ht="15.75" customHeight="1">
      <c r="B4095" s="77">
        <f t="shared" si="1"/>
        <v>0</v>
      </c>
      <c r="C4095" s="67"/>
      <c r="D4095" s="78"/>
      <c r="E4095" s="101"/>
      <c r="F4095" s="108"/>
      <c r="G4095" s="120"/>
      <c r="H4095" s="101"/>
      <c r="I4095" s="93"/>
      <c r="J4095" s="91"/>
      <c r="L4095" s="94" t="str">
        <f t="shared" si="2"/>
        <v>No infirmation</v>
      </c>
      <c r="M4095" s="94" t="str">
        <f t="shared" si="3"/>
        <v/>
      </c>
    </row>
    <row r="4096" ht="15.75" customHeight="1">
      <c r="B4096" s="77">
        <f t="shared" si="1"/>
        <v>0</v>
      </c>
      <c r="C4096" s="67"/>
      <c r="D4096" s="78"/>
      <c r="E4096" s="101"/>
      <c r="F4096" s="108"/>
      <c r="G4096" s="120"/>
      <c r="H4096" s="101"/>
      <c r="I4096" s="93"/>
      <c r="J4096" s="91"/>
      <c r="L4096" s="94" t="str">
        <f t="shared" si="2"/>
        <v>No infirmation</v>
      </c>
      <c r="M4096" s="94" t="str">
        <f t="shared" si="3"/>
        <v/>
      </c>
    </row>
    <row r="4097" ht="15.75" customHeight="1">
      <c r="B4097" s="77">
        <f t="shared" si="1"/>
        <v>0</v>
      </c>
      <c r="C4097" s="67"/>
      <c r="D4097" s="78"/>
      <c r="E4097" s="101"/>
      <c r="F4097" s="108"/>
      <c r="G4097" s="120"/>
      <c r="H4097" s="101"/>
      <c r="I4097" s="93"/>
      <c r="J4097" s="91"/>
      <c r="L4097" s="94" t="str">
        <f t="shared" si="2"/>
        <v>No infirmation</v>
      </c>
      <c r="M4097" s="94" t="str">
        <f t="shared" si="3"/>
        <v/>
      </c>
    </row>
    <row r="4098" ht="15.75" customHeight="1">
      <c r="B4098" s="77">
        <f t="shared" si="1"/>
        <v>0</v>
      </c>
      <c r="C4098" s="67"/>
      <c r="D4098" s="78"/>
      <c r="E4098" s="101"/>
      <c r="F4098" s="108"/>
      <c r="G4098" s="120"/>
      <c r="H4098" s="101"/>
      <c r="I4098" s="93"/>
      <c r="J4098" s="91"/>
      <c r="L4098" s="94" t="str">
        <f t="shared" si="2"/>
        <v>No infirmation</v>
      </c>
      <c r="M4098" s="94" t="str">
        <f t="shared" si="3"/>
        <v/>
      </c>
    </row>
    <row r="4099" ht="15.75" customHeight="1">
      <c r="B4099" s="77">
        <f t="shared" si="1"/>
        <v>0</v>
      </c>
      <c r="C4099" s="67"/>
      <c r="D4099" s="78"/>
      <c r="E4099" s="101"/>
      <c r="F4099" s="108"/>
      <c r="G4099" s="120"/>
      <c r="H4099" s="101"/>
      <c r="I4099" s="93"/>
      <c r="J4099" s="91"/>
      <c r="L4099" s="94" t="str">
        <f t="shared" si="2"/>
        <v>No infirmation</v>
      </c>
      <c r="M4099" s="94" t="str">
        <f t="shared" si="3"/>
        <v/>
      </c>
    </row>
    <row r="4100" ht="15.75" customHeight="1">
      <c r="B4100" s="77">
        <f t="shared" si="1"/>
        <v>0</v>
      </c>
      <c r="C4100" s="67"/>
      <c r="D4100" s="78"/>
      <c r="E4100" s="101"/>
      <c r="F4100" s="108"/>
      <c r="G4100" s="120"/>
      <c r="H4100" s="101"/>
      <c r="I4100" s="93"/>
      <c r="J4100" s="91"/>
      <c r="L4100" s="94" t="str">
        <f t="shared" si="2"/>
        <v>No infirmation</v>
      </c>
      <c r="M4100" s="94" t="str">
        <f t="shared" si="3"/>
        <v/>
      </c>
    </row>
    <row r="4101" ht="15.75" customHeight="1">
      <c r="B4101" s="77">
        <f t="shared" si="1"/>
        <v>0</v>
      </c>
      <c r="C4101" s="67"/>
      <c r="D4101" s="78"/>
      <c r="E4101" s="101"/>
      <c r="F4101" s="108"/>
      <c r="G4101" s="120"/>
      <c r="H4101" s="101"/>
      <c r="I4101" s="93"/>
      <c r="J4101" s="91"/>
      <c r="L4101" s="94" t="str">
        <f t="shared" si="2"/>
        <v>No infirmation</v>
      </c>
      <c r="M4101" s="94" t="str">
        <f t="shared" si="3"/>
        <v/>
      </c>
    </row>
    <row r="4102" ht="15.75" customHeight="1">
      <c r="B4102" s="77">
        <f t="shared" si="1"/>
        <v>0</v>
      </c>
      <c r="C4102" s="67"/>
      <c r="D4102" s="78"/>
      <c r="E4102" s="101"/>
      <c r="F4102" s="108"/>
      <c r="G4102" s="120"/>
      <c r="H4102" s="101"/>
      <c r="I4102" s="93"/>
      <c r="J4102" s="91"/>
      <c r="L4102" s="94" t="str">
        <f t="shared" si="2"/>
        <v>No infirmation</v>
      </c>
      <c r="M4102" s="94" t="str">
        <f t="shared" si="3"/>
        <v/>
      </c>
    </row>
    <row r="4103" ht="15.75" customHeight="1">
      <c r="B4103" s="77">
        <f t="shared" si="1"/>
        <v>0</v>
      </c>
      <c r="C4103" s="67"/>
      <c r="D4103" s="78"/>
      <c r="E4103" s="101"/>
      <c r="F4103" s="108"/>
      <c r="G4103" s="120"/>
      <c r="H4103" s="101"/>
      <c r="I4103" s="93"/>
      <c r="J4103" s="91"/>
      <c r="L4103" s="94" t="str">
        <f t="shared" si="2"/>
        <v>No infirmation</v>
      </c>
      <c r="M4103" s="94" t="str">
        <f t="shared" si="3"/>
        <v/>
      </c>
    </row>
    <row r="4104" ht="15.75" customHeight="1">
      <c r="B4104" s="77">
        <f t="shared" si="1"/>
        <v>0</v>
      </c>
      <c r="C4104" s="67"/>
      <c r="D4104" s="78"/>
      <c r="E4104" s="101"/>
      <c r="F4104" s="108"/>
      <c r="G4104" s="120"/>
      <c r="H4104" s="101"/>
      <c r="I4104" s="93"/>
      <c r="J4104" s="91"/>
      <c r="L4104" s="94" t="str">
        <f t="shared" si="2"/>
        <v>No infirmation</v>
      </c>
      <c r="M4104" s="94" t="str">
        <f t="shared" si="3"/>
        <v/>
      </c>
    </row>
    <row r="4105" ht="15.75" customHeight="1">
      <c r="B4105" s="77">
        <f t="shared" si="1"/>
        <v>0</v>
      </c>
      <c r="C4105" s="67"/>
      <c r="D4105" s="78"/>
      <c r="E4105" s="101"/>
      <c r="F4105" s="108"/>
      <c r="G4105" s="120"/>
      <c r="H4105" s="101"/>
      <c r="I4105" s="93"/>
      <c r="J4105" s="91"/>
      <c r="L4105" s="94" t="str">
        <f t="shared" si="2"/>
        <v>No infirmation</v>
      </c>
      <c r="M4105" s="94" t="str">
        <f t="shared" si="3"/>
        <v/>
      </c>
    </row>
    <row r="4106" ht="15.75" customHeight="1">
      <c r="B4106" s="77">
        <f t="shared" si="1"/>
        <v>0</v>
      </c>
      <c r="C4106" s="67"/>
      <c r="D4106" s="78"/>
      <c r="E4106" s="101"/>
      <c r="F4106" s="108"/>
      <c r="G4106" s="120"/>
      <c r="H4106" s="101"/>
      <c r="I4106" s="93"/>
      <c r="J4106" s="91"/>
      <c r="L4106" s="94" t="str">
        <f t="shared" si="2"/>
        <v>No infirmation</v>
      </c>
      <c r="M4106" s="94" t="str">
        <f t="shared" si="3"/>
        <v/>
      </c>
    </row>
    <row r="4107" ht="15.75" customHeight="1">
      <c r="B4107" s="77">
        <f t="shared" si="1"/>
        <v>0</v>
      </c>
      <c r="C4107" s="67"/>
      <c r="D4107" s="78"/>
      <c r="E4107" s="101"/>
      <c r="F4107" s="108"/>
      <c r="G4107" s="120"/>
      <c r="H4107" s="101"/>
      <c r="I4107" s="93"/>
      <c r="J4107" s="91"/>
      <c r="L4107" s="94" t="str">
        <f t="shared" si="2"/>
        <v>No infirmation</v>
      </c>
      <c r="M4107" s="94" t="str">
        <f t="shared" si="3"/>
        <v/>
      </c>
    </row>
    <row r="4108" ht="15.75" customHeight="1">
      <c r="B4108" s="77">
        <f t="shared" si="1"/>
        <v>0</v>
      </c>
      <c r="C4108" s="67"/>
      <c r="D4108" s="78"/>
      <c r="E4108" s="101"/>
      <c r="F4108" s="108"/>
      <c r="G4108" s="120"/>
      <c r="H4108" s="101"/>
      <c r="I4108" s="93"/>
      <c r="J4108" s="91"/>
      <c r="L4108" s="94" t="str">
        <f t="shared" si="2"/>
        <v>No infirmation</v>
      </c>
      <c r="M4108" s="94" t="str">
        <f t="shared" si="3"/>
        <v/>
      </c>
    </row>
    <row r="4109" ht="15.75" customHeight="1">
      <c r="B4109" s="77">
        <f t="shared" si="1"/>
        <v>0</v>
      </c>
      <c r="C4109" s="67"/>
      <c r="D4109" s="78"/>
      <c r="E4109" s="101"/>
      <c r="F4109" s="108"/>
      <c r="G4109" s="120"/>
      <c r="H4109" s="101"/>
      <c r="I4109" s="93"/>
      <c r="J4109" s="91"/>
      <c r="L4109" s="94" t="str">
        <f t="shared" si="2"/>
        <v>No infirmation</v>
      </c>
      <c r="M4109" s="94" t="str">
        <f t="shared" si="3"/>
        <v/>
      </c>
    </row>
    <row r="4110" ht="15.75" customHeight="1">
      <c r="B4110" s="77">
        <f t="shared" si="1"/>
        <v>0</v>
      </c>
      <c r="C4110" s="67"/>
      <c r="D4110" s="78"/>
      <c r="E4110" s="101"/>
      <c r="F4110" s="108"/>
      <c r="G4110" s="120"/>
      <c r="H4110" s="101"/>
      <c r="I4110" s="93"/>
      <c r="J4110" s="91"/>
      <c r="L4110" s="94" t="str">
        <f t="shared" si="2"/>
        <v>No infirmation</v>
      </c>
      <c r="M4110" s="94" t="str">
        <f t="shared" si="3"/>
        <v/>
      </c>
    </row>
    <row r="4111" ht="15.75" customHeight="1">
      <c r="B4111" s="77">
        <f t="shared" si="1"/>
        <v>0</v>
      </c>
      <c r="C4111" s="67"/>
      <c r="D4111" s="78"/>
      <c r="E4111" s="101"/>
      <c r="F4111" s="108"/>
      <c r="G4111" s="120"/>
      <c r="H4111" s="101"/>
      <c r="I4111" s="93"/>
      <c r="J4111" s="91"/>
      <c r="L4111" s="94" t="str">
        <f t="shared" si="2"/>
        <v>No infirmation</v>
      </c>
      <c r="M4111" s="94" t="str">
        <f t="shared" si="3"/>
        <v/>
      </c>
    </row>
    <row r="4112" ht="15.75" customHeight="1">
      <c r="B4112" s="77">
        <f t="shared" si="1"/>
        <v>0</v>
      </c>
      <c r="C4112" s="67"/>
      <c r="D4112" s="78"/>
      <c r="E4112" s="101"/>
      <c r="F4112" s="108"/>
      <c r="G4112" s="120"/>
      <c r="H4112" s="101"/>
      <c r="I4112" s="93"/>
      <c r="J4112" s="91"/>
      <c r="L4112" s="94" t="str">
        <f t="shared" si="2"/>
        <v>No infirmation</v>
      </c>
      <c r="M4112" s="94" t="str">
        <f t="shared" si="3"/>
        <v/>
      </c>
    </row>
    <row r="4113" ht="15.75" customHeight="1">
      <c r="B4113" s="77">
        <f t="shared" si="1"/>
        <v>0</v>
      </c>
      <c r="C4113" s="67"/>
      <c r="D4113" s="78"/>
      <c r="E4113" s="101"/>
      <c r="F4113" s="108"/>
      <c r="G4113" s="120"/>
      <c r="H4113" s="101"/>
      <c r="I4113" s="93"/>
      <c r="J4113" s="91"/>
      <c r="L4113" s="94" t="str">
        <f t="shared" si="2"/>
        <v>No infirmation</v>
      </c>
      <c r="M4113" s="94" t="str">
        <f t="shared" si="3"/>
        <v/>
      </c>
    </row>
    <row r="4114" ht="15.75" customHeight="1">
      <c r="B4114" s="77">
        <f t="shared" si="1"/>
        <v>0</v>
      </c>
      <c r="C4114" s="67"/>
      <c r="D4114" s="78"/>
      <c r="E4114" s="101"/>
      <c r="F4114" s="108"/>
      <c r="G4114" s="120"/>
      <c r="H4114" s="101"/>
      <c r="I4114" s="93"/>
      <c r="J4114" s="91"/>
      <c r="L4114" s="94" t="str">
        <f t="shared" si="2"/>
        <v>No infirmation</v>
      </c>
      <c r="M4114" s="94" t="str">
        <f t="shared" si="3"/>
        <v/>
      </c>
    </row>
    <row r="4115" ht="15.75" customHeight="1">
      <c r="B4115" s="77">
        <f t="shared" si="1"/>
        <v>0</v>
      </c>
      <c r="C4115" s="67"/>
      <c r="D4115" s="78"/>
      <c r="E4115" s="101"/>
      <c r="F4115" s="108"/>
      <c r="G4115" s="120"/>
      <c r="H4115" s="101"/>
      <c r="I4115" s="93"/>
      <c r="J4115" s="91"/>
      <c r="L4115" s="94" t="str">
        <f t="shared" si="2"/>
        <v>No infirmation</v>
      </c>
      <c r="M4115" s="94" t="str">
        <f t="shared" si="3"/>
        <v/>
      </c>
    </row>
    <row r="4116" ht="15.75" customHeight="1">
      <c r="B4116" s="77">
        <f t="shared" si="1"/>
        <v>0</v>
      </c>
      <c r="C4116" s="67"/>
      <c r="D4116" s="78"/>
      <c r="E4116" s="101"/>
      <c r="F4116" s="108"/>
      <c r="G4116" s="120"/>
      <c r="H4116" s="101"/>
      <c r="I4116" s="93"/>
      <c r="J4116" s="91"/>
      <c r="L4116" s="94" t="str">
        <f t="shared" si="2"/>
        <v>No infirmation</v>
      </c>
      <c r="M4116" s="94" t="str">
        <f t="shared" si="3"/>
        <v/>
      </c>
    </row>
    <row r="4117" ht="15.75" customHeight="1">
      <c r="B4117" s="77">
        <f t="shared" si="1"/>
        <v>0</v>
      </c>
      <c r="C4117" s="67"/>
      <c r="D4117" s="78"/>
      <c r="E4117" s="101"/>
      <c r="F4117" s="108"/>
      <c r="G4117" s="120"/>
      <c r="H4117" s="101"/>
      <c r="I4117" s="93"/>
      <c r="J4117" s="91"/>
      <c r="L4117" s="94" t="str">
        <f t="shared" si="2"/>
        <v>No infirmation</v>
      </c>
      <c r="M4117" s="94" t="str">
        <f t="shared" si="3"/>
        <v/>
      </c>
    </row>
    <row r="4118" ht="15.75" customHeight="1">
      <c r="B4118" s="77">
        <f t="shared" si="1"/>
        <v>0</v>
      </c>
      <c r="C4118" s="67"/>
      <c r="D4118" s="78"/>
      <c r="E4118" s="101"/>
      <c r="F4118" s="108"/>
      <c r="G4118" s="120"/>
      <c r="H4118" s="101"/>
      <c r="I4118" s="93"/>
      <c r="J4118" s="91"/>
      <c r="L4118" s="94" t="str">
        <f t="shared" si="2"/>
        <v>No infirmation</v>
      </c>
      <c r="M4118" s="94" t="str">
        <f t="shared" si="3"/>
        <v/>
      </c>
    </row>
    <row r="4119" ht="15.75" customHeight="1">
      <c r="B4119" s="77">
        <f t="shared" si="1"/>
        <v>0</v>
      </c>
      <c r="C4119" s="67"/>
      <c r="D4119" s="78"/>
      <c r="E4119" s="101"/>
      <c r="F4119" s="108"/>
      <c r="G4119" s="120"/>
      <c r="H4119" s="101"/>
      <c r="I4119" s="93"/>
      <c r="J4119" s="91"/>
      <c r="L4119" s="94" t="str">
        <f t="shared" si="2"/>
        <v>No infirmation</v>
      </c>
      <c r="M4119" s="94" t="str">
        <f t="shared" si="3"/>
        <v/>
      </c>
    </row>
    <row r="4120" ht="15.75" customHeight="1">
      <c r="B4120" s="77">
        <f t="shared" si="1"/>
        <v>0</v>
      </c>
      <c r="C4120" s="67"/>
      <c r="D4120" s="78"/>
      <c r="E4120" s="101"/>
      <c r="F4120" s="108"/>
      <c r="G4120" s="120"/>
      <c r="H4120" s="101"/>
      <c r="I4120" s="93"/>
      <c r="J4120" s="91"/>
      <c r="L4120" s="94" t="str">
        <f t="shared" si="2"/>
        <v>No infirmation</v>
      </c>
      <c r="M4120" s="94" t="str">
        <f t="shared" si="3"/>
        <v/>
      </c>
    </row>
    <row r="4121" ht="15.75" customHeight="1">
      <c r="B4121" s="77">
        <f t="shared" si="1"/>
        <v>0</v>
      </c>
      <c r="C4121" s="67"/>
      <c r="D4121" s="78"/>
      <c r="E4121" s="101"/>
      <c r="F4121" s="108"/>
      <c r="G4121" s="120"/>
      <c r="H4121" s="101"/>
      <c r="I4121" s="93"/>
      <c r="J4121" s="91"/>
      <c r="L4121" s="94" t="str">
        <f t="shared" si="2"/>
        <v>No infirmation</v>
      </c>
      <c r="M4121" s="94" t="str">
        <f t="shared" si="3"/>
        <v/>
      </c>
    </row>
    <row r="4122" ht="15.75" customHeight="1">
      <c r="B4122" s="77">
        <f t="shared" si="1"/>
        <v>0</v>
      </c>
      <c r="C4122" s="67"/>
      <c r="D4122" s="78"/>
      <c r="E4122" s="101"/>
      <c r="F4122" s="108"/>
      <c r="G4122" s="120"/>
      <c r="H4122" s="101"/>
      <c r="I4122" s="93"/>
      <c r="J4122" s="91"/>
      <c r="L4122" s="94" t="str">
        <f t="shared" si="2"/>
        <v>No infirmation</v>
      </c>
      <c r="M4122" s="94" t="str">
        <f t="shared" si="3"/>
        <v/>
      </c>
    </row>
    <row r="4123" ht="15.75" customHeight="1">
      <c r="B4123" s="77">
        <f t="shared" si="1"/>
        <v>0</v>
      </c>
      <c r="C4123" s="67"/>
      <c r="D4123" s="78"/>
      <c r="E4123" s="101"/>
      <c r="F4123" s="108"/>
      <c r="G4123" s="120"/>
      <c r="H4123" s="101"/>
      <c r="I4123" s="93"/>
      <c r="J4123" s="91"/>
      <c r="L4123" s="94" t="str">
        <f t="shared" si="2"/>
        <v>No infirmation</v>
      </c>
      <c r="M4123" s="94" t="str">
        <f t="shared" si="3"/>
        <v/>
      </c>
    </row>
    <row r="4124" ht="15.75" customHeight="1">
      <c r="B4124" s="77">
        <f t="shared" si="1"/>
        <v>0</v>
      </c>
      <c r="C4124" s="67"/>
      <c r="D4124" s="78"/>
      <c r="E4124" s="101"/>
      <c r="F4124" s="108"/>
      <c r="G4124" s="120"/>
      <c r="H4124" s="101"/>
      <c r="I4124" s="93"/>
      <c r="J4124" s="91"/>
      <c r="L4124" s="94" t="str">
        <f t="shared" si="2"/>
        <v>No infirmation</v>
      </c>
      <c r="M4124" s="94" t="str">
        <f t="shared" si="3"/>
        <v/>
      </c>
    </row>
    <row r="4125" ht="15.75" customHeight="1">
      <c r="B4125" s="77">
        <f t="shared" si="1"/>
        <v>0</v>
      </c>
      <c r="C4125" s="67"/>
      <c r="D4125" s="78"/>
      <c r="E4125" s="101"/>
      <c r="F4125" s="108"/>
      <c r="G4125" s="120"/>
      <c r="H4125" s="101"/>
      <c r="I4125" s="93"/>
      <c r="J4125" s="91"/>
      <c r="L4125" s="94" t="str">
        <f t="shared" si="2"/>
        <v>No infirmation</v>
      </c>
      <c r="M4125" s="94" t="str">
        <f t="shared" si="3"/>
        <v/>
      </c>
    </row>
    <row r="4126" ht="15.75" customHeight="1">
      <c r="B4126" s="77">
        <f t="shared" si="1"/>
        <v>0</v>
      </c>
      <c r="C4126" s="67"/>
      <c r="D4126" s="78"/>
      <c r="E4126" s="101"/>
      <c r="F4126" s="108"/>
      <c r="G4126" s="120"/>
      <c r="H4126" s="101"/>
      <c r="I4126" s="93"/>
      <c r="J4126" s="91"/>
      <c r="L4126" s="94" t="str">
        <f t="shared" si="2"/>
        <v>No infirmation</v>
      </c>
      <c r="M4126" s="94" t="str">
        <f t="shared" si="3"/>
        <v/>
      </c>
    </row>
    <row r="4127" ht="15.75" customHeight="1">
      <c r="B4127" s="77">
        <f t="shared" si="1"/>
        <v>0</v>
      </c>
      <c r="C4127" s="67"/>
      <c r="D4127" s="78"/>
      <c r="E4127" s="101"/>
      <c r="F4127" s="108"/>
      <c r="G4127" s="120"/>
      <c r="H4127" s="101"/>
      <c r="I4127" s="93"/>
      <c r="J4127" s="91"/>
      <c r="L4127" s="94" t="str">
        <f t="shared" si="2"/>
        <v>No infirmation</v>
      </c>
      <c r="M4127" s="94" t="str">
        <f t="shared" si="3"/>
        <v/>
      </c>
    </row>
    <row r="4128" ht="15.75" customHeight="1">
      <c r="B4128" s="77">
        <f t="shared" si="1"/>
        <v>0</v>
      </c>
      <c r="C4128" s="67"/>
      <c r="D4128" s="78"/>
      <c r="E4128" s="101"/>
      <c r="F4128" s="108"/>
      <c r="G4128" s="120"/>
      <c r="H4128" s="101"/>
      <c r="I4128" s="93"/>
      <c r="J4128" s="91"/>
      <c r="L4128" s="94" t="str">
        <f t="shared" si="2"/>
        <v>No infirmation</v>
      </c>
      <c r="M4128" s="94" t="str">
        <f t="shared" si="3"/>
        <v/>
      </c>
    </row>
    <row r="4129" ht="15.75" customHeight="1">
      <c r="B4129" s="77">
        <f t="shared" si="1"/>
        <v>0</v>
      </c>
      <c r="C4129" s="67"/>
      <c r="D4129" s="78"/>
      <c r="E4129" s="101"/>
      <c r="F4129" s="108"/>
      <c r="G4129" s="120"/>
      <c r="H4129" s="101"/>
      <c r="I4129" s="93"/>
      <c r="J4129" s="91"/>
      <c r="L4129" s="94" t="str">
        <f t="shared" si="2"/>
        <v>No infirmation</v>
      </c>
      <c r="M4129" s="94" t="str">
        <f t="shared" si="3"/>
        <v/>
      </c>
    </row>
    <row r="4130" ht="15.75" customHeight="1">
      <c r="B4130" s="77">
        <f t="shared" si="1"/>
        <v>0</v>
      </c>
      <c r="C4130" s="67"/>
      <c r="D4130" s="78"/>
      <c r="E4130" s="101"/>
      <c r="F4130" s="108"/>
      <c r="G4130" s="120"/>
      <c r="H4130" s="101"/>
      <c r="I4130" s="93"/>
      <c r="J4130" s="91"/>
      <c r="L4130" s="94" t="str">
        <f t="shared" si="2"/>
        <v>No infirmation</v>
      </c>
      <c r="M4130" s="94" t="str">
        <f t="shared" si="3"/>
        <v/>
      </c>
    </row>
    <row r="4131" ht="15.75" customHeight="1">
      <c r="B4131" s="77">
        <f t="shared" si="1"/>
        <v>0</v>
      </c>
      <c r="C4131" s="67"/>
      <c r="D4131" s="78"/>
      <c r="E4131" s="101"/>
      <c r="F4131" s="108"/>
      <c r="G4131" s="120"/>
      <c r="H4131" s="101"/>
      <c r="I4131" s="93"/>
      <c r="J4131" s="91"/>
      <c r="L4131" s="94" t="str">
        <f t="shared" si="2"/>
        <v>No infirmation</v>
      </c>
      <c r="M4131" s="94" t="str">
        <f t="shared" si="3"/>
        <v/>
      </c>
    </row>
    <row r="4132" ht="15.75" customHeight="1">
      <c r="B4132" s="77">
        <f t="shared" si="1"/>
        <v>0</v>
      </c>
      <c r="C4132" s="67"/>
      <c r="D4132" s="78"/>
      <c r="E4132" s="101"/>
      <c r="F4132" s="108"/>
      <c r="G4132" s="120"/>
      <c r="H4132" s="101"/>
      <c r="I4132" s="93"/>
      <c r="J4132" s="91"/>
      <c r="L4132" s="94" t="str">
        <f t="shared" si="2"/>
        <v>No infirmation</v>
      </c>
      <c r="M4132" s="94" t="str">
        <f t="shared" si="3"/>
        <v/>
      </c>
    </row>
    <row r="4133" ht="15.75" customHeight="1">
      <c r="B4133" s="77">
        <f t="shared" si="1"/>
        <v>0</v>
      </c>
      <c r="C4133" s="67"/>
      <c r="D4133" s="78"/>
      <c r="E4133" s="101"/>
      <c r="F4133" s="108"/>
      <c r="G4133" s="120"/>
      <c r="H4133" s="101"/>
      <c r="I4133" s="93"/>
      <c r="J4133" s="91"/>
      <c r="L4133" s="94" t="str">
        <f t="shared" si="2"/>
        <v>No infirmation</v>
      </c>
      <c r="M4133" s="94" t="str">
        <f t="shared" si="3"/>
        <v/>
      </c>
    </row>
    <row r="4134" ht="15.75" customHeight="1">
      <c r="B4134" s="77">
        <f t="shared" si="1"/>
        <v>0</v>
      </c>
      <c r="C4134" s="67"/>
      <c r="D4134" s="78"/>
      <c r="E4134" s="101"/>
      <c r="F4134" s="108"/>
      <c r="G4134" s="120"/>
      <c r="H4134" s="101"/>
      <c r="I4134" s="93"/>
      <c r="J4134" s="91"/>
      <c r="L4134" s="94" t="str">
        <f t="shared" si="2"/>
        <v>No infirmation</v>
      </c>
      <c r="M4134" s="94" t="str">
        <f t="shared" si="3"/>
        <v/>
      </c>
    </row>
    <row r="4135" ht="15.75" customHeight="1">
      <c r="B4135" s="77">
        <f t="shared" si="1"/>
        <v>0</v>
      </c>
      <c r="C4135" s="67"/>
      <c r="D4135" s="78"/>
      <c r="E4135" s="101"/>
      <c r="F4135" s="108"/>
      <c r="G4135" s="120"/>
      <c r="H4135" s="101"/>
      <c r="I4135" s="93"/>
      <c r="J4135" s="91"/>
      <c r="L4135" s="94" t="str">
        <f t="shared" si="2"/>
        <v>No infirmation</v>
      </c>
      <c r="M4135" s="94" t="str">
        <f t="shared" si="3"/>
        <v/>
      </c>
    </row>
    <row r="4136" ht="15.75" customHeight="1">
      <c r="B4136" s="77">
        <f t="shared" si="1"/>
        <v>0</v>
      </c>
      <c r="C4136" s="67"/>
      <c r="D4136" s="78"/>
      <c r="E4136" s="101"/>
      <c r="F4136" s="108"/>
      <c r="G4136" s="120"/>
      <c r="H4136" s="101"/>
      <c r="I4136" s="93"/>
      <c r="J4136" s="91"/>
      <c r="L4136" s="94" t="str">
        <f t="shared" si="2"/>
        <v>No infirmation</v>
      </c>
      <c r="M4136" s="94" t="str">
        <f t="shared" si="3"/>
        <v/>
      </c>
    </row>
    <row r="4137" ht="15.75" customHeight="1">
      <c r="B4137" s="77">
        <f t="shared" si="1"/>
        <v>0</v>
      </c>
      <c r="C4137" s="67"/>
      <c r="D4137" s="78"/>
      <c r="E4137" s="101"/>
      <c r="F4137" s="108"/>
      <c r="G4137" s="120"/>
      <c r="H4137" s="101"/>
      <c r="I4137" s="93"/>
      <c r="J4137" s="91"/>
      <c r="L4137" s="94" t="str">
        <f t="shared" si="2"/>
        <v>No infirmation</v>
      </c>
      <c r="M4137" s="94" t="str">
        <f t="shared" si="3"/>
        <v/>
      </c>
    </row>
    <row r="4138" ht="15.75" customHeight="1">
      <c r="B4138" s="77">
        <f t="shared" si="1"/>
        <v>0</v>
      </c>
      <c r="C4138" s="67"/>
      <c r="D4138" s="78"/>
      <c r="E4138" s="101"/>
      <c r="F4138" s="108"/>
      <c r="G4138" s="120"/>
      <c r="H4138" s="101"/>
      <c r="I4138" s="93"/>
      <c r="J4138" s="91"/>
      <c r="L4138" s="94" t="str">
        <f t="shared" si="2"/>
        <v>No infirmation</v>
      </c>
      <c r="M4138" s="94" t="str">
        <f t="shared" si="3"/>
        <v/>
      </c>
    </row>
    <row r="4139" ht="15.75" customHeight="1">
      <c r="B4139" s="77">
        <f t="shared" si="1"/>
        <v>0</v>
      </c>
      <c r="C4139" s="67"/>
      <c r="D4139" s="78"/>
      <c r="E4139" s="101"/>
      <c r="F4139" s="108"/>
      <c r="G4139" s="120"/>
      <c r="H4139" s="101"/>
      <c r="I4139" s="93"/>
      <c r="J4139" s="91"/>
      <c r="L4139" s="94" t="str">
        <f t="shared" si="2"/>
        <v>No infirmation</v>
      </c>
      <c r="M4139" s="94" t="str">
        <f t="shared" si="3"/>
        <v/>
      </c>
    </row>
    <row r="4140" ht="15.75" customHeight="1">
      <c r="B4140" s="77">
        <f t="shared" si="1"/>
        <v>0</v>
      </c>
      <c r="C4140" s="67"/>
      <c r="D4140" s="78"/>
      <c r="E4140" s="101"/>
      <c r="F4140" s="108"/>
      <c r="G4140" s="120"/>
      <c r="H4140" s="101"/>
      <c r="I4140" s="93"/>
      <c r="J4140" s="91"/>
      <c r="L4140" s="94" t="str">
        <f t="shared" si="2"/>
        <v>No infirmation</v>
      </c>
      <c r="M4140" s="94" t="str">
        <f t="shared" si="3"/>
        <v/>
      </c>
    </row>
    <row r="4141" ht="15.75" customHeight="1">
      <c r="B4141" s="77">
        <f t="shared" si="1"/>
        <v>0</v>
      </c>
      <c r="C4141" s="67"/>
      <c r="D4141" s="78"/>
      <c r="E4141" s="101"/>
      <c r="F4141" s="108"/>
      <c r="G4141" s="120"/>
      <c r="H4141" s="101"/>
      <c r="I4141" s="93"/>
      <c r="J4141" s="91"/>
      <c r="L4141" s="94" t="str">
        <f t="shared" si="2"/>
        <v>No infirmation</v>
      </c>
      <c r="M4141" s="94" t="str">
        <f t="shared" si="3"/>
        <v/>
      </c>
    </row>
    <row r="4142" ht="15.75" customHeight="1">
      <c r="B4142" s="77">
        <f t="shared" si="1"/>
        <v>0</v>
      </c>
      <c r="C4142" s="67"/>
      <c r="D4142" s="78"/>
      <c r="E4142" s="101"/>
      <c r="F4142" s="108"/>
      <c r="G4142" s="120"/>
      <c r="H4142" s="101"/>
      <c r="I4142" s="93"/>
      <c r="J4142" s="91"/>
      <c r="L4142" s="94" t="str">
        <f t="shared" si="2"/>
        <v>No infirmation</v>
      </c>
      <c r="M4142" s="94" t="str">
        <f t="shared" si="3"/>
        <v/>
      </c>
    </row>
    <row r="4143" ht="15.75" customHeight="1">
      <c r="B4143" s="77">
        <f t="shared" si="1"/>
        <v>0</v>
      </c>
      <c r="C4143" s="67"/>
      <c r="D4143" s="78"/>
      <c r="E4143" s="101"/>
      <c r="F4143" s="108"/>
      <c r="G4143" s="120"/>
      <c r="H4143" s="101"/>
      <c r="I4143" s="93"/>
      <c r="J4143" s="91"/>
      <c r="L4143" s="94" t="str">
        <f t="shared" si="2"/>
        <v>No infirmation</v>
      </c>
      <c r="M4143" s="94" t="str">
        <f t="shared" si="3"/>
        <v/>
      </c>
    </row>
    <row r="4144" ht="15.75" customHeight="1">
      <c r="B4144" s="77">
        <f t="shared" si="1"/>
        <v>0</v>
      </c>
      <c r="C4144" s="67"/>
      <c r="D4144" s="78"/>
      <c r="E4144" s="101"/>
      <c r="F4144" s="108"/>
      <c r="G4144" s="120"/>
      <c r="H4144" s="101"/>
      <c r="I4144" s="93"/>
      <c r="J4144" s="91"/>
      <c r="L4144" s="94" t="str">
        <f t="shared" si="2"/>
        <v>No infirmation</v>
      </c>
      <c r="M4144" s="94" t="str">
        <f t="shared" si="3"/>
        <v/>
      </c>
    </row>
    <row r="4145" ht="15.75" customHeight="1">
      <c r="B4145" s="77">
        <f t="shared" si="1"/>
        <v>0</v>
      </c>
      <c r="C4145" s="67"/>
      <c r="D4145" s="78"/>
      <c r="E4145" s="101"/>
      <c r="F4145" s="108"/>
      <c r="G4145" s="120"/>
      <c r="H4145" s="101"/>
      <c r="I4145" s="93"/>
      <c r="J4145" s="91"/>
      <c r="L4145" s="94" t="str">
        <f t="shared" si="2"/>
        <v>No infirmation</v>
      </c>
      <c r="M4145" s="94" t="str">
        <f t="shared" si="3"/>
        <v/>
      </c>
    </row>
    <row r="4146" ht="15.75" customHeight="1">
      <c r="B4146" s="77">
        <f t="shared" si="1"/>
        <v>0</v>
      </c>
      <c r="C4146" s="67"/>
      <c r="D4146" s="78"/>
      <c r="E4146" s="101"/>
      <c r="F4146" s="108"/>
      <c r="G4146" s="120"/>
      <c r="H4146" s="101"/>
      <c r="I4146" s="93"/>
      <c r="J4146" s="91"/>
      <c r="L4146" s="94" t="str">
        <f t="shared" si="2"/>
        <v>No infirmation</v>
      </c>
      <c r="M4146" s="94" t="str">
        <f t="shared" si="3"/>
        <v/>
      </c>
    </row>
    <row r="4147" ht="15.75" customHeight="1">
      <c r="B4147" s="77">
        <f t="shared" si="1"/>
        <v>0</v>
      </c>
      <c r="C4147" s="67"/>
      <c r="D4147" s="78"/>
      <c r="E4147" s="101"/>
      <c r="F4147" s="108"/>
      <c r="G4147" s="120"/>
      <c r="H4147" s="101"/>
      <c r="I4147" s="93"/>
      <c r="J4147" s="91"/>
      <c r="L4147" s="94" t="str">
        <f t="shared" si="2"/>
        <v>No infirmation</v>
      </c>
      <c r="M4147" s="94" t="str">
        <f t="shared" si="3"/>
        <v/>
      </c>
    </row>
    <row r="4148" ht="15.75" customHeight="1">
      <c r="B4148" s="77">
        <f t="shared" si="1"/>
        <v>0</v>
      </c>
      <c r="C4148" s="67"/>
      <c r="D4148" s="78"/>
      <c r="E4148" s="101"/>
      <c r="F4148" s="108"/>
      <c r="G4148" s="120"/>
      <c r="H4148" s="101"/>
      <c r="I4148" s="93"/>
      <c r="J4148" s="91"/>
      <c r="L4148" s="94" t="str">
        <f t="shared" si="2"/>
        <v>No infirmation</v>
      </c>
      <c r="M4148" s="94" t="str">
        <f t="shared" si="3"/>
        <v/>
      </c>
    </row>
    <row r="4149" ht="15.75" customHeight="1">
      <c r="B4149" s="77">
        <f t="shared" si="1"/>
        <v>0</v>
      </c>
      <c r="C4149" s="67"/>
      <c r="D4149" s="78"/>
      <c r="E4149" s="101"/>
      <c r="F4149" s="108"/>
      <c r="G4149" s="120"/>
      <c r="H4149" s="101"/>
      <c r="I4149" s="93"/>
      <c r="J4149" s="91"/>
      <c r="L4149" s="94" t="str">
        <f t="shared" si="2"/>
        <v>No infirmation</v>
      </c>
      <c r="M4149" s="94" t="str">
        <f t="shared" si="3"/>
        <v/>
      </c>
    </row>
    <row r="4150" ht="15.75" customHeight="1">
      <c r="B4150" s="77">
        <f t="shared" si="1"/>
        <v>0</v>
      </c>
      <c r="C4150" s="67"/>
      <c r="D4150" s="78"/>
      <c r="E4150" s="101"/>
      <c r="F4150" s="108"/>
      <c r="G4150" s="120"/>
      <c r="H4150" s="101"/>
      <c r="I4150" s="93"/>
      <c r="J4150" s="91"/>
      <c r="L4150" s="94" t="str">
        <f t="shared" si="2"/>
        <v>No infirmation</v>
      </c>
      <c r="M4150" s="94" t="str">
        <f t="shared" si="3"/>
        <v/>
      </c>
    </row>
    <row r="4151" ht="15.75" customHeight="1">
      <c r="B4151" s="77">
        <f t="shared" si="1"/>
        <v>0</v>
      </c>
      <c r="C4151" s="67"/>
      <c r="D4151" s="78"/>
      <c r="E4151" s="101"/>
      <c r="F4151" s="108"/>
      <c r="G4151" s="120"/>
      <c r="H4151" s="101"/>
      <c r="I4151" s="93"/>
      <c r="J4151" s="91"/>
      <c r="L4151" s="94" t="str">
        <f t="shared" si="2"/>
        <v>No infirmation</v>
      </c>
      <c r="M4151" s="94" t="str">
        <f t="shared" si="3"/>
        <v/>
      </c>
    </row>
    <row r="4152" ht="15.75" customHeight="1">
      <c r="B4152" s="77">
        <f t="shared" si="1"/>
        <v>0</v>
      </c>
      <c r="C4152" s="67"/>
      <c r="D4152" s="78"/>
      <c r="E4152" s="101"/>
      <c r="F4152" s="108"/>
      <c r="G4152" s="120"/>
      <c r="H4152" s="101"/>
      <c r="I4152" s="93"/>
      <c r="J4152" s="91"/>
      <c r="L4152" s="94" t="str">
        <f t="shared" si="2"/>
        <v>No infirmation</v>
      </c>
      <c r="M4152" s="94" t="str">
        <f t="shared" si="3"/>
        <v/>
      </c>
    </row>
    <row r="4153" ht="15.75" customHeight="1">
      <c r="B4153" s="77">
        <f t="shared" si="1"/>
        <v>0</v>
      </c>
      <c r="C4153" s="67"/>
      <c r="D4153" s="78"/>
      <c r="E4153" s="101"/>
      <c r="F4153" s="108"/>
      <c r="G4153" s="120"/>
      <c r="H4153" s="101"/>
      <c r="I4153" s="93"/>
      <c r="J4153" s="91"/>
      <c r="L4153" s="94" t="str">
        <f t="shared" si="2"/>
        <v>No infirmation</v>
      </c>
      <c r="M4153" s="94" t="str">
        <f t="shared" si="3"/>
        <v/>
      </c>
    </row>
    <row r="4154" ht="15.75" customHeight="1">
      <c r="B4154" s="77">
        <f t="shared" si="1"/>
        <v>0</v>
      </c>
      <c r="C4154" s="67"/>
      <c r="D4154" s="78"/>
      <c r="E4154" s="101"/>
      <c r="F4154" s="108"/>
      <c r="G4154" s="120"/>
      <c r="H4154" s="101"/>
      <c r="I4154" s="93"/>
      <c r="J4154" s="91"/>
      <c r="L4154" s="94" t="str">
        <f t="shared" si="2"/>
        <v>No infirmation</v>
      </c>
      <c r="M4154" s="94" t="str">
        <f t="shared" si="3"/>
        <v/>
      </c>
    </row>
    <row r="4155" ht="15.75" customHeight="1">
      <c r="B4155" s="77">
        <f t="shared" si="1"/>
        <v>0</v>
      </c>
      <c r="C4155" s="67"/>
      <c r="D4155" s="78"/>
      <c r="E4155" s="101"/>
      <c r="F4155" s="108"/>
      <c r="G4155" s="120"/>
      <c r="H4155" s="101"/>
      <c r="I4155" s="93"/>
      <c r="J4155" s="91"/>
      <c r="L4155" s="94" t="str">
        <f t="shared" si="2"/>
        <v>No infirmation</v>
      </c>
      <c r="M4155" s="94" t="str">
        <f t="shared" si="3"/>
        <v/>
      </c>
    </row>
    <row r="4156" ht="15.75" customHeight="1">
      <c r="B4156" s="77">
        <f t="shared" si="1"/>
        <v>0</v>
      </c>
      <c r="C4156" s="67"/>
      <c r="D4156" s="78"/>
      <c r="E4156" s="101"/>
      <c r="F4156" s="108"/>
      <c r="G4156" s="120"/>
      <c r="H4156" s="101"/>
      <c r="I4156" s="93"/>
      <c r="J4156" s="91"/>
      <c r="L4156" s="94" t="str">
        <f t="shared" si="2"/>
        <v>No infirmation</v>
      </c>
      <c r="M4156" s="94" t="str">
        <f t="shared" si="3"/>
        <v/>
      </c>
    </row>
    <row r="4157" ht="15.75" customHeight="1">
      <c r="B4157" s="77">
        <f t="shared" si="1"/>
        <v>0</v>
      </c>
      <c r="C4157" s="67"/>
      <c r="D4157" s="78"/>
      <c r="E4157" s="101"/>
      <c r="F4157" s="108"/>
      <c r="G4157" s="120"/>
      <c r="H4157" s="101"/>
      <c r="I4157" s="93"/>
      <c r="J4157" s="91"/>
      <c r="L4157" s="94" t="str">
        <f t="shared" si="2"/>
        <v>No infirmation</v>
      </c>
      <c r="M4157" s="94" t="str">
        <f t="shared" si="3"/>
        <v/>
      </c>
    </row>
    <row r="4158" ht="15.75" customHeight="1">
      <c r="B4158" s="77">
        <f t="shared" si="1"/>
        <v>0</v>
      </c>
      <c r="C4158" s="67"/>
      <c r="D4158" s="78"/>
      <c r="E4158" s="101"/>
      <c r="F4158" s="108"/>
      <c r="G4158" s="120"/>
      <c r="H4158" s="101"/>
      <c r="I4158" s="93"/>
      <c r="J4158" s="91"/>
      <c r="L4158" s="94" t="str">
        <f t="shared" si="2"/>
        <v>No infirmation</v>
      </c>
      <c r="M4158" s="94" t="str">
        <f t="shared" si="3"/>
        <v/>
      </c>
    </row>
    <row r="4159" ht="15.75" customHeight="1">
      <c r="B4159" s="77">
        <f t="shared" si="1"/>
        <v>0</v>
      </c>
      <c r="C4159" s="67"/>
      <c r="D4159" s="78"/>
      <c r="E4159" s="101"/>
      <c r="F4159" s="108"/>
      <c r="G4159" s="120"/>
      <c r="H4159" s="101"/>
      <c r="I4159" s="93"/>
      <c r="J4159" s="91"/>
      <c r="L4159" s="94" t="str">
        <f t="shared" si="2"/>
        <v>No infirmation</v>
      </c>
      <c r="M4159" s="94" t="str">
        <f t="shared" si="3"/>
        <v/>
      </c>
    </row>
    <row r="4160" ht="15.75" customHeight="1">
      <c r="B4160" s="77">
        <f t="shared" si="1"/>
        <v>0</v>
      </c>
      <c r="C4160" s="67"/>
      <c r="D4160" s="78"/>
      <c r="E4160" s="101"/>
      <c r="F4160" s="108"/>
      <c r="G4160" s="120"/>
      <c r="H4160" s="101"/>
      <c r="I4160" s="93"/>
      <c r="J4160" s="91"/>
      <c r="L4160" s="94" t="str">
        <f t="shared" si="2"/>
        <v>No infirmation</v>
      </c>
      <c r="M4160" s="94" t="str">
        <f t="shared" si="3"/>
        <v/>
      </c>
    </row>
    <row r="4161" ht="15.75" customHeight="1">
      <c r="B4161" s="77">
        <f t="shared" si="1"/>
        <v>0</v>
      </c>
      <c r="C4161" s="67"/>
      <c r="D4161" s="78"/>
      <c r="E4161" s="101"/>
      <c r="F4161" s="108"/>
      <c r="G4161" s="120"/>
      <c r="H4161" s="101"/>
      <c r="I4161" s="93"/>
      <c r="J4161" s="91"/>
      <c r="L4161" s="94" t="str">
        <f t="shared" si="2"/>
        <v>No infirmation</v>
      </c>
      <c r="M4161" s="94" t="str">
        <f t="shared" si="3"/>
        <v/>
      </c>
    </row>
    <row r="4162" ht="15.75" customHeight="1">
      <c r="B4162" s="77">
        <f t="shared" si="1"/>
        <v>0</v>
      </c>
      <c r="C4162" s="67"/>
      <c r="D4162" s="78"/>
      <c r="E4162" s="101"/>
      <c r="F4162" s="108"/>
      <c r="G4162" s="120"/>
      <c r="H4162" s="101"/>
      <c r="I4162" s="93"/>
      <c r="J4162" s="91"/>
      <c r="L4162" s="94" t="str">
        <f t="shared" si="2"/>
        <v>No infirmation</v>
      </c>
      <c r="M4162" s="94" t="str">
        <f t="shared" si="3"/>
        <v/>
      </c>
    </row>
    <row r="4163" ht="15.75" customHeight="1">
      <c r="B4163" s="77">
        <f t="shared" si="1"/>
        <v>0</v>
      </c>
      <c r="C4163" s="67"/>
      <c r="D4163" s="78"/>
      <c r="E4163" s="101"/>
      <c r="F4163" s="108"/>
      <c r="G4163" s="120"/>
      <c r="H4163" s="101"/>
      <c r="I4163" s="93"/>
      <c r="J4163" s="91"/>
      <c r="L4163" s="94" t="str">
        <f t="shared" si="2"/>
        <v>No infirmation</v>
      </c>
      <c r="M4163" s="94" t="str">
        <f t="shared" si="3"/>
        <v/>
      </c>
    </row>
    <row r="4164" ht="15.75" customHeight="1">
      <c r="B4164" s="77">
        <f t="shared" si="1"/>
        <v>0</v>
      </c>
      <c r="C4164" s="67"/>
      <c r="D4164" s="78"/>
      <c r="E4164" s="101"/>
      <c r="F4164" s="108"/>
      <c r="G4164" s="120"/>
      <c r="H4164" s="101"/>
      <c r="I4164" s="93"/>
      <c r="J4164" s="91"/>
      <c r="L4164" s="94" t="str">
        <f t="shared" si="2"/>
        <v>No infirmation</v>
      </c>
      <c r="M4164" s="94" t="str">
        <f t="shared" si="3"/>
        <v/>
      </c>
    </row>
    <row r="4165" ht="15.75" customHeight="1">
      <c r="B4165" s="77">
        <f t="shared" si="1"/>
        <v>0</v>
      </c>
      <c r="C4165" s="67"/>
      <c r="D4165" s="78"/>
      <c r="E4165" s="101"/>
      <c r="F4165" s="108"/>
      <c r="G4165" s="120"/>
      <c r="H4165" s="101"/>
      <c r="I4165" s="93"/>
      <c r="J4165" s="91"/>
      <c r="L4165" s="94" t="str">
        <f t="shared" si="2"/>
        <v>No infirmation</v>
      </c>
      <c r="M4165" s="94" t="str">
        <f t="shared" si="3"/>
        <v/>
      </c>
    </row>
    <row r="4166" ht="15.75" customHeight="1">
      <c r="B4166" s="77">
        <f t="shared" si="1"/>
        <v>0</v>
      </c>
      <c r="C4166" s="67"/>
      <c r="D4166" s="78"/>
      <c r="E4166" s="101"/>
      <c r="F4166" s="108"/>
      <c r="G4166" s="120"/>
      <c r="H4166" s="101"/>
      <c r="I4166" s="93"/>
      <c r="J4166" s="91"/>
      <c r="L4166" s="94" t="str">
        <f t="shared" si="2"/>
        <v>No infirmation</v>
      </c>
      <c r="M4166" s="94" t="str">
        <f t="shared" si="3"/>
        <v/>
      </c>
    </row>
    <row r="4167" ht="15.75" customHeight="1">
      <c r="B4167" s="77">
        <f t="shared" si="1"/>
        <v>0</v>
      </c>
      <c r="C4167" s="67"/>
      <c r="D4167" s="78"/>
      <c r="E4167" s="101"/>
      <c r="F4167" s="108"/>
      <c r="G4167" s="120"/>
      <c r="H4167" s="101"/>
      <c r="I4167" s="93"/>
      <c r="J4167" s="91"/>
      <c r="L4167" s="94" t="str">
        <f t="shared" si="2"/>
        <v>No infirmation</v>
      </c>
      <c r="M4167" s="94" t="str">
        <f t="shared" si="3"/>
        <v/>
      </c>
    </row>
    <row r="4168" ht="15.75" customHeight="1">
      <c r="B4168" s="77">
        <f t="shared" si="1"/>
        <v>0</v>
      </c>
      <c r="C4168" s="67"/>
      <c r="D4168" s="78"/>
      <c r="E4168" s="101"/>
      <c r="F4168" s="108"/>
      <c r="G4168" s="120"/>
      <c r="H4168" s="101"/>
      <c r="I4168" s="93"/>
      <c r="J4168" s="91"/>
      <c r="L4168" s="94" t="str">
        <f t="shared" si="2"/>
        <v>No infirmation</v>
      </c>
      <c r="M4168" s="94" t="str">
        <f t="shared" si="3"/>
        <v/>
      </c>
    </row>
    <row r="4169" ht="15.75" customHeight="1">
      <c r="B4169" s="77">
        <f t="shared" si="1"/>
        <v>0</v>
      </c>
      <c r="C4169" s="67"/>
      <c r="D4169" s="78"/>
      <c r="E4169" s="101"/>
      <c r="F4169" s="108"/>
      <c r="G4169" s="120"/>
      <c r="H4169" s="101"/>
      <c r="I4169" s="93"/>
      <c r="J4169" s="91"/>
      <c r="L4169" s="94" t="str">
        <f t="shared" si="2"/>
        <v>No infirmation</v>
      </c>
      <c r="M4169" s="94" t="str">
        <f t="shared" si="3"/>
        <v/>
      </c>
    </row>
    <row r="4170" ht="15.75" customHeight="1">
      <c r="B4170" s="77">
        <f t="shared" si="1"/>
        <v>0</v>
      </c>
      <c r="C4170" s="67"/>
      <c r="D4170" s="78"/>
      <c r="E4170" s="101"/>
      <c r="F4170" s="108"/>
      <c r="G4170" s="120"/>
      <c r="H4170" s="101"/>
      <c r="I4170" s="93"/>
      <c r="J4170" s="91"/>
      <c r="L4170" s="94" t="str">
        <f t="shared" si="2"/>
        <v>No infirmation</v>
      </c>
      <c r="M4170" s="94" t="str">
        <f t="shared" si="3"/>
        <v/>
      </c>
    </row>
    <row r="4171" ht="15.75" customHeight="1">
      <c r="B4171" s="77">
        <f t="shared" si="1"/>
        <v>0</v>
      </c>
      <c r="C4171" s="67"/>
      <c r="D4171" s="78"/>
      <c r="E4171" s="101"/>
      <c r="F4171" s="108"/>
      <c r="G4171" s="120"/>
      <c r="H4171" s="101"/>
      <c r="I4171" s="93"/>
      <c r="J4171" s="91"/>
      <c r="L4171" s="94" t="str">
        <f t="shared" si="2"/>
        <v>No infirmation</v>
      </c>
      <c r="M4171" s="94" t="str">
        <f t="shared" si="3"/>
        <v/>
      </c>
    </row>
    <row r="4172" ht="15.75" customHeight="1">
      <c r="B4172" s="77">
        <f t="shared" si="1"/>
        <v>0</v>
      </c>
      <c r="C4172" s="67"/>
      <c r="D4172" s="78"/>
      <c r="E4172" s="101"/>
      <c r="F4172" s="108"/>
      <c r="G4172" s="120"/>
      <c r="H4172" s="101"/>
      <c r="I4172" s="93"/>
      <c r="J4172" s="91"/>
      <c r="L4172" s="94" t="str">
        <f t="shared" si="2"/>
        <v>No infirmation</v>
      </c>
      <c r="M4172" s="94" t="str">
        <f t="shared" si="3"/>
        <v/>
      </c>
    </row>
    <row r="4173" ht="15.75" customHeight="1">
      <c r="B4173" s="77">
        <f t="shared" si="1"/>
        <v>0</v>
      </c>
      <c r="C4173" s="67"/>
      <c r="D4173" s="78"/>
      <c r="E4173" s="101"/>
      <c r="F4173" s="108"/>
      <c r="G4173" s="120"/>
      <c r="H4173" s="101"/>
      <c r="I4173" s="93"/>
      <c r="J4173" s="91"/>
      <c r="L4173" s="94" t="str">
        <f t="shared" si="2"/>
        <v>No infirmation</v>
      </c>
      <c r="M4173" s="94" t="str">
        <f t="shared" si="3"/>
        <v/>
      </c>
    </row>
    <row r="4174" ht="15.75" customHeight="1">
      <c r="B4174" s="77">
        <f t="shared" si="1"/>
        <v>0</v>
      </c>
      <c r="C4174" s="67"/>
      <c r="D4174" s="78"/>
      <c r="E4174" s="101"/>
      <c r="F4174" s="108"/>
      <c r="G4174" s="120"/>
      <c r="H4174" s="101"/>
      <c r="I4174" s="93"/>
      <c r="J4174" s="91"/>
      <c r="L4174" s="94" t="str">
        <f t="shared" si="2"/>
        <v>No infirmation</v>
      </c>
      <c r="M4174" s="94" t="str">
        <f t="shared" si="3"/>
        <v/>
      </c>
    </row>
    <row r="4175" ht="15.75" customHeight="1">
      <c r="B4175" s="77">
        <f t="shared" si="1"/>
        <v>0</v>
      </c>
      <c r="C4175" s="67"/>
      <c r="D4175" s="78"/>
      <c r="E4175" s="101"/>
      <c r="F4175" s="108"/>
      <c r="G4175" s="120"/>
      <c r="H4175" s="101"/>
      <c r="I4175" s="93"/>
      <c r="J4175" s="91"/>
      <c r="L4175" s="94" t="str">
        <f t="shared" si="2"/>
        <v>No infirmation</v>
      </c>
      <c r="M4175" s="94" t="str">
        <f t="shared" si="3"/>
        <v/>
      </c>
    </row>
    <row r="4176" ht="15.75" customHeight="1">
      <c r="B4176" s="77">
        <f t="shared" si="1"/>
        <v>0</v>
      </c>
      <c r="C4176" s="67"/>
      <c r="D4176" s="78"/>
      <c r="E4176" s="101"/>
      <c r="F4176" s="108"/>
      <c r="G4176" s="120"/>
      <c r="H4176" s="101"/>
      <c r="I4176" s="93"/>
      <c r="J4176" s="91"/>
      <c r="L4176" s="94" t="str">
        <f t="shared" si="2"/>
        <v>No infirmation</v>
      </c>
      <c r="M4176" s="94" t="str">
        <f t="shared" si="3"/>
        <v/>
      </c>
    </row>
    <row r="4177" ht="15.75" customHeight="1">
      <c r="B4177" s="77">
        <f t="shared" si="1"/>
        <v>0</v>
      </c>
      <c r="C4177" s="67"/>
      <c r="D4177" s="78"/>
      <c r="E4177" s="101"/>
      <c r="F4177" s="108"/>
      <c r="G4177" s="120"/>
      <c r="H4177" s="101"/>
      <c r="I4177" s="93"/>
      <c r="J4177" s="91"/>
      <c r="L4177" s="94" t="str">
        <f t="shared" si="2"/>
        <v>No infirmation</v>
      </c>
      <c r="M4177" s="94" t="str">
        <f t="shared" si="3"/>
        <v/>
      </c>
    </row>
    <row r="4178" ht="15.75" customHeight="1">
      <c r="B4178" s="77">
        <f t="shared" si="1"/>
        <v>0</v>
      </c>
      <c r="C4178" s="67"/>
      <c r="D4178" s="78"/>
      <c r="E4178" s="101"/>
      <c r="F4178" s="108"/>
      <c r="G4178" s="120"/>
      <c r="H4178" s="101"/>
      <c r="I4178" s="93"/>
      <c r="J4178" s="91"/>
      <c r="L4178" s="94" t="str">
        <f t="shared" si="2"/>
        <v>No infirmation</v>
      </c>
      <c r="M4178" s="94" t="str">
        <f t="shared" si="3"/>
        <v/>
      </c>
    </row>
    <row r="4179" ht="15.75" customHeight="1">
      <c r="B4179" s="77">
        <f t="shared" si="1"/>
        <v>0</v>
      </c>
      <c r="C4179" s="67"/>
      <c r="D4179" s="78"/>
      <c r="E4179" s="101"/>
      <c r="F4179" s="108"/>
      <c r="G4179" s="120"/>
      <c r="H4179" s="101"/>
      <c r="I4179" s="93"/>
      <c r="J4179" s="91"/>
      <c r="L4179" s="94" t="str">
        <f t="shared" si="2"/>
        <v>No infirmation</v>
      </c>
      <c r="M4179" s="94" t="str">
        <f t="shared" si="3"/>
        <v/>
      </c>
    </row>
    <row r="4180" ht="15.75" customHeight="1">
      <c r="B4180" s="77">
        <f t="shared" si="1"/>
        <v>0</v>
      </c>
      <c r="C4180" s="67"/>
      <c r="D4180" s="78"/>
      <c r="E4180" s="101"/>
      <c r="F4180" s="108"/>
      <c r="G4180" s="120"/>
      <c r="H4180" s="101"/>
      <c r="I4180" s="93"/>
      <c r="J4180" s="91"/>
      <c r="L4180" s="94" t="str">
        <f t="shared" si="2"/>
        <v>No infirmation</v>
      </c>
      <c r="M4180" s="94" t="str">
        <f t="shared" si="3"/>
        <v/>
      </c>
    </row>
    <row r="4181" ht="15.75" customHeight="1">
      <c r="B4181" s="77">
        <f t="shared" si="1"/>
        <v>0</v>
      </c>
      <c r="C4181" s="67"/>
      <c r="D4181" s="78"/>
      <c r="E4181" s="101"/>
      <c r="F4181" s="108"/>
      <c r="G4181" s="120"/>
      <c r="H4181" s="101"/>
      <c r="I4181" s="93"/>
      <c r="J4181" s="91"/>
      <c r="L4181" s="94" t="str">
        <f t="shared" si="2"/>
        <v>No infirmation</v>
      </c>
      <c r="M4181" s="94" t="str">
        <f t="shared" si="3"/>
        <v/>
      </c>
    </row>
    <row r="4182" ht="15.75" customHeight="1">
      <c r="B4182" s="77">
        <f t="shared" si="1"/>
        <v>0</v>
      </c>
      <c r="C4182" s="67"/>
      <c r="D4182" s="78"/>
      <c r="E4182" s="101"/>
      <c r="F4182" s="108"/>
      <c r="G4182" s="120"/>
      <c r="H4182" s="101"/>
      <c r="I4182" s="93"/>
      <c r="J4182" s="91"/>
      <c r="L4182" s="94" t="str">
        <f t="shared" si="2"/>
        <v>No infirmation</v>
      </c>
      <c r="M4182" s="94" t="str">
        <f t="shared" si="3"/>
        <v/>
      </c>
    </row>
    <row r="4183" ht="15.75" customHeight="1">
      <c r="B4183" s="77">
        <f t="shared" si="1"/>
        <v>0</v>
      </c>
      <c r="C4183" s="67"/>
      <c r="D4183" s="78"/>
      <c r="E4183" s="101"/>
      <c r="F4183" s="108"/>
      <c r="G4183" s="120"/>
      <c r="H4183" s="101"/>
      <c r="I4183" s="93"/>
      <c r="J4183" s="91"/>
      <c r="L4183" s="94" t="str">
        <f t="shared" si="2"/>
        <v>No infirmation</v>
      </c>
      <c r="M4183" s="94" t="str">
        <f t="shared" si="3"/>
        <v/>
      </c>
    </row>
    <row r="4184" ht="15.75" customHeight="1">
      <c r="B4184" s="77">
        <f t="shared" si="1"/>
        <v>0</v>
      </c>
      <c r="C4184" s="67"/>
      <c r="D4184" s="78"/>
      <c r="E4184" s="101"/>
      <c r="F4184" s="108"/>
      <c r="G4184" s="120"/>
      <c r="H4184" s="101"/>
      <c r="I4184" s="93"/>
      <c r="J4184" s="91"/>
      <c r="L4184" s="94" t="str">
        <f t="shared" si="2"/>
        <v>No infirmation</v>
      </c>
      <c r="M4184" s="94" t="str">
        <f t="shared" si="3"/>
        <v/>
      </c>
    </row>
    <row r="4185" ht="15.75" customHeight="1">
      <c r="B4185" s="77">
        <f t="shared" si="1"/>
        <v>0</v>
      </c>
      <c r="C4185" s="67"/>
      <c r="D4185" s="78"/>
      <c r="E4185" s="101"/>
      <c r="F4185" s="108"/>
      <c r="G4185" s="120"/>
      <c r="H4185" s="101"/>
      <c r="I4185" s="93"/>
      <c r="J4185" s="91"/>
      <c r="L4185" s="94" t="str">
        <f t="shared" si="2"/>
        <v>No infirmation</v>
      </c>
      <c r="M4185" s="94" t="str">
        <f t="shared" si="3"/>
        <v/>
      </c>
    </row>
    <row r="4186" ht="15.75" customHeight="1">
      <c r="B4186" s="77">
        <f t="shared" si="1"/>
        <v>0</v>
      </c>
      <c r="C4186" s="67"/>
      <c r="D4186" s="78"/>
      <c r="E4186" s="101"/>
      <c r="F4186" s="108"/>
      <c r="G4186" s="120"/>
      <c r="H4186" s="101"/>
      <c r="I4186" s="93"/>
      <c r="J4186" s="91"/>
      <c r="L4186" s="94" t="str">
        <f t="shared" si="2"/>
        <v>No infirmation</v>
      </c>
      <c r="M4186" s="94" t="str">
        <f t="shared" si="3"/>
        <v/>
      </c>
    </row>
    <row r="4187" ht="15.75" customHeight="1">
      <c r="B4187" s="77">
        <f t="shared" si="1"/>
        <v>0</v>
      </c>
      <c r="C4187" s="67"/>
      <c r="D4187" s="78"/>
      <c r="E4187" s="101"/>
      <c r="F4187" s="108"/>
      <c r="G4187" s="120"/>
      <c r="H4187" s="101"/>
      <c r="I4187" s="93"/>
      <c r="J4187" s="91"/>
      <c r="L4187" s="94" t="str">
        <f t="shared" si="2"/>
        <v>No infirmation</v>
      </c>
      <c r="M4187" s="94" t="str">
        <f t="shared" si="3"/>
        <v/>
      </c>
    </row>
    <row r="4188" ht="15.75" customHeight="1">
      <c r="B4188" s="77">
        <f t="shared" si="1"/>
        <v>0</v>
      </c>
      <c r="C4188" s="67"/>
      <c r="D4188" s="78"/>
      <c r="E4188" s="101"/>
      <c r="F4188" s="108"/>
      <c r="G4188" s="120"/>
      <c r="H4188" s="101"/>
      <c r="I4188" s="93"/>
      <c r="J4188" s="91"/>
      <c r="L4188" s="94" t="str">
        <f t="shared" si="2"/>
        <v>No infirmation</v>
      </c>
      <c r="M4188" s="94" t="str">
        <f t="shared" si="3"/>
        <v/>
      </c>
    </row>
    <row r="4189" ht="15.75" customHeight="1">
      <c r="B4189" s="77">
        <f t="shared" si="1"/>
        <v>0</v>
      </c>
      <c r="C4189" s="67"/>
      <c r="D4189" s="78"/>
      <c r="E4189" s="101"/>
      <c r="F4189" s="108"/>
      <c r="G4189" s="120"/>
      <c r="H4189" s="101"/>
      <c r="I4189" s="93"/>
      <c r="J4189" s="91"/>
      <c r="L4189" s="94" t="str">
        <f t="shared" si="2"/>
        <v>No infirmation</v>
      </c>
      <c r="M4189" s="94" t="str">
        <f t="shared" si="3"/>
        <v/>
      </c>
    </row>
    <row r="4190" ht="15.75" customHeight="1">
      <c r="B4190" s="77">
        <f t="shared" si="1"/>
        <v>0</v>
      </c>
      <c r="C4190" s="67"/>
      <c r="D4190" s="78"/>
      <c r="E4190" s="101"/>
      <c r="F4190" s="108"/>
      <c r="G4190" s="120"/>
      <c r="H4190" s="101"/>
      <c r="I4190" s="93"/>
      <c r="J4190" s="91"/>
      <c r="L4190" s="94" t="str">
        <f t="shared" si="2"/>
        <v>No infirmation</v>
      </c>
      <c r="M4190" s="94" t="str">
        <f t="shared" si="3"/>
        <v/>
      </c>
    </row>
    <row r="4191" ht="15.75" customHeight="1">
      <c r="B4191" s="77">
        <f t="shared" si="1"/>
        <v>0</v>
      </c>
      <c r="C4191" s="67"/>
      <c r="D4191" s="78"/>
      <c r="E4191" s="101"/>
      <c r="F4191" s="108"/>
      <c r="G4191" s="120"/>
      <c r="H4191" s="101"/>
      <c r="I4191" s="93"/>
      <c r="J4191" s="91"/>
      <c r="L4191" s="94" t="str">
        <f t="shared" si="2"/>
        <v>No infirmation</v>
      </c>
      <c r="M4191" s="94" t="str">
        <f t="shared" si="3"/>
        <v/>
      </c>
    </row>
    <row r="4192" ht="15.75" customHeight="1">
      <c r="B4192" s="77">
        <f t="shared" si="1"/>
        <v>0</v>
      </c>
      <c r="C4192" s="67"/>
      <c r="D4192" s="78"/>
      <c r="E4192" s="101"/>
      <c r="F4192" s="108"/>
      <c r="G4192" s="120"/>
      <c r="H4192" s="101"/>
      <c r="I4192" s="93"/>
      <c r="J4192" s="91"/>
      <c r="L4192" s="94" t="str">
        <f t="shared" si="2"/>
        <v>No infirmation</v>
      </c>
      <c r="M4192" s="94" t="str">
        <f t="shared" si="3"/>
        <v/>
      </c>
    </row>
    <row r="4193" ht="15.75" customHeight="1">
      <c r="B4193" s="77">
        <f t="shared" si="1"/>
        <v>0</v>
      </c>
      <c r="C4193" s="67"/>
      <c r="D4193" s="78"/>
      <c r="E4193" s="101"/>
      <c r="F4193" s="108"/>
      <c r="G4193" s="120"/>
      <c r="H4193" s="101"/>
      <c r="I4193" s="93"/>
      <c r="J4193" s="91"/>
      <c r="L4193" s="94" t="str">
        <f t="shared" si="2"/>
        <v>No infirmation</v>
      </c>
      <c r="M4193" s="94" t="str">
        <f t="shared" si="3"/>
        <v/>
      </c>
    </row>
    <row r="4194" ht="15.75" customHeight="1">
      <c r="B4194" s="77">
        <f t="shared" si="1"/>
        <v>0</v>
      </c>
      <c r="C4194" s="67"/>
      <c r="D4194" s="78"/>
      <c r="E4194" s="101"/>
      <c r="F4194" s="108"/>
      <c r="G4194" s="120"/>
      <c r="H4194" s="101"/>
      <c r="I4194" s="93"/>
      <c r="J4194" s="91"/>
      <c r="L4194" s="94" t="str">
        <f t="shared" si="2"/>
        <v>No infirmation</v>
      </c>
      <c r="M4194" s="94" t="str">
        <f t="shared" si="3"/>
        <v/>
      </c>
    </row>
    <row r="4195" ht="15.75" customHeight="1">
      <c r="B4195" s="77">
        <f t="shared" si="1"/>
        <v>0</v>
      </c>
      <c r="C4195" s="67"/>
      <c r="D4195" s="78"/>
      <c r="E4195" s="101"/>
      <c r="F4195" s="108"/>
      <c r="G4195" s="120"/>
      <c r="H4195" s="101"/>
      <c r="I4195" s="93"/>
      <c r="J4195" s="91"/>
      <c r="L4195" s="94" t="str">
        <f t="shared" si="2"/>
        <v>No infirmation</v>
      </c>
      <c r="M4195" s="94" t="str">
        <f t="shared" si="3"/>
        <v/>
      </c>
    </row>
    <row r="4196" ht="15.75" customHeight="1">
      <c r="B4196" s="77">
        <f t="shared" si="1"/>
        <v>0</v>
      </c>
      <c r="C4196" s="67"/>
      <c r="D4196" s="78"/>
      <c r="E4196" s="101"/>
      <c r="F4196" s="108"/>
      <c r="G4196" s="120"/>
      <c r="H4196" s="101"/>
      <c r="I4196" s="93"/>
      <c r="J4196" s="91"/>
      <c r="L4196" s="94" t="str">
        <f t="shared" si="2"/>
        <v>No infirmation</v>
      </c>
      <c r="M4196" s="94" t="str">
        <f t="shared" si="3"/>
        <v/>
      </c>
    </row>
    <row r="4197" ht="15.75" customHeight="1">
      <c r="B4197" s="77">
        <f t="shared" si="1"/>
        <v>0</v>
      </c>
      <c r="C4197" s="67"/>
      <c r="D4197" s="78"/>
      <c r="E4197" s="101"/>
      <c r="F4197" s="108"/>
      <c r="G4197" s="120"/>
      <c r="H4197" s="101"/>
      <c r="I4197" s="93"/>
      <c r="J4197" s="91"/>
      <c r="L4197" s="94" t="str">
        <f t="shared" si="2"/>
        <v>No infirmation</v>
      </c>
      <c r="M4197" s="94" t="str">
        <f t="shared" si="3"/>
        <v/>
      </c>
    </row>
    <row r="4198" ht="15.75" customHeight="1">
      <c r="B4198" s="77">
        <f t="shared" si="1"/>
        <v>0</v>
      </c>
      <c r="C4198" s="67"/>
      <c r="D4198" s="78"/>
      <c r="E4198" s="101"/>
      <c r="F4198" s="108"/>
      <c r="G4198" s="120"/>
      <c r="H4198" s="101"/>
      <c r="I4198" s="93"/>
      <c r="J4198" s="91"/>
      <c r="L4198" s="94" t="str">
        <f t="shared" si="2"/>
        <v>No infirmation</v>
      </c>
      <c r="M4198" s="94" t="str">
        <f t="shared" si="3"/>
        <v/>
      </c>
    </row>
    <row r="4199" ht="15.75" customHeight="1">
      <c r="B4199" s="77">
        <f t="shared" si="1"/>
        <v>0</v>
      </c>
      <c r="C4199" s="67"/>
      <c r="D4199" s="78"/>
      <c r="E4199" s="101"/>
      <c r="F4199" s="108"/>
      <c r="G4199" s="120"/>
      <c r="H4199" s="101"/>
      <c r="I4199" s="93"/>
      <c r="J4199" s="91"/>
      <c r="L4199" s="94" t="str">
        <f t="shared" si="2"/>
        <v>No infirmation</v>
      </c>
      <c r="M4199" s="94" t="str">
        <f t="shared" si="3"/>
        <v/>
      </c>
    </row>
    <row r="4200" ht="15.75" customHeight="1">
      <c r="B4200" s="77">
        <f t="shared" si="1"/>
        <v>0</v>
      </c>
      <c r="C4200" s="67"/>
      <c r="D4200" s="78"/>
      <c r="E4200" s="101"/>
      <c r="F4200" s="108"/>
      <c r="G4200" s="120"/>
      <c r="H4200" s="101"/>
      <c r="I4200" s="93"/>
      <c r="J4200" s="91"/>
      <c r="L4200" s="94" t="str">
        <f t="shared" si="2"/>
        <v>No infirmation</v>
      </c>
      <c r="M4200" s="94" t="str">
        <f t="shared" si="3"/>
        <v/>
      </c>
    </row>
    <row r="4201" ht="15.75" customHeight="1">
      <c r="B4201" s="77">
        <f t="shared" si="1"/>
        <v>0</v>
      </c>
      <c r="C4201" s="67"/>
      <c r="D4201" s="78"/>
      <c r="E4201" s="101"/>
      <c r="F4201" s="108"/>
      <c r="G4201" s="120"/>
      <c r="H4201" s="101"/>
      <c r="I4201" s="93"/>
      <c r="J4201" s="91"/>
      <c r="L4201" s="94" t="str">
        <f t="shared" si="2"/>
        <v>No infirmation</v>
      </c>
      <c r="M4201" s="94" t="str">
        <f t="shared" si="3"/>
        <v/>
      </c>
    </row>
    <row r="4202" ht="15.75" customHeight="1">
      <c r="B4202" s="77">
        <f t="shared" si="1"/>
        <v>0</v>
      </c>
      <c r="C4202" s="67"/>
      <c r="D4202" s="78"/>
      <c r="E4202" s="101"/>
      <c r="F4202" s="108"/>
      <c r="G4202" s="120"/>
      <c r="H4202" s="101"/>
      <c r="I4202" s="93"/>
      <c r="J4202" s="91"/>
      <c r="L4202" s="94" t="str">
        <f t="shared" si="2"/>
        <v>No infirmation</v>
      </c>
      <c r="M4202" s="94" t="str">
        <f t="shared" si="3"/>
        <v/>
      </c>
    </row>
    <row r="4203" ht="15.75" customHeight="1">
      <c r="B4203" s="77">
        <f t="shared" si="1"/>
        <v>0</v>
      </c>
      <c r="C4203" s="67"/>
      <c r="D4203" s="78"/>
      <c r="E4203" s="101"/>
      <c r="F4203" s="108"/>
      <c r="G4203" s="120"/>
      <c r="H4203" s="101"/>
      <c r="I4203" s="93"/>
      <c r="J4203" s="91"/>
      <c r="L4203" s="94" t="str">
        <f t="shared" si="2"/>
        <v>No infirmation</v>
      </c>
      <c r="M4203" s="94" t="str">
        <f t="shared" si="3"/>
        <v/>
      </c>
    </row>
    <row r="4204" ht="15.75" customHeight="1">
      <c r="B4204" s="77">
        <f t="shared" si="1"/>
        <v>0</v>
      </c>
      <c r="C4204" s="67"/>
      <c r="D4204" s="78"/>
      <c r="E4204" s="101"/>
      <c r="F4204" s="108"/>
      <c r="G4204" s="120"/>
      <c r="H4204" s="101"/>
      <c r="I4204" s="93"/>
      <c r="J4204" s="91"/>
      <c r="L4204" s="94" t="str">
        <f t="shared" si="2"/>
        <v>No infirmation</v>
      </c>
      <c r="M4204" s="94" t="str">
        <f t="shared" si="3"/>
        <v/>
      </c>
    </row>
    <row r="4205" ht="15.75" customHeight="1">
      <c r="B4205" s="77">
        <f t="shared" si="1"/>
        <v>0</v>
      </c>
      <c r="C4205" s="67"/>
      <c r="D4205" s="78"/>
      <c r="E4205" s="101"/>
      <c r="F4205" s="108"/>
      <c r="G4205" s="120"/>
      <c r="H4205" s="101"/>
      <c r="I4205" s="93"/>
      <c r="J4205" s="91"/>
      <c r="L4205" s="94" t="str">
        <f t="shared" si="2"/>
        <v>No infirmation</v>
      </c>
      <c r="M4205" s="94" t="str">
        <f t="shared" si="3"/>
        <v/>
      </c>
    </row>
    <row r="4206" ht="15.75" customHeight="1">
      <c r="B4206" s="77">
        <f t="shared" si="1"/>
        <v>0</v>
      </c>
      <c r="C4206" s="67"/>
      <c r="D4206" s="78"/>
      <c r="E4206" s="101"/>
      <c r="F4206" s="108"/>
      <c r="G4206" s="120"/>
      <c r="H4206" s="101"/>
      <c r="I4206" s="93"/>
      <c r="J4206" s="91"/>
      <c r="L4206" s="94" t="str">
        <f t="shared" si="2"/>
        <v>No infirmation</v>
      </c>
      <c r="M4206" s="94" t="str">
        <f t="shared" si="3"/>
        <v/>
      </c>
    </row>
    <row r="4207" ht="15.75" customHeight="1">
      <c r="B4207" s="77">
        <f t="shared" si="1"/>
        <v>0</v>
      </c>
      <c r="C4207" s="67"/>
      <c r="D4207" s="78"/>
      <c r="E4207" s="101"/>
      <c r="F4207" s="108"/>
      <c r="G4207" s="120"/>
      <c r="H4207" s="101"/>
      <c r="I4207" s="93"/>
      <c r="J4207" s="91"/>
      <c r="L4207" s="94" t="str">
        <f t="shared" si="2"/>
        <v>No infirmation</v>
      </c>
      <c r="M4207" s="94" t="str">
        <f t="shared" si="3"/>
        <v/>
      </c>
    </row>
    <row r="4208" ht="15.75" customHeight="1">
      <c r="B4208" s="77">
        <f t="shared" si="1"/>
        <v>0</v>
      </c>
      <c r="C4208" s="67"/>
      <c r="D4208" s="78"/>
      <c r="E4208" s="101"/>
      <c r="F4208" s="108"/>
      <c r="G4208" s="120"/>
      <c r="H4208" s="101"/>
      <c r="I4208" s="93"/>
      <c r="J4208" s="91"/>
      <c r="L4208" s="94" t="str">
        <f t="shared" si="2"/>
        <v>No infirmation</v>
      </c>
      <c r="M4208" s="94" t="str">
        <f t="shared" si="3"/>
        <v/>
      </c>
    </row>
    <row r="4209" ht="15.75" customHeight="1">
      <c r="B4209" s="77">
        <f t="shared" si="1"/>
        <v>0</v>
      </c>
      <c r="C4209" s="67"/>
      <c r="D4209" s="78"/>
      <c r="E4209" s="101"/>
      <c r="F4209" s="108"/>
      <c r="G4209" s="120"/>
      <c r="H4209" s="101"/>
      <c r="I4209" s="93"/>
      <c r="J4209" s="91"/>
      <c r="L4209" s="94" t="str">
        <f t="shared" si="2"/>
        <v>No infirmation</v>
      </c>
      <c r="M4209" s="94" t="str">
        <f t="shared" si="3"/>
        <v/>
      </c>
    </row>
    <row r="4210" ht="15.75" customHeight="1">
      <c r="B4210" s="77">
        <f t="shared" si="1"/>
        <v>0</v>
      </c>
      <c r="C4210" s="67"/>
      <c r="D4210" s="78"/>
      <c r="E4210" s="101"/>
      <c r="F4210" s="108"/>
      <c r="G4210" s="120"/>
      <c r="H4210" s="101"/>
      <c r="I4210" s="93"/>
      <c r="J4210" s="91"/>
      <c r="L4210" s="94" t="str">
        <f t="shared" si="2"/>
        <v>No infirmation</v>
      </c>
      <c r="M4210" s="94" t="str">
        <f t="shared" si="3"/>
        <v/>
      </c>
    </row>
    <row r="4211" ht="15.75" customHeight="1">
      <c r="B4211" s="77">
        <f t="shared" si="1"/>
        <v>0</v>
      </c>
      <c r="C4211" s="67"/>
      <c r="D4211" s="78"/>
      <c r="E4211" s="101"/>
      <c r="F4211" s="108"/>
      <c r="G4211" s="120"/>
      <c r="H4211" s="101"/>
      <c r="I4211" s="93"/>
      <c r="J4211" s="91"/>
      <c r="L4211" s="94" t="str">
        <f t="shared" si="2"/>
        <v>No infirmation</v>
      </c>
      <c r="M4211" s="94" t="str">
        <f t="shared" si="3"/>
        <v/>
      </c>
    </row>
    <row r="4212" ht="15.75" customHeight="1">
      <c r="B4212" s="77">
        <f t="shared" si="1"/>
        <v>0</v>
      </c>
      <c r="C4212" s="67"/>
      <c r="D4212" s="78"/>
      <c r="E4212" s="101"/>
      <c r="F4212" s="108"/>
      <c r="G4212" s="120"/>
      <c r="H4212" s="101"/>
      <c r="I4212" s="93"/>
      <c r="J4212" s="91"/>
      <c r="L4212" s="94" t="str">
        <f t="shared" si="2"/>
        <v>No infirmation</v>
      </c>
      <c r="M4212" s="94" t="str">
        <f t="shared" si="3"/>
        <v/>
      </c>
    </row>
    <row r="4213" ht="15.75" customHeight="1">
      <c r="B4213" s="77">
        <f t="shared" si="1"/>
        <v>0</v>
      </c>
      <c r="C4213" s="67"/>
      <c r="D4213" s="78"/>
      <c r="E4213" s="101"/>
      <c r="F4213" s="108"/>
      <c r="G4213" s="120"/>
      <c r="H4213" s="101"/>
      <c r="I4213" s="93"/>
      <c r="J4213" s="91"/>
      <c r="L4213" s="94" t="str">
        <f t="shared" si="2"/>
        <v>No infirmation</v>
      </c>
      <c r="M4213" s="94" t="str">
        <f t="shared" si="3"/>
        <v/>
      </c>
    </row>
    <row r="4214" ht="15.75" customHeight="1">
      <c r="B4214" s="77">
        <f t="shared" si="1"/>
        <v>0</v>
      </c>
      <c r="C4214" s="67"/>
      <c r="D4214" s="78"/>
      <c r="E4214" s="101"/>
      <c r="F4214" s="108"/>
      <c r="G4214" s="120"/>
      <c r="H4214" s="101"/>
      <c r="I4214" s="93"/>
      <c r="J4214" s="91"/>
      <c r="L4214" s="94" t="str">
        <f t="shared" si="2"/>
        <v>No infirmation</v>
      </c>
      <c r="M4214" s="94" t="str">
        <f t="shared" si="3"/>
        <v/>
      </c>
    </row>
    <row r="4215" ht="15.75" customHeight="1">
      <c r="B4215" s="77">
        <f t="shared" si="1"/>
        <v>0</v>
      </c>
      <c r="C4215" s="67"/>
      <c r="D4215" s="78"/>
      <c r="E4215" s="101"/>
      <c r="F4215" s="108"/>
      <c r="G4215" s="120"/>
      <c r="H4215" s="101"/>
      <c r="I4215" s="93"/>
      <c r="J4215" s="91"/>
      <c r="L4215" s="94" t="str">
        <f t="shared" si="2"/>
        <v>No infirmation</v>
      </c>
      <c r="M4215" s="94" t="str">
        <f t="shared" si="3"/>
        <v/>
      </c>
    </row>
    <row r="4216" ht="15.75" customHeight="1">
      <c r="B4216" s="77">
        <f t="shared" si="1"/>
        <v>0</v>
      </c>
      <c r="C4216" s="67"/>
      <c r="D4216" s="78"/>
      <c r="E4216" s="101"/>
      <c r="F4216" s="108"/>
      <c r="G4216" s="120"/>
      <c r="H4216" s="101"/>
      <c r="I4216" s="93"/>
      <c r="J4216" s="91"/>
      <c r="L4216" s="94" t="str">
        <f t="shared" si="2"/>
        <v>No infirmation</v>
      </c>
      <c r="M4216" s="94" t="str">
        <f t="shared" si="3"/>
        <v/>
      </c>
    </row>
    <row r="4217" ht="15.75" customHeight="1">
      <c r="B4217" s="77">
        <f t="shared" si="1"/>
        <v>0</v>
      </c>
      <c r="C4217" s="67"/>
      <c r="D4217" s="78"/>
      <c r="E4217" s="101"/>
      <c r="F4217" s="108"/>
      <c r="G4217" s="120"/>
      <c r="H4217" s="101"/>
      <c r="I4217" s="93"/>
      <c r="J4217" s="91"/>
      <c r="L4217" s="94" t="str">
        <f t="shared" si="2"/>
        <v>No infirmation</v>
      </c>
      <c r="M4217" s="94" t="str">
        <f t="shared" si="3"/>
        <v/>
      </c>
    </row>
    <row r="4218" ht="15.75" customHeight="1">
      <c r="B4218" s="77">
        <f t="shared" si="1"/>
        <v>0</v>
      </c>
      <c r="C4218" s="67"/>
      <c r="D4218" s="78"/>
      <c r="E4218" s="101"/>
      <c r="F4218" s="108"/>
      <c r="G4218" s="120"/>
      <c r="H4218" s="101"/>
      <c r="I4218" s="93"/>
      <c r="J4218" s="91"/>
      <c r="L4218" s="94" t="str">
        <f t="shared" si="2"/>
        <v>No infirmation</v>
      </c>
      <c r="M4218" s="94" t="str">
        <f t="shared" si="3"/>
        <v/>
      </c>
    </row>
    <row r="4219" ht="15.75" customHeight="1">
      <c r="B4219" s="77">
        <f t="shared" si="1"/>
        <v>0</v>
      </c>
      <c r="C4219" s="67"/>
      <c r="D4219" s="78"/>
      <c r="E4219" s="101"/>
      <c r="F4219" s="108"/>
      <c r="G4219" s="120"/>
      <c r="H4219" s="101"/>
      <c r="I4219" s="93"/>
      <c r="J4219" s="91"/>
      <c r="L4219" s="94" t="str">
        <f t="shared" si="2"/>
        <v>No infirmation</v>
      </c>
      <c r="M4219" s="94" t="str">
        <f t="shared" si="3"/>
        <v/>
      </c>
    </row>
    <row r="4220" ht="15.75" customHeight="1">
      <c r="B4220" s="77">
        <f t="shared" si="1"/>
        <v>0</v>
      </c>
      <c r="C4220" s="67"/>
      <c r="D4220" s="78"/>
      <c r="E4220" s="101"/>
      <c r="F4220" s="108"/>
      <c r="G4220" s="120"/>
      <c r="H4220" s="101"/>
      <c r="I4220" s="93"/>
      <c r="J4220" s="91"/>
      <c r="L4220" s="94" t="str">
        <f t="shared" si="2"/>
        <v>No infirmation</v>
      </c>
      <c r="M4220" s="94" t="str">
        <f t="shared" si="3"/>
        <v/>
      </c>
    </row>
    <row r="4221" ht="15.75" customHeight="1">
      <c r="B4221" s="77">
        <f t="shared" si="1"/>
        <v>0</v>
      </c>
      <c r="C4221" s="67"/>
      <c r="D4221" s="78"/>
      <c r="E4221" s="101"/>
      <c r="F4221" s="108"/>
      <c r="G4221" s="120"/>
      <c r="H4221" s="101"/>
      <c r="I4221" s="93"/>
      <c r="J4221" s="91"/>
      <c r="L4221" s="94" t="str">
        <f t="shared" si="2"/>
        <v>No infirmation</v>
      </c>
      <c r="M4221" s="94" t="str">
        <f t="shared" si="3"/>
        <v/>
      </c>
    </row>
    <row r="4222" ht="15.75" customHeight="1">
      <c r="B4222" s="77">
        <f t="shared" si="1"/>
        <v>0</v>
      </c>
      <c r="C4222" s="67"/>
      <c r="D4222" s="78"/>
      <c r="E4222" s="101"/>
      <c r="F4222" s="108"/>
      <c r="G4222" s="120"/>
      <c r="H4222" s="101"/>
      <c r="I4222" s="93"/>
      <c r="J4222" s="91"/>
      <c r="L4222" s="94" t="str">
        <f t="shared" si="2"/>
        <v>No infirmation</v>
      </c>
      <c r="M4222" s="94" t="str">
        <f t="shared" si="3"/>
        <v/>
      </c>
    </row>
    <row r="4223" ht="15.75" customHeight="1">
      <c r="B4223" s="77">
        <f t="shared" si="1"/>
        <v>0</v>
      </c>
      <c r="C4223" s="67"/>
      <c r="D4223" s="78"/>
      <c r="E4223" s="101"/>
      <c r="F4223" s="108"/>
      <c r="G4223" s="120"/>
      <c r="H4223" s="101"/>
      <c r="I4223" s="93"/>
      <c r="J4223" s="91"/>
      <c r="L4223" s="94" t="str">
        <f t="shared" si="2"/>
        <v>No infirmation</v>
      </c>
      <c r="M4223" s="94" t="str">
        <f t="shared" si="3"/>
        <v/>
      </c>
    </row>
    <row r="4224" ht="15.75" customHeight="1">
      <c r="B4224" s="77">
        <f t="shared" si="1"/>
        <v>0</v>
      </c>
      <c r="C4224" s="67"/>
      <c r="D4224" s="78"/>
      <c r="E4224" s="101"/>
      <c r="F4224" s="108"/>
      <c r="G4224" s="120"/>
      <c r="H4224" s="101"/>
      <c r="I4224" s="93"/>
      <c r="J4224" s="91"/>
      <c r="L4224" s="94" t="str">
        <f t="shared" si="2"/>
        <v>No infirmation</v>
      </c>
      <c r="M4224" s="94" t="str">
        <f t="shared" si="3"/>
        <v/>
      </c>
    </row>
    <row r="4225" ht="15.75" customHeight="1">
      <c r="B4225" s="77">
        <f t="shared" si="1"/>
        <v>0</v>
      </c>
      <c r="C4225" s="67"/>
      <c r="D4225" s="78"/>
      <c r="E4225" s="101"/>
      <c r="F4225" s="108"/>
      <c r="G4225" s="120"/>
      <c r="H4225" s="101"/>
      <c r="I4225" s="93"/>
      <c r="J4225" s="91"/>
      <c r="L4225" s="94" t="str">
        <f t="shared" si="2"/>
        <v>No infirmation</v>
      </c>
      <c r="M4225" s="94" t="str">
        <f t="shared" si="3"/>
        <v/>
      </c>
    </row>
    <row r="4226" ht="15.75" customHeight="1">
      <c r="B4226" s="77">
        <f t="shared" si="1"/>
        <v>0</v>
      </c>
      <c r="C4226" s="67"/>
      <c r="D4226" s="78"/>
      <c r="E4226" s="101"/>
      <c r="F4226" s="108"/>
      <c r="G4226" s="120"/>
      <c r="H4226" s="101"/>
      <c r="I4226" s="93"/>
      <c r="J4226" s="91"/>
      <c r="L4226" s="94" t="str">
        <f t="shared" si="2"/>
        <v>No infirmation</v>
      </c>
      <c r="M4226" s="94" t="str">
        <f t="shared" si="3"/>
        <v/>
      </c>
    </row>
    <row r="4227" ht="15.75" customHeight="1">
      <c r="B4227" s="77">
        <f t="shared" si="1"/>
        <v>0</v>
      </c>
      <c r="C4227" s="67"/>
      <c r="D4227" s="78"/>
      <c r="E4227" s="101"/>
      <c r="F4227" s="108"/>
      <c r="G4227" s="120"/>
      <c r="H4227" s="101"/>
      <c r="I4227" s="93"/>
      <c r="J4227" s="91"/>
      <c r="L4227" s="94" t="str">
        <f t="shared" si="2"/>
        <v>No infirmation</v>
      </c>
      <c r="M4227" s="94" t="str">
        <f t="shared" si="3"/>
        <v/>
      </c>
    </row>
    <row r="4228" ht="15.75" customHeight="1">
      <c r="B4228" s="77">
        <f t="shared" si="1"/>
        <v>0</v>
      </c>
      <c r="C4228" s="67"/>
      <c r="D4228" s="78"/>
      <c r="E4228" s="101"/>
      <c r="F4228" s="108"/>
      <c r="G4228" s="120"/>
      <c r="H4228" s="101"/>
      <c r="I4228" s="93"/>
      <c r="J4228" s="91"/>
      <c r="L4228" s="94" t="str">
        <f t="shared" si="2"/>
        <v>No infirmation</v>
      </c>
      <c r="M4228" s="94" t="str">
        <f t="shared" si="3"/>
        <v/>
      </c>
    </row>
    <row r="4229" ht="15.75" customHeight="1">
      <c r="B4229" s="77">
        <f t="shared" si="1"/>
        <v>0</v>
      </c>
      <c r="C4229" s="67"/>
      <c r="D4229" s="78"/>
      <c r="E4229" s="101"/>
      <c r="F4229" s="108"/>
      <c r="G4229" s="120"/>
      <c r="H4229" s="101"/>
      <c r="I4229" s="93"/>
      <c r="J4229" s="91"/>
      <c r="L4229" s="94" t="str">
        <f t="shared" si="2"/>
        <v>No infirmation</v>
      </c>
      <c r="M4229" s="94" t="str">
        <f t="shared" si="3"/>
        <v/>
      </c>
    </row>
    <row r="4230" ht="15.75" customHeight="1">
      <c r="B4230" s="77">
        <f t="shared" si="1"/>
        <v>0</v>
      </c>
      <c r="C4230" s="67"/>
      <c r="D4230" s="78"/>
      <c r="E4230" s="101"/>
      <c r="F4230" s="108"/>
      <c r="G4230" s="120"/>
      <c r="H4230" s="101"/>
      <c r="I4230" s="93"/>
      <c r="J4230" s="91"/>
      <c r="L4230" s="94" t="str">
        <f t="shared" si="2"/>
        <v>No infirmation</v>
      </c>
      <c r="M4230" s="94" t="str">
        <f t="shared" si="3"/>
        <v/>
      </c>
    </row>
    <row r="4231" ht="15.75" customHeight="1">
      <c r="B4231" s="77">
        <f t="shared" si="1"/>
        <v>0</v>
      </c>
      <c r="C4231" s="67"/>
      <c r="D4231" s="78"/>
      <c r="E4231" s="101"/>
      <c r="F4231" s="108"/>
      <c r="G4231" s="120"/>
      <c r="H4231" s="101"/>
      <c r="I4231" s="93"/>
      <c r="J4231" s="91"/>
      <c r="L4231" s="94" t="str">
        <f t="shared" si="2"/>
        <v>No infirmation</v>
      </c>
      <c r="M4231" s="94" t="str">
        <f t="shared" si="3"/>
        <v/>
      </c>
    </row>
    <row r="4232" ht="15.75" customHeight="1">
      <c r="B4232" s="77">
        <f t="shared" si="1"/>
        <v>0</v>
      </c>
      <c r="C4232" s="67"/>
      <c r="D4232" s="78"/>
      <c r="E4232" s="101"/>
      <c r="F4232" s="108"/>
      <c r="G4232" s="120"/>
      <c r="H4232" s="101"/>
      <c r="I4232" s="93"/>
      <c r="J4232" s="91"/>
      <c r="L4232" s="94" t="str">
        <f t="shared" si="2"/>
        <v>No infirmation</v>
      </c>
      <c r="M4232" s="94" t="str">
        <f t="shared" si="3"/>
        <v/>
      </c>
    </row>
    <row r="4233" ht="15.75" customHeight="1">
      <c r="B4233" s="77">
        <f t="shared" si="1"/>
        <v>0</v>
      </c>
      <c r="C4233" s="67"/>
      <c r="D4233" s="78"/>
      <c r="E4233" s="101"/>
      <c r="F4233" s="108"/>
      <c r="G4233" s="120"/>
      <c r="H4233" s="101"/>
      <c r="I4233" s="93"/>
      <c r="J4233" s="91"/>
      <c r="L4233" s="94" t="str">
        <f t="shared" si="2"/>
        <v>No infirmation</v>
      </c>
      <c r="M4233" s="94" t="str">
        <f t="shared" si="3"/>
        <v/>
      </c>
    </row>
    <row r="4234" ht="15.75" customHeight="1">
      <c r="B4234" s="77">
        <f t="shared" si="1"/>
        <v>0</v>
      </c>
      <c r="C4234" s="67"/>
      <c r="D4234" s="78"/>
      <c r="E4234" s="101"/>
      <c r="F4234" s="108"/>
      <c r="G4234" s="120"/>
      <c r="H4234" s="101"/>
      <c r="I4234" s="93"/>
      <c r="J4234" s="91"/>
      <c r="L4234" s="94" t="str">
        <f t="shared" si="2"/>
        <v>No infirmation</v>
      </c>
      <c r="M4234" s="94" t="str">
        <f t="shared" si="3"/>
        <v/>
      </c>
    </row>
    <row r="4235" ht="15.75" customHeight="1">
      <c r="B4235" s="77">
        <f t="shared" si="1"/>
        <v>0</v>
      </c>
      <c r="C4235" s="67"/>
      <c r="D4235" s="78"/>
      <c r="E4235" s="101"/>
      <c r="F4235" s="108"/>
      <c r="G4235" s="120"/>
      <c r="H4235" s="101"/>
      <c r="I4235" s="93"/>
      <c r="J4235" s="91"/>
      <c r="L4235" s="94" t="str">
        <f t="shared" si="2"/>
        <v>No infirmation</v>
      </c>
      <c r="M4235" s="94" t="str">
        <f t="shared" si="3"/>
        <v/>
      </c>
    </row>
    <row r="4236" ht="15.75" customHeight="1">
      <c r="B4236" s="77">
        <f t="shared" si="1"/>
        <v>0</v>
      </c>
      <c r="C4236" s="67"/>
      <c r="D4236" s="78"/>
      <c r="E4236" s="101"/>
      <c r="F4236" s="108"/>
      <c r="G4236" s="120"/>
      <c r="H4236" s="101"/>
      <c r="I4236" s="93"/>
      <c r="J4236" s="91"/>
      <c r="L4236" s="94" t="str">
        <f t="shared" si="2"/>
        <v>No infirmation</v>
      </c>
      <c r="M4236" s="94" t="str">
        <f t="shared" si="3"/>
        <v/>
      </c>
    </row>
    <row r="4237" ht="15.75" customHeight="1">
      <c r="B4237" s="77">
        <f t="shared" si="1"/>
        <v>0</v>
      </c>
      <c r="C4237" s="67"/>
      <c r="D4237" s="78"/>
      <c r="E4237" s="101"/>
      <c r="F4237" s="108"/>
      <c r="G4237" s="120"/>
      <c r="H4237" s="101"/>
      <c r="I4237" s="93"/>
      <c r="J4237" s="91"/>
      <c r="L4237" s="94" t="str">
        <f t="shared" si="2"/>
        <v>No infirmation</v>
      </c>
      <c r="M4237" s="94" t="str">
        <f t="shared" si="3"/>
        <v/>
      </c>
    </row>
    <row r="4238" ht="15.75" customHeight="1">
      <c r="B4238" s="77">
        <f t="shared" si="1"/>
        <v>0</v>
      </c>
      <c r="C4238" s="67"/>
      <c r="D4238" s="78"/>
      <c r="E4238" s="101"/>
      <c r="F4238" s="108"/>
      <c r="G4238" s="120"/>
      <c r="H4238" s="101"/>
      <c r="I4238" s="93"/>
      <c r="J4238" s="91"/>
      <c r="L4238" s="94" t="str">
        <f t="shared" si="2"/>
        <v>No infirmation</v>
      </c>
      <c r="M4238" s="94" t="str">
        <f t="shared" si="3"/>
        <v/>
      </c>
    </row>
    <row r="4239" ht="15.75" customHeight="1">
      <c r="B4239" s="77">
        <f t="shared" si="1"/>
        <v>0</v>
      </c>
      <c r="C4239" s="67"/>
      <c r="D4239" s="78"/>
      <c r="E4239" s="101"/>
      <c r="F4239" s="108"/>
      <c r="G4239" s="120"/>
      <c r="H4239" s="101"/>
      <c r="I4239" s="93"/>
      <c r="J4239" s="91"/>
      <c r="L4239" s="94" t="str">
        <f t="shared" si="2"/>
        <v>No infirmation</v>
      </c>
      <c r="M4239" s="94" t="str">
        <f t="shared" si="3"/>
        <v/>
      </c>
    </row>
    <row r="4240" ht="15.75" customHeight="1">
      <c r="B4240" s="77">
        <f t="shared" si="1"/>
        <v>0</v>
      </c>
      <c r="C4240" s="67"/>
      <c r="D4240" s="78"/>
      <c r="E4240" s="101"/>
      <c r="F4240" s="108"/>
      <c r="G4240" s="120"/>
      <c r="H4240" s="101"/>
      <c r="I4240" s="93"/>
      <c r="J4240" s="91"/>
      <c r="L4240" s="94" t="str">
        <f t="shared" si="2"/>
        <v>No infirmation</v>
      </c>
      <c r="M4240" s="94" t="str">
        <f t="shared" si="3"/>
        <v/>
      </c>
    </row>
    <row r="4241" ht="15.75" customHeight="1">
      <c r="B4241" s="77">
        <f t="shared" si="1"/>
        <v>0</v>
      </c>
      <c r="C4241" s="67"/>
      <c r="D4241" s="78"/>
      <c r="E4241" s="101"/>
      <c r="F4241" s="108"/>
      <c r="G4241" s="120"/>
      <c r="H4241" s="101"/>
      <c r="I4241" s="93"/>
      <c r="J4241" s="91"/>
      <c r="L4241" s="94" t="str">
        <f t="shared" si="2"/>
        <v>No infirmation</v>
      </c>
      <c r="M4241" s="94" t="str">
        <f t="shared" si="3"/>
        <v/>
      </c>
    </row>
    <row r="4242" ht="15.75" customHeight="1">
      <c r="B4242" s="77">
        <f t="shared" si="1"/>
        <v>0</v>
      </c>
      <c r="C4242" s="67"/>
      <c r="D4242" s="78"/>
      <c r="E4242" s="101"/>
      <c r="F4242" s="108"/>
      <c r="G4242" s="120"/>
      <c r="H4242" s="101"/>
      <c r="I4242" s="93"/>
      <c r="J4242" s="91"/>
      <c r="L4242" s="94" t="str">
        <f t="shared" si="2"/>
        <v>No infirmation</v>
      </c>
      <c r="M4242" s="94" t="str">
        <f t="shared" si="3"/>
        <v/>
      </c>
    </row>
    <row r="4243" ht="15.75" customHeight="1">
      <c r="B4243" s="77">
        <f t="shared" si="1"/>
        <v>0</v>
      </c>
      <c r="C4243" s="67"/>
      <c r="D4243" s="78"/>
      <c r="E4243" s="101"/>
      <c r="F4243" s="108"/>
      <c r="G4243" s="120"/>
      <c r="H4243" s="101"/>
      <c r="I4243" s="93"/>
      <c r="J4243" s="91"/>
      <c r="L4243" s="94" t="str">
        <f t="shared" si="2"/>
        <v>No infirmation</v>
      </c>
      <c r="M4243" s="94" t="str">
        <f t="shared" si="3"/>
        <v/>
      </c>
    </row>
    <row r="4244" ht="15.75" customHeight="1">
      <c r="B4244" s="77">
        <f t="shared" si="1"/>
        <v>0</v>
      </c>
      <c r="C4244" s="67"/>
      <c r="D4244" s="78"/>
      <c r="E4244" s="101"/>
      <c r="F4244" s="108"/>
      <c r="G4244" s="120"/>
      <c r="H4244" s="101"/>
      <c r="I4244" s="93"/>
      <c r="J4244" s="91"/>
      <c r="L4244" s="94" t="str">
        <f t="shared" si="2"/>
        <v>No infirmation</v>
      </c>
      <c r="M4244" s="94" t="str">
        <f t="shared" si="3"/>
        <v/>
      </c>
    </row>
    <row r="4245" ht="15.75" customHeight="1">
      <c r="B4245" s="77">
        <f t="shared" si="1"/>
        <v>0</v>
      </c>
      <c r="C4245" s="67"/>
      <c r="D4245" s="78"/>
      <c r="E4245" s="101"/>
      <c r="F4245" s="108"/>
      <c r="G4245" s="120"/>
      <c r="H4245" s="101"/>
      <c r="I4245" s="93"/>
      <c r="J4245" s="91"/>
      <c r="L4245" s="94" t="str">
        <f t="shared" si="2"/>
        <v>No infirmation</v>
      </c>
      <c r="M4245" s="94" t="str">
        <f t="shared" si="3"/>
        <v/>
      </c>
    </row>
    <row r="4246" ht="15.75" customHeight="1">
      <c r="B4246" s="77">
        <f t="shared" si="1"/>
        <v>0</v>
      </c>
      <c r="C4246" s="67"/>
      <c r="D4246" s="78"/>
      <c r="E4246" s="101"/>
      <c r="F4246" s="108"/>
      <c r="G4246" s="120"/>
      <c r="H4246" s="101"/>
      <c r="I4246" s="93"/>
      <c r="J4246" s="91"/>
      <c r="L4246" s="94" t="str">
        <f t="shared" si="2"/>
        <v>No infirmation</v>
      </c>
      <c r="M4246" s="94" t="str">
        <f t="shared" si="3"/>
        <v/>
      </c>
    </row>
    <row r="4247" ht="15.75" customHeight="1">
      <c r="B4247" s="77">
        <f t="shared" si="1"/>
        <v>0</v>
      </c>
      <c r="C4247" s="67"/>
      <c r="D4247" s="78"/>
      <c r="E4247" s="101"/>
      <c r="F4247" s="108"/>
      <c r="G4247" s="120"/>
      <c r="H4247" s="101"/>
      <c r="I4247" s="93"/>
      <c r="J4247" s="91"/>
      <c r="L4247" s="94" t="str">
        <f t="shared" si="2"/>
        <v>No infirmation</v>
      </c>
      <c r="M4247" s="94" t="str">
        <f t="shared" si="3"/>
        <v/>
      </c>
    </row>
    <row r="4248" ht="15.75" customHeight="1">
      <c r="B4248" s="77">
        <f t="shared" si="1"/>
        <v>0</v>
      </c>
      <c r="C4248" s="67"/>
      <c r="D4248" s="78"/>
      <c r="E4248" s="101"/>
      <c r="F4248" s="108"/>
      <c r="G4248" s="120"/>
      <c r="H4248" s="101"/>
      <c r="I4248" s="93"/>
      <c r="J4248" s="91"/>
      <c r="L4248" s="94" t="str">
        <f t="shared" si="2"/>
        <v>No infirmation</v>
      </c>
      <c r="M4248" s="94" t="str">
        <f t="shared" si="3"/>
        <v/>
      </c>
    </row>
    <row r="4249" ht="15.75" customHeight="1">
      <c r="B4249" s="77">
        <f t="shared" si="1"/>
        <v>0</v>
      </c>
      <c r="C4249" s="67"/>
      <c r="D4249" s="78"/>
      <c r="E4249" s="101"/>
      <c r="F4249" s="108"/>
      <c r="G4249" s="120"/>
      <c r="H4249" s="101"/>
      <c r="I4249" s="93"/>
      <c r="J4249" s="91"/>
      <c r="L4249" s="94" t="str">
        <f t="shared" si="2"/>
        <v>No infirmation</v>
      </c>
      <c r="M4249" s="94" t="str">
        <f t="shared" si="3"/>
        <v/>
      </c>
    </row>
    <row r="4250" ht="15.75" customHeight="1">
      <c r="B4250" s="77">
        <f t="shared" si="1"/>
        <v>0</v>
      </c>
      <c r="C4250" s="67"/>
      <c r="D4250" s="78"/>
      <c r="E4250" s="101"/>
      <c r="F4250" s="108"/>
      <c r="G4250" s="120"/>
      <c r="H4250" s="101"/>
      <c r="I4250" s="93"/>
      <c r="J4250" s="91"/>
      <c r="L4250" s="94" t="str">
        <f t="shared" si="2"/>
        <v>No infirmation</v>
      </c>
      <c r="M4250" s="94" t="str">
        <f t="shared" si="3"/>
        <v/>
      </c>
    </row>
    <row r="4251" ht="15.75" customHeight="1">
      <c r="B4251" s="77">
        <f t="shared" si="1"/>
        <v>0</v>
      </c>
      <c r="C4251" s="67"/>
      <c r="D4251" s="78"/>
      <c r="E4251" s="101"/>
      <c r="F4251" s="108"/>
      <c r="G4251" s="120"/>
      <c r="H4251" s="101"/>
      <c r="I4251" s="93"/>
      <c r="J4251" s="91"/>
      <c r="L4251" s="94" t="str">
        <f t="shared" si="2"/>
        <v>No infirmation</v>
      </c>
      <c r="M4251" s="94" t="str">
        <f t="shared" si="3"/>
        <v/>
      </c>
    </row>
    <row r="4252" ht="15.75" customHeight="1">
      <c r="B4252" s="77">
        <f t="shared" si="1"/>
        <v>0</v>
      </c>
      <c r="C4252" s="67"/>
      <c r="D4252" s="78"/>
      <c r="E4252" s="101"/>
      <c r="F4252" s="108"/>
      <c r="G4252" s="120"/>
      <c r="H4252" s="101"/>
      <c r="I4252" s="93"/>
      <c r="J4252" s="91"/>
      <c r="L4252" s="94" t="str">
        <f t="shared" si="2"/>
        <v>No infirmation</v>
      </c>
      <c r="M4252" s="94" t="str">
        <f t="shared" si="3"/>
        <v/>
      </c>
    </row>
    <row r="4253" ht="15.75" customHeight="1">
      <c r="B4253" s="77">
        <f t="shared" si="1"/>
        <v>0</v>
      </c>
      <c r="C4253" s="67"/>
      <c r="D4253" s="78"/>
      <c r="E4253" s="101"/>
      <c r="F4253" s="108"/>
      <c r="G4253" s="120"/>
      <c r="H4253" s="101"/>
      <c r="I4253" s="93"/>
      <c r="J4253" s="91"/>
      <c r="L4253" s="94" t="str">
        <f t="shared" si="2"/>
        <v>No infirmation</v>
      </c>
      <c r="M4253" s="94" t="str">
        <f t="shared" si="3"/>
        <v/>
      </c>
    </row>
    <row r="4254" ht="15.75" customHeight="1">
      <c r="B4254" s="77">
        <f t="shared" si="1"/>
        <v>0</v>
      </c>
      <c r="C4254" s="67"/>
      <c r="D4254" s="78"/>
      <c r="E4254" s="101"/>
      <c r="F4254" s="108"/>
      <c r="G4254" s="120"/>
      <c r="H4254" s="101"/>
      <c r="I4254" s="93"/>
      <c r="J4254" s="91"/>
      <c r="L4254" s="94" t="str">
        <f t="shared" si="2"/>
        <v>No infirmation</v>
      </c>
      <c r="M4254" s="94" t="str">
        <f t="shared" si="3"/>
        <v/>
      </c>
    </row>
    <row r="4255" ht="15.75" customHeight="1">
      <c r="B4255" s="77">
        <f t="shared" si="1"/>
        <v>0</v>
      </c>
      <c r="C4255" s="67"/>
      <c r="D4255" s="78"/>
      <c r="E4255" s="101"/>
      <c r="F4255" s="108"/>
      <c r="G4255" s="120"/>
      <c r="H4255" s="101"/>
      <c r="I4255" s="93"/>
      <c r="J4255" s="91"/>
      <c r="L4255" s="94" t="str">
        <f t="shared" si="2"/>
        <v>No infirmation</v>
      </c>
      <c r="M4255" s="94" t="str">
        <f t="shared" si="3"/>
        <v/>
      </c>
    </row>
    <row r="4256" ht="15.75" customHeight="1">
      <c r="B4256" s="77">
        <f t="shared" si="1"/>
        <v>0</v>
      </c>
      <c r="C4256" s="67"/>
      <c r="D4256" s="78"/>
      <c r="E4256" s="101"/>
      <c r="F4256" s="108"/>
      <c r="G4256" s="120"/>
      <c r="H4256" s="101"/>
      <c r="I4256" s="93"/>
      <c r="J4256" s="91"/>
      <c r="L4256" s="94" t="str">
        <f t="shared" si="2"/>
        <v>No infirmation</v>
      </c>
      <c r="M4256" s="94" t="str">
        <f t="shared" si="3"/>
        <v/>
      </c>
    </row>
    <row r="4257" ht="15.75" customHeight="1">
      <c r="B4257" s="77">
        <f t="shared" si="1"/>
        <v>0</v>
      </c>
      <c r="C4257" s="67"/>
      <c r="D4257" s="78"/>
      <c r="E4257" s="101"/>
      <c r="F4257" s="108"/>
      <c r="G4257" s="120"/>
      <c r="H4257" s="101"/>
      <c r="I4257" s="93"/>
      <c r="J4257" s="91"/>
      <c r="L4257" s="94" t="str">
        <f t="shared" si="2"/>
        <v>No infirmation</v>
      </c>
      <c r="M4257" s="94" t="str">
        <f t="shared" si="3"/>
        <v/>
      </c>
    </row>
    <row r="4258" ht="15.75" customHeight="1">
      <c r="B4258" s="77">
        <f t="shared" si="1"/>
        <v>0</v>
      </c>
      <c r="C4258" s="67"/>
      <c r="D4258" s="78"/>
      <c r="E4258" s="101"/>
      <c r="F4258" s="108"/>
      <c r="G4258" s="120"/>
      <c r="H4258" s="101"/>
      <c r="I4258" s="93"/>
      <c r="J4258" s="91"/>
      <c r="L4258" s="94" t="str">
        <f t="shared" si="2"/>
        <v>No infirmation</v>
      </c>
      <c r="M4258" s="94" t="str">
        <f t="shared" si="3"/>
        <v/>
      </c>
    </row>
    <row r="4259" ht="15.75" customHeight="1">
      <c r="B4259" s="77">
        <f t="shared" si="1"/>
        <v>0</v>
      </c>
      <c r="C4259" s="67"/>
      <c r="D4259" s="78"/>
      <c r="E4259" s="101"/>
      <c r="F4259" s="108"/>
      <c r="G4259" s="120"/>
      <c r="H4259" s="101"/>
      <c r="I4259" s="93"/>
      <c r="J4259" s="91"/>
      <c r="L4259" s="94" t="str">
        <f t="shared" si="2"/>
        <v>No infirmation</v>
      </c>
      <c r="M4259" s="94" t="str">
        <f t="shared" si="3"/>
        <v/>
      </c>
    </row>
    <row r="4260" ht="15.75" customHeight="1">
      <c r="B4260" s="77">
        <f t="shared" si="1"/>
        <v>0</v>
      </c>
      <c r="C4260" s="67"/>
      <c r="D4260" s="78"/>
      <c r="E4260" s="101"/>
      <c r="F4260" s="108"/>
      <c r="G4260" s="120"/>
      <c r="H4260" s="101"/>
      <c r="I4260" s="93"/>
      <c r="J4260" s="91"/>
      <c r="L4260" s="94" t="str">
        <f t="shared" si="2"/>
        <v>No infirmation</v>
      </c>
      <c r="M4260" s="94" t="str">
        <f t="shared" si="3"/>
        <v/>
      </c>
    </row>
    <row r="4261" ht="15.75" customHeight="1">
      <c r="B4261" s="77">
        <f t="shared" si="1"/>
        <v>0</v>
      </c>
      <c r="C4261" s="67"/>
      <c r="D4261" s="78"/>
      <c r="E4261" s="101"/>
      <c r="F4261" s="108"/>
      <c r="G4261" s="120"/>
      <c r="H4261" s="101"/>
      <c r="I4261" s="93"/>
      <c r="J4261" s="91"/>
      <c r="L4261" s="94" t="str">
        <f t="shared" si="2"/>
        <v>No infirmation</v>
      </c>
      <c r="M4261" s="94" t="str">
        <f t="shared" si="3"/>
        <v/>
      </c>
    </row>
    <row r="4262" ht="15.75" customHeight="1">
      <c r="B4262" s="77">
        <f t="shared" si="1"/>
        <v>0</v>
      </c>
      <c r="C4262" s="67"/>
      <c r="D4262" s="78"/>
      <c r="E4262" s="101"/>
      <c r="F4262" s="108"/>
      <c r="G4262" s="120"/>
      <c r="H4262" s="101"/>
      <c r="I4262" s="93"/>
      <c r="J4262" s="91"/>
      <c r="L4262" s="94" t="str">
        <f t="shared" si="2"/>
        <v>No infirmation</v>
      </c>
      <c r="M4262" s="94" t="str">
        <f t="shared" si="3"/>
        <v/>
      </c>
    </row>
    <row r="4263" ht="15.75" customHeight="1">
      <c r="B4263" s="77">
        <f t="shared" si="1"/>
        <v>0</v>
      </c>
      <c r="C4263" s="67"/>
      <c r="D4263" s="78"/>
      <c r="E4263" s="101"/>
      <c r="F4263" s="108"/>
      <c r="G4263" s="120"/>
      <c r="H4263" s="101"/>
      <c r="I4263" s="93"/>
      <c r="J4263" s="91"/>
      <c r="L4263" s="94" t="str">
        <f t="shared" si="2"/>
        <v>No infirmation</v>
      </c>
      <c r="M4263" s="94" t="str">
        <f t="shared" si="3"/>
        <v/>
      </c>
    </row>
    <row r="4264" ht="15.75" customHeight="1">
      <c r="B4264" s="77">
        <f t="shared" si="1"/>
        <v>0</v>
      </c>
      <c r="C4264" s="67"/>
      <c r="D4264" s="78"/>
      <c r="E4264" s="101"/>
      <c r="F4264" s="108"/>
      <c r="G4264" s="120"/>
      <c r="H4264" s="101"/>
      <c r="I4264" s="93"/>
      <c r="J4264" s="91"/>
      <c r="L4264" s="94" t="str">
        <f t="shared" si="2"/>
        <v>No infirmation</v>
      </c>
      <c r="M4264" s="94" t="str">
        <f t="shared" si="3"/>
        <v/>
      </c>
    </row>
    <row r="4265" ht="15.75" customHeight="1">
      <c r="B4265" s="77">
        <f t="shared" si="1"/>
        <v>0</v>
      </c>
      <c r="C4265" s="67"/>
      <c r="D4265" s="78"/>
      <c r="E4265" s="101"/>
      <c r="F4265" s="108"/>
      <c r="G4265" s="120"/>
      <c r="H4265" s="101"/>
      <c r="I4265" s="93"/>
      <c r="J4265" s="91"/>
      <c r="L4265" s="94" t="str">
        <f t="shared" si="2"/>
        <v>No infirmation</v>
      </c>
      <c r="M4265" s="94" t="str">
        <f t="shared" si="3"/>
        <v/>
      </c>
    </row>
    <row r="4266" ht="15.75" customHeight="1">
      <c r="B4266" s="77">
        <f t="shared" si="1"/>
        <v>0</v>
      </c>
      <c r="C4266" s="67"/>
      <c r="D4266" s="78"/>
      <c r="E4266" s="101"/>
      <c r="F4266" s="108"/>
      <c r="G4266" s="120"/>
      <c r="H4266" s="101"/>
      <c r="I4266" s="93"/>
      <c r="J4266" s="91"/>
      <c r="L4266" s="94" t="str">
        <f t="shared" si="2"/>
        <v>No infirmation</v>
      </c>
      <c r="M4266" s="94" t="str">
        <f t="shared" si="3"/>
        <v/>
      </c>
    </row>
    <row r="4267" ht="15.75" customHeight="1">
      <c r="B4267" s="77">
        <f t="shared" si="1"/>
        <v>0</v>
      </c>
      <c r="C4267" s="67"/>
      <c r="D4267" s="78"/>
      <c r="E4267" s="101"/>
      <c r="F4267" s="108"/>
      <c r="G4267" s="120"/>
      <c r="H4267" s="101"/>
      <c r="I4267" s="93"/>
      <c r="J4267" s="91"/>
      <c r="L4267" s="94" t="str">
        <f t="shared" si="2"/>
        <v>No infirmation</v>
      </c>
      <c r="M4267" s="94" t="str">
        <f t="shared" si="3"/>
        <v/>
      </c>
    </row>
    <row r="4268" ht="15.75" customHeight="1">
      <c r="B4268" s="77">
        <f t="shared" si="1"/>
        <v>0</v>
      </c>
      <c r="C4268" s="67"/>
      <c r="D4268" s="78"/>
      <c r="E4268" s="101"/>
      <c r="F4268" s="108"/>
      <c r="G4268" s="120"/>
      <c r="H4268" s="101"/>
      <c r="I4268" s="93"/>
      <c r="J4268" s="91"/>
      <c r="L4268" s="94" t="str">
        <f t="shared" si="2"/>
        <v>No infirmation</v>
      </c>
      <c r="M4268" s="94" t="str">
        <f t="shared" si="3"/>
        <v/>
      </c>
    </row>
    <row r="4269" ht="15.75" customHeight="1">
      <c r="B4269" s="77">
        <f t="shared" si="1"/>
        <v>0</v>
      </c>
      <c r="C4269" s="67"/>
      <c r="D4269" s="78"/>
      <c r="E4269" s="101"/>
      <c r="F4269" s="108"/>
      <c r="G4269" s="120"/>
      <c r="H4269" s="101"/>
      <c r="I4269" s="93"/>
      <c r="J4269" s="91"/>
      <c r="L4269" s="94" t="str">
        <f t="shared" si="2"/>
        <v>No infirmation</v>
      </c>
      <c r="M4269" s="94" t="str">
        <f t="shared" si="3"/>
        <v/>
      </c>
    </row>
    <row r="4270" ht="15.75" customHeight="1">
      <c r="B4270" s="77">
        <f t="shared" si="1"/>
        <v>0</v>
      </c>
      <c r="C4270" s="67"/>
      <c r="D4270" s="78"/>
      <c r="E4270" s="101"/>
      <c r="F4270" s="108"/>
      <c r="G4270" s="120"/>
      <c r="H4270" s="101"/>
      <c r="I4270" s="93"/>
      <c r="J4270" s="91"/>
      <c r="L4270" s="94" t="str">
        <f t="shared" si="2"/>
        <v>No infirmation</v>
      </c>
      <c r="M4270" s="94" t="str">
        <f t="shared" si="3"/>
        <v/>
      </c>
    </row>
    <row r="4271" ht="15.75" customHeight="1">
      <c r="B4271" s="77">
        <f t="shared" si="1"/>
        <v>0</v>
      </c>
      <c r="C4271" s="67"/>
      <c r="D4271" s="78"/>
      <c r="E4271" s="101"/>
      <c r="F4271" s="108"/>
      <c r="G4271" s="120"/>
      <c r="H4271" s="101"/>
      <c r="I4271" s="93"/>
      <c r="J4271" s="91"/>
      <c r="L4271" s="94" t="str">
        <f t="shared" si="2"/>
        <v>No infirmation</v>
      </c>
      <c r="M4271" s="94" t="str">
        <f t="shared" si="3"/>
        <v/>
      </c>
    </row>
    <row r="4272" ht="15.75" customHeight="1">
      <c r="B4272" s="77">
        <f t="shared" si="1"/>
        <v>0</v>
      </c>
      <c r="C4272" s="67"/>
      <c r="D4272" s="78"/>
      <c r="E4272" s="101"/>
      <c r="F4272" s="108"/>
      <c r="G4272" s="120"/>
      <c r="H4272" s="101"/>
      <c r="I4272" s="93"/>
      <c r="J4272" s="91"/>
      <c r="L4272" s="94" t="str">
        <f t="shared" si="2"/>
        <v>No infirmation</v>
      </c>
      <c r="M4272" s="94" t="str">
        <f t="shared" si="3"/>
        <v/>
      </c>
    </row>
    <row r="4273" ht="15.75" customHeight="1">
      <c r="B4273" s="77">
        <f t="shared" si="1"/>
        <v>0</v>
      </c>
      <c r="C4273" s="67"/>
      <c r="D4273" s="78"/>
      <c r="E4273" s="101"/>
      <c r="F4273" s="108"/>
      <c r="G4273" s="120"/>
      <c r="H4273" s="101"/>
      <c r="I4273" s="93"/>
      <c r="J4273" s="91"/>
      <c r="L4273" s="94" t="str">
        <f t="shared" si="2"/>
        <v>No infirmation</v>
      </c>
      <c r="M4273" s="94" t="str">
        <f t="shared" si="3"/>
        <v/>
      </c>
    </row>
    <row r="4274" ht="15.75" customHeight="1">
      <c r="B4274" s="77">
        <f t="shared" si="1"/>
        <v>0</v>
      </c>
      <c r="C4274" s="67"/>
      <c r="D4274" s="78"/>
      <c r="E4274" s="101"/>
      <c r="F4274" s="108"/>
      <c r="G4274" s="120"/>
      <c r="H4274" s="101"/>
      <c r="I4274" s="93"/>
      <c r="J4274" s="91"/>
      <c r="L4274" s="94" t="str">
        <f t="shared" si="2"/>
        <v>No infirmation</v>
      </c>
      <c r="M4274" s="94" t="str">
        <f t="shared" si="3"/>
        <v/>
      </c>
    </row>
    <row r="4275" ht="15.75" customHeight="1">
      <c r="B4275" s="77">
        <f t="shared" si="1"/>
        <v>0</v>
      </c>
      <c r="C4275" s="67"/>
      <c r="D4275" s="78"/>
      <c r="E4275" s="101"/>
      <c r="F4275" s="108"/>
      <c r="G4275" s="120"/>
      <c r="H4275" s="101"/>
      <c r="I4275" s="93"/>
      <c r="J4275" s="91"/>
      <c r="L4275" s="94" t="str">
        <f t="shared" si="2"/>
        <v>No infirmation</v>
      </c>
      <c r="M4275" s="94" t="str">
        <f t="shared" si="3"/>
        <v/>
      </c>
    </row>
    <row r="4276" ht="15.75" customHeight="1">
      <c r="B4276" s="77">
        <f t="shared" si="1"/>
        <v>0</v>
      </c>
      <c r="C4276" s="67"/>
      <c r="D4276" s="78"/>
      <c r="E4276" s="101"/>
      <c r="F4276" s="108"/>
      <c r="G4276" s="120"/>
      <c r="H4276" s="101"/>
      <c r="I4276" s="93"/>
      <c r="J4276" s="91"/>
      <c r="L4276" s="94" t="str">
        <f t="shared" si="2"/>
        <v>No infirmation</v>
      </c>
      <c r="M4276" s="94" t="str">
        <f t="shared" si="3"/>
        <v/>
      </c>
    </row>
    <row r="4277" ht="15.75" customHeight="1">
      <c r="B4277" s="77">
        <f t="shared" si="1"/>
        <v>0</v>
      </c>
      <c r="C4277" s="67"/>
      <c r="D4277" s="78"/>
      <c r="E4277" s="101"/>
      <c r="F4277" s="108"/>
      <c r="G4277" s="120"/>
      <c r="H4277" s="101"/>
      <c r="I4277" s="93"/>
      <c r="J4277" s="91"/>
      <c r="L4277" s="94" t="str">
        <f t="shared" si="2"/>
        <v>No infirmation</v>
      </c>
      <c r="M4277" s="94" t="str">
        <f t="shared" si="3"/>
        <v/>
      </c>
    </row>
    <row r="4278" ht="15.75" customHeight="1">
      <c r="B4278" s="77">
        <f t="shared" si="1"/>
        <v>0</v>
      </c>
      <c r="C4278" s="67"/>
      <c r="D4278" s="78"/>
      <c r="E4278" s="101"/>
      <c r="F4278" s="108"/>
      <c r="G4278" s="120"/>
      <c r="H4278" s="101"/>
      <c r="I4278" s="93"/>
      <c r="J4278" s="91"/>
      <c r="L4278" s="94" t="str">
        <f t="shared" si="2"/>
        <v>No infirmation</v>
      </c>
      <c r="M4278" s="94" t="str">
        <f t="shared" si="3"/>
        <v/>
      </c>
    </row>
    <row r="4279" ht="15.75" customHeight="1">
      <c r="B4279" s="77">
        <f t="shared" si="1"/>
        <v>0</v>
      </c>
      <c r="C4279" s="67"/>
      <c r="D4279" s="78"/>
      <c r="E4279" s="101"/>
      <c r="F4279" s="108"/>
      <c r="G4279" s="120"/>
      <c r="H4279" s="101"/>
      <c r="I4279" s="93"/>
      <c r="J4279" s="91"/>
      <c r="L4279" s="94" t="str">
        <f t="shared" si="2"/>
        <v>No infirmation</v>
      </c>
      <c r="M4279" s="94" t="str">
        <f t="shared" si="3"/>
        <v/>
      </c>
    </row>
    <row r="4280" ht="15.75" customHeight="1">
      <c r="B4280" s="77">
        <f t="shared" si="1"/>
        <v>0</v>
      </c>
      <c r="C4280" s="67"/>
      <c r="D4280" s="78"/>
      <c r="E4280" s="101"/>
      <c r="F4280" s="108"/>
      <c r="G4280" s="120"/>
      <c r="H4280" s="101"/>
      <c r="I4280" s="93"/>
      <c r="J4280" s="91"/>
      <c r="L4280" s="94" t="str">
        <f t="shared" si="2"/>
        <v>No infirmation</v>
      </c>
      <c r="M4280" s="94" t="str">
        <f t="shared" si="3"/>
        <v/>
      </c>
    </row>
    <row r="4281" ht="15.75" customHeight="1">
      <c r="B4281" s="77">
        <f t="shared" si="1"/>
        <v>0</v>
      </c>
      <c r="C4281" s="67"/>
      <c r="D4281" s="78"/>
      <c r="E4281" s="101"/>
      <c r="F4281" s="108"/>
      <c r="G4281" s="120"/>
      <c r="H4281" s="101"/>
      <c r="I4281" s="93"/>
      <c r="J4281" s="91"/>
      <c r="L4281" s="94" t="str">
        <f t="shared" si="2"/>
        <v>No infirmation</v>
      </c>
      <c r="M4281" s="94" t="str">
        <f t="shared" si="3"/>
        <v/>
      </c>
    </row>
    <row r="4282" ht="15.75" customHeight="1">
      <c r="B4282" s="77">
        <f t="shared" si="1"/>
        <v>0</v>
      </c>
      <c r="C4282" s="67"/>
      <c r="D4282" s="78"/>
      <c r="E4282" s="101"/>
      <c r="F4282" s="108"/>
      <c r="G4282" s="120"/>
      <c r="H4282" s="101"/>
      <c r="I4282" s="93"/>
      <c r="J4282" s="91"/>
      <c r="L4282" s="94" t="str">
        <f t="shared" si="2"/>
        <v>No infirmation</v>
      </c>
      <c r="M4282" s="94" t="str">
        <f t="shared" si="3"/>
        <v/>
      </c>
    </row>
    <row r="4283" ht="15.75" customHeight="1">
      <c r="B4283" s="77">
        <f t="shared" si="1"/>
        <v>0</v>
      </c>
      <c r="C4283" s="67"/>
      <c r="D4283" s="78"/>
      <c r="E4283" s="101"/>
      <c r="F4283" s="108"/>
      <c r="G4283" s="120"/>
      <c r="H4283" s="101"/>
      <c r="I4283" s="93"/>
      <c r="J4283" s="91"/>
      <c r="L4283" s="94" t="str">
        <f t="shared" si="2"/>
        <v>No infirmation</v>
      </c>
      <c r="M4283" s="94" t="str">
        <f t="shared" si="3"/>
        <v/>
      </c>
    </row>
    <row r="4284" ht="15.75" customHeight="1">
      <c r="B4284" s="77">
        <f t="shared" si="1"/>
        <v>0</v>
      </c>
      <c r="C4284" s="67"/>
      <c r="D4284" s="78"/>
      <c r="E4284" s="101"/>
      <c r="F4284" s="108"/>
      <c r="G4284" s="120"/>
      <c r="H4284" s="101"/>
      <c r="I4284" s="93"/>
      <c r="J4284" s="91"/>
      <c r="L4284" s="94" t="str">
        <f t="shared" si="2"/>
        <v>No infirmation</v>
      </c>
      <c r="M4284" s="94" t="str">
        <f t="shared" si="3"/>
        <v/>
      </c>
    </row>
    <row r="4285" ht="15.75" customHeight="1">
      <c r="B4285" s="77">
        <f t="shared" si="1"/>
        <v>0</v>
      </c>
      <c r="C4285" s="67"/>
      <c r="D4285" s="78"/>
      <c r="E4285" s="101"/>
      <c r="F4285" s="108"/>
      <c r="G4285" s="120"/>
      <c r="H4285" s="101"/>
      <c r="I4285" s="93"/>
      <c r="J4285" s="91"/>
      <c r="L4285" s="94" t="str">
        <f t="shared" si="2"/>
        <v>No infirmation</v>
      </c>
      <c r="M4285" s="94" t="str">
        <f t="shared" si="3"/>
        <v/>
      </c>
    </row>
    <row r="4286" ht="15.75" customHeight="1">
      <c r="B4286" s="77">
        <f t="shared" si="1"/>
        <v>0</v>
      </c>
      <c r="C4286" s="67"/>
      <c r="D4286" s="78"/>
      <c r="E4286" s="101"/>
      <c r="F4286" s="108"/>
      <c r="G4286" s="120"/>
      <c r="H4286" s="101"/>
      <c r="I4286" s="93"/>
      <c r="J4286" s="91"/>
      <c r="L4286" s="94" t="str">
        <f t="shared" si="2"/>
        <v>No infirmation</v>
      </c>
      <c r="M4286" s="94" t="str">
        <f t="shared" si="3"/>
        <v/>
      </c>
    </row>
    <row r="4287" ht="15.75" customHeight="1">
      <c r="B4287" s="77">
        <f t="shared" si="1"/>
        <v>0</v>
      </c>
      <c r="C4287" s="67"/>
      <c r="D4287" s="78"/>
      <c r="E4287" s="101"/>
      <c r="F4287" s="108"/>
      <c r="G4287" s="120"/>
      <c r="H4287" s="101"/>
      <c r="I4287" s="93"/>
      <c r="J4287" s="91"/>
      <c r="L4287" s="94" t="str">
        <f t="shared" si="2"/>
        <v>No infirmation</v>
      </c>
      <c r="M4287" s="94" t="str">
        <f t="shared" si="3"/>
        <v/>
      </c>
    </row>
    <row r="4288" ht="15.75" customHeight="1">
      <c r="B4288" s="77">
        <f t="shared" si="1"/>
        <v>0</v>
      </c>
      <c r="C4288" s="67"/>
      <c r="D4288" s="78"/>
      <c r="E4288" s="101"/>
      <c r="F4288" s="108"/>
      <c r="G4288" s="120"/>
      <c r="H4288" s="101"/>
      <c r="I4288" s="93"/>
      <c r="J4288" s="91"/>
      <c r="L4288" s="94" t="str">
        <f t="shared" si="2"/>
        <v>No infirmation</v>
      </c>
      <c r="M4288" s="94" t="str">
        <f t="shared" si="3"/>
        <v/>
      </c>
    </row>
    <row r="4289" ht="15.75" customHeight="1">
      <c r="B4289" s="77">
        <f t="shared" si="1"/>
        <v>0</v>
      </c>
      <c r="C4289" s="67"/>
      <c r="D4289" s="78"/>
      <c r="E4289" s="101"/>
      <c r="F4289" s="108"/>
      <c r="G4289" s="120"/>
      <c r="H4289" s="101"/>
      <c r="I4289" s="93"/>
      <c r="J4289" s="91"/>
      <c r="L4289" s="94" t="str">
        <f t="shared" si="2"/>
        <v>No infirmation</v>
      </c>
      <c r="M4289" s="94" t="str">
        <f t="shared" si="3"/>
        <v/>
      </c>
    </row>
    <row r="4290" ht="15.75" customHeight="1">
      <c r="B4290" s="77">
        <f t="shared" si="1"/>
        <v>0</v>
      </c>
      <c r="C4290" s="67"/>
      <c r="D4290" s="78"/>
      <c r="E4290" s="101"/>
      <c r="F4290" s="108"/>
      <c r="G4290" s="120"/>
      <c r="H4290" s="101"/>
      <c r="I4290" s="93"/>
      <c r="J4290" s="91"/>
      <c r="L4290" s="94" t="str">
        <f t="shared" si="2"/>
        <v>No infirmation</v>
      </c>
      <c r="M4290" s="94" t="str">
        <f t="shared" si="3"/>
        <v/>
      </c>
    </row>
    <row r="4291" ht="15.75" customHeight="1">
      <c r="B4291" s="77">
        <f t="shared" si="1"/>
        <v>0</v>
      </c>
      <c r="C4291" s="67"/>
      <c r="D4291" s="78"/>
      <c r="E4291" s="101"/>
      <c r="F4291" s="108"/>
      <c r="G4291" s="120"/>
      <c r="H4291" s="101"/>
      <c r="I4291" s="93"/>
      <c r="J4291" s="91"/>
      <c r="L4291" s="94" t="str">
        <f t="shared" si="2"/>
        <v>No infirmation</v>
      </c>
      <c r="M4291" s="94" t="str">
        <f t="shared" si="3"/>
        <v/>
      </c>
    </row>
    <row r="4292" ht="15.75" customHeight="1">
      <c r="B4292" s="77">
        <f t="shared" si="1"/>
        <v>0</v>
      </c>
      <c r="C4292" s="67"/>
      <c r="D4292" s="78"/>
      <c r="E4292" s="101"/>
      <c r="F4292" s="108"/>
      <c r="G4292" s="120"/>
      <c r="H4292" s="101"/>
      <c r="I4292" s="93"/>
      <c r="J4292" s="91"/>
      <c r="L4292" s="94" t="str">
        <f t="shared" si="2"/>
        <v>No infirmation</v>
      </c>
      <c r="M4292" s="94" t="str">
        <f t="shared" si="3"/>
        <v/>
      </c>
    </row>
    <row r="4293" ht="15.75" customHeight="1">
      <c r="B4293" s="77">
        <f t="shared" si="1"/>
        <v>0</v>
      </c>
      <c r="C4293" s="67"/>
      <c r="D4293" s="78"/>
      <c r="E4293" s="101"/>
      <c r="F4293" s="108"/>
      <c r="G4293" s="120"/>
      <c r="H4293" s="101"/>
      <c r="I4293" s="93"/>
      <c r="J4293" s="91"/>
      <c r="L4293" s="94" t="str">
        <f t="shared" si="2"/>
        <v>No infirmation</v>
      </c>
      <c r="M4293" s="94" t="str">
        <f t="shared" si="3"/>
        <v/>
      </c>
    </row>
    <row r="4294" ht="15.75" customHeight="1">
      <c r="B4294" s="77">
        <f t="shared" si="1"/>
        <v>0</v>
      </c>
      <c r="C4294" s="67"/>
      <c r="D4294" s="78"/>
      <c r="E4294" s="101"/>
      <c r="F4294" s="108"/>
      <c r="G4294" s="120"/>
      <c r="H4294" s="101"/>
      <c r="I4294" s="93"/>
      <c r="J4294" s="91"/>
      <c r="L4294" s="94" t="str">
        <f t="shared" si="2"/>
        <v>No infirmation</v>
      </c>
      <c r="M4294" s="94" t="str">
        <f t="shared" si="3"/>
        <v/>
      </c>
    </row>
    <row r="4295" ht="15.75" customHeight="1">
      <c r="B4295" s="77">
        <f t="shared" si="1"/>
        <v>0</v>
      </c>
      <c r="C4295" s="67"/>
      <c r="D4295" s="78"/>
      <c r="E4295" s="101"/>
      <c r="F4295" s="108"/>
      <c r="G4295" s="120"/>
      <c r="H4295" s="101"/>
      <c r="I4295" s="93"/>
      <c r="J4295" s="91"/>
      <c r="L4295" s="94" t="str">
        <f t="shared" si="2"/>
        <v>No infirmation</v>
      </c>
      <c r="M4295" s="94" t="str">
        <f t="shared" si="3"/>
        <v/>
      </c>
    </row>
    <row r="4296" ht="15.75" customHeight="1">
      <c r="B4296" s="77">
        <f t="shared" si="1"/>
        <v>0</v>
      </c>
      <c r="C4296" s="67"/>
      <c r="D4296" s="78"/>
      <c r="E4296" s="101"/>
      <c r="F4296" s="108"/>
      <c r="G4296" s="120"/>
      <c r="H4296" s="101"/>
      <c r="I4296" s="93"/>
      <c r="J4296" s="91"/>
      <c r="L4296" s="94" t="str">
        <f t="shared" si="2"/>
        <v>No infirmation</v>
      </c>
      <c r="M4296" s="94" t="str">
        <f t="shared" si="3"/>
        <v/>
      </c>
    </row>
    <row r="4297" ht="15.75" customHeight="1">
      <c r="B4297" s="77">
        <f t="shared" si="1"/>
        <v>0</v>
      </c>
      <c r="C4297" s="67"/>
      <c r="D4297" s="78"/>
      <c r="E4297" s="101"/>
      <c r="F4297" s="108"/>
      <c r="G4297" s="120"/>
      <c r="H4297" s="101"/>
      <c r="I4297" s="93"/>
      <c r="J4297" s="91"/>
      <c r="L4297" s="94" t="str">
        <f t="shared" si="2"/>
        <v>No infirmation</v>
      </c>
      <c r="M4297" s="94" t="str">
        <f t="shared" si="3"/>
        <v/>
      </c>
    </row>
    <row r="4298" ht="15.75" customHeight="1">
      <c r="B4298" s="77">
        <f t="shared" si="1"/>
        <v>0</v>
      </c>
      <c r="C4298" s="67"/>
      <c r="D4298" s="78"/>
      <c r="E4298" s="101"/>
      <c r="F4298" s="108"/>
      <c r="G4298" s="120"/>
      <c r="H4298" s="101"/>
      <c r="I4298" s="93"/>
      <c r="J4298" s="91"/>
      <c r="L4298" s="94" t="str">
        <f t="shared" si="2"/>
        <v>No infirmation</v>
      </c>
      <c r="M4298" s="94" t="str">
        <f t="shared" si="3"/>
        <v/>
      </c>
    </row>
    <row r="4299" ht="15.75" customHeight="1">
      <c r="B4299" s="77">
        <f t="shared" si="1"/>
        <v>0</v>
      </c>
      <c r="C4299" s="67"/>
      <c r="D4299" s="78"/>
      <c r="E4299" s="101"/>
      <c r="F4299" s="108"/>
      <c r="G4299" s="120"/>
      <c r="H4299" s="101"/>
      <c r="I4299" s="93"/>
      <c r="J4299" s="91"/>
      <c r="L4299" s="94" t="str">
        <f t="shared" si="2"/>
        <v>No infirmation</v>
      </c>
      <c r="M4299" s="94" t="str">
        <f t="shared" si="3"/>
        <v/>
      </c>
    </row>
    <row r="4300" ht="15.75" customHeight="1">
      <c r="B4300" s="77">
        <f t="shared" si="1"/>
        <v>0</v>
      </c>
      <c r="C4300" s="67"/>
      <c r="D4300" s="78"/>
      <c r="E4300" s="101"/>
      <c r="F4300" s="108"/>
      <c r="G4300" s="120"/>
      <c r="H4300" s="101"/>
      <c r="I4300" s="93"/>
      <c r="J4300" s="91"/>
      <c r="L4300" s="94" t="str">
        <f t="shared" si="2"/>
        <v>No infirmation</v>
      </c>
      <c r="M4300" s="94" t="str">
        <f t="shared" si="3"/>
        <v/>
      </c>
    </row>
    <row r="4301" ht="15.75" customHeight="1">
      <c r="B4301" s="77">
        <f t="shared" si="1"/>
        <v>0</v>
      </c>
      <c r="C4301" s="67"/>
      <c r="D4301" s="78"/>
      <c r="E4301" s="101"/>
      <c r="F4301" s="108"/>
      <c r="G4301" s="120"/>
      <c r="H4301" s="101"/>
      <c r="I4301" s="93"/>
      <c r="J4301" s="91"/>
      <c r="L4301" s="94" t="str">
        <f t="shared" si="2"/>
        <v>No infirmation</v>
      </c>
      <c r="M4301" s="94" t="str">
        <f t="shared" si="3"/>
        <v/>
      </c>
    </row>
    <row r="4302" ht="15.75" customHeight="1">
      <c r="B4302" s="77">
        <f t="shared" si="1"/>
        <v>0</v>
      </c>
      <c r="C4302" s="67"/>
      <c r="D4302" s="78"/>
      <c r="E4302" s="101"/>
      <c r="F4302" s="108"/>
      <c r="G4302" s="120"/>
      <c r="H4302" s="101"/>
      <c r="I4302" s="93"/>
      <c r="J4302" s="91"/>
      <c r="L4302" s="94" t="str">
        <f t="shared" si="2"/>
        <v>No infirmation</v>
      </c>
      <c r="M4302" s="94" t="str">
        <f t="shared" si="3"/>
        <v/>
      </c>
    </row>
    <row r="4303" ht="15.75" customHeight="1">
      <c r="B4303" s="77">
        <f t="shared" si="1"/>
        <v>0</v>
      </c>
      <c r="C4303" s="67"/>
      <c r="D4303" s="78"/>
      <c r="E4303" s="101"/>
      <c r="F4303" s="108"/>
      <c r="G4303" s="120"/>
      <c r="H4303" s="101"/>
      <c r="I4303" s="93"/>
      <c r="J4303" s="91"/>
      <c r="L4303" s="94" t="str">
        <f t="shared" si="2"/>
        <v>No infirmation</v>
      </c>
      <c r="M4303" s="94" t="str">
        <f t="shared" si="3"/>
        <v/>
      </c>
    </row>
    <row r="4304" ht="15.75" customHeight="1">
      <c r="B4304" s="77">
        <f t="shared" si="1"/>
        <v>0</v>
      </c>
      <c r="C4304" s="67"/>
      <c r="D4304" s="78"/>
      <c r="E4304" s="101"/>
      <c r="F4304" s="108"/>
      <c r="G4304" s="120"/>
      <c r="H4304" s="101"/>
      <c r="I4304" s="93"/>
      <c r="J4304" s="91"/>
      <c r="L4304" s="94" t="str">
        <f t="shared" si="2"/>
        <v>No infirmation</v>
      </c>
      <c r="M4304" s="94" t="str">
        <f t="shared" si="3"/>
        <v/>
      </c>
    </row>
    <row r="4305" ht="15.75" customHeight="1">
      <c r="B4305" s="77">
        <f t="shared" si="1"/>
        <v>0</v>
      </c>
      <c r="C4305" s="67"/>
      <c r="D4305" s="78"/>
      <c r="E4305" s="101"/>
      <c r="F4305" s="108"/>
      <c r="G4305" s="120"/>
      <c r="H4305" s="101"/>
      <c r="I4305" s="93"/>
      <c r="J4305" s="91"/>
      <c r="L4305" s="94" t="str">
        <f t="shared" si="2"/>
        <v>No infirmation</v>
      </c>
      <c r="M4305" s="94" t="str">
        <f t="shared" si="3"/>
        <v/>
      </c>
    </row>
    <row r="4306" ht="15.75" customHeight="1">
      <c r="B4306" s="77">
        <f t="shared" si="1"/>
        <v>0</v>
      </c>
      <c r="C4306" s="67"/>
      <c r="D4306" s="78"/>
      <c r="E4306" s="101"/>
      <c r="F4306" s="108"/>
      <c r="G4306" s="120"/>
      <c r="H4306" s="101"/>
      <c r="I4306" s="93"/>
      <c r="J4306" s="91"/>
      <c r="L4306" s="94" t="str">
        <f t="shared" si="2"/>
        <v>No infirmation</v>
      </c>
      <c r="M4306" s="94" t="str">
        <f t="shared" si="3"/>
        <v/>
      </c>
    </row>
    <row r="4307" ht="15.75" customHeight="1">
      <c r="B4307" s="77">
        <f t="shared" si="1"/>
        <v>0</v>
      </c>
      <c r="C4307" s="67"/>
      <c r="D4307" s="78"/>
      <c r="E4307" s="101"/>
      <c r="F4307" s="108"/>
      <c r="G4307" s="120"/>
      <c r="H4307" s="101"/>
      <c r="I4307" s="93"/>
      <c r="J4307" s="91"/>
      <c r="L4307" s="94" t="str">
        <f t="shared" si="2"/>
        <v>No infirmation</v>
      </c>
      <c r="M4307" s="94" t="str">
        <f t="shared" si="3"/>
        <v/>
      </c>
    </row>
    <row r="4308" ht="15.75" customHeight="1">
      <c r="B4308" s="77">
        <f t="shared" si="1"/>
        <v>0</v>
      </c>
      <c r="C4308" s="67"/>
      <c r="D4308" s="78"/>
      <c r="E4308" s="101"/>
      <c r="F4308" s="108"/>
      <c r="G4308" s="120"/>
      <c r="H4308" s="101"/>
      <c r="I4308" s="93"/>
      <c r="J4308" s="91"/>
      <c r="L4308" s="94" t="str">
        <f t="shared" si="2"/>
        <v>No infirmation</v>
      </c>
      <c r="M4308" s="94" t="str">
        <f t="shared" si="3"/>
        <v/>
      </c>
    </row>
    <row r="4309" ht="15.75" customHeight="1">
      <c r="B4309" s="77">
        <f t="shared" si="1"/>
        <v>0</v>
      </c>
      <c r="C4309" s="67"/>
      <c r="D4309" s="78"/>
      <c r="E4309" s="101"/>
      <c r="F4309" s="108"/>
      <c r="G4309" s="120"/>
      <c r="H4309" s="101"/>
      <c r="I4309" s="93"/>
      <c r="J4309" s="91"/>
      <c r="L4309" s="94" t="str">
        <f t="shared" si="2"/>
        <v>No infirmation</v>
      </c>
      <c r="M4309" s="94" t="str">
        <f t="shared" si="3"/>
        <v/>
      </c>
    </row>
    <row r="4310" ht="15.75" customHeight="1">
      <c r="B4310" s="77">
        <f t="shared" si="1"/>
        <v>0</v>
      </c>
      <c r="C4310" s="67"/>
      <c r="D4310" s="78"/>
      <c r="E4310" s="101"/>
      <c r="F4310" s="108"/>
      <c r="G4310" s="120"/>
      <c r="H4310" s="101"/>
      <c r="I4310" s="93"/>
      <c r="J4310" s="91"/>
      <c r="L4310" s="94" t="str">
        <f t="shared" si="2"/>
        <v>No infirmation</v>
      </c>
      <c r="M4310" s="94" t="str">
        <f t="shared" si="3"/>
        <v/>
      </c>
    </row>
    <row r="4311" ht="15.75" customHeight="1">
      <c r="B4311" s="77">
        <f t="shared" si="1"/>
        <v>0</v>
      </c>
      <c r="C4311" s="67"/>
      <c r="D4311" s="78"/>
      <c r="E4311" s="101"/>
      <c r="F4311" s="108"/>
      <c r="G4311" s="120"/>
      <c r="H4311" s="101"/>
      <c r="I4311" s="93"/>
      <c r="J4311" s="91"/>
      <c r="L4311" s="94" t="str">
        <f t="shared" si="2"/>
        <v>No infirmation</v>
      </c>
      <c r="M4311" s="94" t="str">
        <f t="shared" si="3"/>
        <v/>
      </c>
    </row>
    <row r="4312" ht="15.75" customHeight="1">
      <c r="B4312" s="77">
        <f t="shared" si="1"/>
        <v>0</v>
      </c>
      <c r="C4312" s="67"/>
      <c r="D4312" s="78"/>
      <c r="E4312" s="101"/>
      <c r="F4312" s="108"/>
      <c r="G4312" s="120"/>
      <c r="H4312" s="101"/>
      <c r="I4312" s="93"/>
      <c r="J4312" s="91"/>
      <c r="L4312" s="94" t="str">
        <f t="shared" si="2"/>
        <v>No infirmation</v>
      </c>
      <c r="M4312" s="94" t="str">
        <f t="shared" si="3"/>
        <v/>
      </c>
    </row>
    <row r="4313" ht="15.75" customHeight="1">
      <c r="B4313" s="77">
        <f t="shared" si="1"/>
        <v>0</v>
      </c>
      <c r="C4313" s="67"/>
      <c r="D4313" s="78"/>
      <c r="E4313" s="101"/>
      <c r="F4313" s="108"/>
      <c r="G4313" s="120"/>
      <c r="H4313" s="101"/>
      <c r="I4313" s="93"/>
      <c r="J4313" s="91"/>
      <c r="L4313" s="94" t="str">
        <f t="shared" si="2"/>
        <v>No infirmation</v>
      </c>
      <c r="M4313" s="94" t="str">
        <f t="shared" si="3"/>
        <v/>
      </c>
    </row>
    <row r="4314" ht="15.75" customHeight="1">
      <c r="B4314" s="77">
        <f t="shared" si="1"/>
        <v>0</v>
      </c>
      <c r="C4314" s="67"/>
      <c r="D4314" s="78"/>
      <c r="E4314" s="101"/>
      <c r="F4314" s="108"/>
      <c r="G4314" s="120"/>
      <c r="H4314" s="101"/>
      <c r="I4314" s="93"/>
      <c r="J4314" s="91"/>
      <c r="L4314" s="94" t="str">
        <f t="shared" si="2"/>
        <v>No infirmation</v>
      </c>
      <c r="M4314" s="94" t="str">
        <f t="shared" si="3"/>
        <v/>
      </c>
    </row>
    <row r="4315" ht="15.75" customHeight="1">
      <c r="B4315" s="77">
        <f t="shared" si="1"/>
        <v>0</v>
      </c>
      <c r="C4315" s="67"/>
      <c r="D4315" s="78"/>
      <c r="E4315" s="101"/>
      <c r="F4315" s="108"/>
      <c r="G4315" s="120"/>
      <c r="H4315" s="101"/>
      <c r="I4315" s="93"/>
      <c r="J4315" s="91"/>
      <c r="L4315" s="94" t="str">
        <f t="shared" si="2"/>
        <v>No infirmation</v>
      </c>
      <c r="M4315" s="94" t="str">
        <f t="shared" si="3"/>
        <v/>
      </c>
    </row>
    <row r="4316" ht="15.75" customHeight="1">
      <c r="B4316" s="77">
        <f t="shared" si="1"/>
        <v>0</v>
      </c>
      <c r="C4316" s="67"/>
      <c r="D4316" s="78"/>
      <c r="E4316" s="101"/>
      <c r="F4316" s="108"/>
      <c r="G4316" s="120"/>
      <c r="H4316" s="101"/>
      <c r="I4316" s="93"/>
      <c r="J4316" s="91"/>
      <c r="L4316" s="94" t="str">
        <f t="shared" si="2"/>
        <v>No infirmation</v>
      </c>
      <c r="M4316" s="94" t="str">
        <f t="shared" si="3"/>
        <v/>
      </c>
    </row>
    <row r="4317" ht="15.75" customHeight="1">
      <c r="B4317" s="77">
        <f t="shared" si="1"/>
        <v>0</v>
      </c>
      <c r="C4317" s="67"/>
      <c r="D4317" s="78"/>
      <c r="E4317" s="101"/>
      <c r="F4317" s="108"/>
      <c r="G4317" s="120"/>
      <c r="H4317" s="101"/>
      <c r="I4317" s="93"/>
      <c r="J4317" s="91"/>
      <c r="L4317" s="94" t="str">
        <f t="shared" si="2"/>
        <v>No infirmation</v>
      </c>
      <c r="M4317" s="94" t="str">
        <f t="shared" si="3"/>
        <v/>
      </c>
    </row>
    <row r="4318" ht="15.75" customHeight="1">
      <c r="B4318" s="77">
        <f t="shared" si="1"/>
        <v>0</v>
      </c>
      <c r="C4318" s="67"/>
      <c r="D4318" s="78"/>
      <c r="E4318" s="101"/>
      <c r="F4318" s="108"/>
      <c r="G4318" s="120"/>
      <c r="H4318" s="101"/>
      <c r="I4318" s="93"/>
      <c r="J4318" s="91"/>
      <c r="L4318" s="94" t="str">
        <f t="shared" si="2"/>
        <v>No infirmation</v>
      </c>
      <c r="M4318" s="94" t="str">
        <f t="shared" si="3"/>
        <v/>
      </c>
    </row>
    <row r="4319" ht="15.75" customHeight="1">
      <c r="B4319" s="77">
        <f t="shared" si="1"/>
        <v>0</v>
      </c>
      <c r="C4319" s="67"/>
      <c r="D4319" s="78"/>
      <c r="E4319" s="101"/>
      <c r="F4319" s="108"/>
      <c r="G4319" s="120"/>
      <c r="H4319" s="101"/>
      <c r="I4319" s="93"/>
      <c r="J4319" s="91"/>
      <c r="L4319" s="94" t="str">
        <f t="shared" si="2"/>
        <v>No infirmation</v>
      </c>
      <c r="M4319" s="94" t="str">
        <f t="shared" si="3"/>
        <v/>
      </c>
    </row>
    <row r="4320" ht="15.75" customHeight="1">
      <c r="B4320" s="77">
        <f t="shared" si="1"/>
        <v>0</v>
      </c>
      <c r="C4320" s="67"/>
      <c r="D4320" s="78"/>
      <c r="E4320" s="101"/>
      <c r="F4320" s="108"/>
      <c r="G4320" s="120"/>
      <c r="H4320" s="101"/>
      <c r="I4320" s="93"/>
      <c r="J4320" s="91"/>
      <c r="L4320" s="94" t="str">
        <f t="shared" si="2"/>
        <v>No infirmation</v>
      </c>
      <c r="M4320" s="94" t="str">
        <f t="shared" si="3"/>
        <v/>
      </c>
    </row>
    <row r="4321" ht="15.75" customHeight="1">
      <c r="B4321" s="77">
        <f t="shared" si="1"/>
        <v>0</v>
      </c>
      <c r="C4321" s="67"/>
      <c r="D4321" s="78"/>
      <c r="E4321" s="101"/>
      <c r="F4321" s="108"/>
      <c r="G4321" s="120"/>
      <c r="H4321" s="101"/>
      <c r="I4321" s="93"/>
      <c r="J4321" s="91"/>
      <c r="L4321" s="94" t="str">
        <f t="shared" si="2"/>
        <v>No infirmation</v>
      </c>
      <c r="M4321" s="94" t="str">
        <f t="shared" si="3"/>
        <v/>
      </c>
    </row>
    <row r="4322" ht="15.75" customHeight="1">
      <c r="B4322" s="77">
        <f t="shared" si="1"/>
        <v>0</v>
      </c>
      <c r="C4322" s="67"/>
      <c r="D4322" s="78"/>
      <c r="E4322" s="101"/>
      <c r="F4322" s="108"/>
      <c r="G4322" s="120"/>
      <c r="H4322" s="101"/>
      <c r="I4322" s="93"/>
      <c r="J4322" s="91"/>
      <c r="L4322" s="94" t="str">
        <f t="shared" si="2"/>
        <v>No infirmation</v>
      </c>
      <c r="M4322" s="94" t="str">
        <f t="shared" si="3"/>
        <v/>
      </c>
    </row>
    <row r="4323" ht="15.75" customHeight="1">
      <c r="B4323" s="77">
        <f t="shared" si="1"/>
        <v>0</v>
      </c>
      <c r="C4323" s="67"/>
      <c r="D4323" s="78"/>
      <c r="E4323" s="101"/>
      <c r="F4323" s="108"/>
      <c r="G4323" s="120"/>
      <c r="H4323" s="101"/>
      <c r="I4323" s="93"/>
      <c r="J4323" s="91"/>
      <c r="L4323" s="94" t="str">
        <f t="shared" si="2"/>
        <v>No infirmation</v>
      </c>
      <c r="M4323" s="94" t="str">
        <f t="shared" si="3"/>
        <v/>
      </c>
    </row>
    <row r="4324" ht="15.75" customHeight="1">
      <c r="B4324" s="77">
        <f t="shared" si="1"/>
        <v>0</v>
      </c>
      <c r="C4324" s="67"/>
      <c r="D4324" s="78"/>
      <c r="E4324" s="101"/>
      <c r="F4324" s="108"/>
      <c r="G4324" s="120"/>
      <c r="H4324" s="101"/>
      <c r="I4324" s="93"/>
      <c r="J4324" s="91"/>
      <c r="L4324" s="94" t="str">
        <f t="shared" si="2"/>
        <v>No infirmation</v>
      </c>
      <c r="M4324" s="94" t="str">
        <f t="shared" si="3"/>
        <v/>
      </c>
    </row>
    <row r="4325" ht="15.75" customHeight="1">
      <c r="B4325" s="77">
        <f t="shared" si="1"/>
        <v>0</v>
      </c>
      <c r="C4325" s="67"/>
      <c r="D4325" s="78"/>
      <c r="E4325" s="101"/>
      <c r="F4325" s="108"/>
      <c r="G4325" s="120"/>
      <c r="H4325" s="101"/>
      <c r="I4325" s="93"/>
      <c r="J4325" s="91"/>
      <c r="L4325" s="94" t="str">
        <f t="shared" si="2"/>
        <v>No infirmation</v>
      </c>
      <c r="M4325" s="94" t="str">
        <f t="shared" si="3"/>
        <v/>
      </c>
    </row>
    <row r="4326" ht="15.75" customHeight="1">
      <c r="B4326" s="77">
        <f t="shared" si="1"/>
        <v>0</v>
      </c>
      <c r="C4326" s="67"/>
      <c r="D4326" s="78"/>
      <c r="E4326" s="101"/>
      <c r="F4326" s="108"/>
      <c r="G4326" s="120"/>
      <c r="H4326" s="101"/>
      <c r="I4326" s="93"/>
      <c r="J4326" s="91"/>
      <c r="L4326" s="94" t="str">
        <f t="shared" si="2"/>
        <v>No infirmation</v>
      </c>
      <c r="M4326" s="94" t="str">
        <f t="shared" si="3"/>
        <v/>
      </c>
    </row>
    <row r="4327" ht="15.75" customHeight="1">
      <c r="B4327" s="77">
        <f t="shared" si="1"/>
        <v>0</v>
      </c>
      <c r="C4327" s="67"/>
      <c r="D4327" s="78"/>
      <c r="E4327" s="101"/>
      <c r="F4327" s="108"/>
      <c r="G4327" s="120"/>
      <c r="H4327" s="101"/>
      <c r="I4327" s="93"/>
      <c r="J4327" s="91"/>
      <c r="L4327" s="94" t="str">
        <f t="shared" si="2"/>
        <v>No infirmation</v>
      </c>
      <c r="M4327" s="94" t="str">
        <f t="shared" si="3"/>
        <v/>
      </c>
    </row>
    <row r="4328" ht="15.75" customHeight="1">
      <c r="B4328" s="77">
        <f t="shared" si="1"/>
        <v>0</v>
      </c>
      <c r="C4328" s="67"/>
      <c r="D4328" s="78"/>
      <c r="E4328" s="101"/>
      <c r="F4328" s="108"/>
      <c r="G4328" s="120"/>
      <c r="H4328" s="101"/>
      <c r="I4328" s="93"/>
      <c r="J4328" s="91"/>
      <c r="L4328" s="94" t="str">
        <f t="shared" si="2"/>
        <v>No infirmation</v>
      </c>
      <c r="M4328" s="94" t="str">
        <f t="shared" si="3"/>
        <v/>
      </c>
    </row>
    <row r="4329" ht="15.75" customHeight="1">
      <c r="B4329" s="77">
        <f t="shared" si="1"/>
        <v>0</v>
      </c>
      <c r="C4329" s="67"/>
      <c r="D4329" s="78"/>
      <c r="E4329" s="101"/>
      <c r="F4329" s="108"/>
      <c r="G4329" s="120"/>
      <c r="H4329" s="101"/>
      <c r="I4329" s="93"/>
      <c r="J4329" s="91"/>
      <c r="L4329" s="94" t="str">
        <f t="shared" si="2"/>
        <v>No infirmation</v>
      </c>
      <c r="M4329" s="94" t="str">
        <f t="shared" si="3"/>
        <v/>
      </c>
    </row>
    <row r="4330" ht="15.75" customHeight="1">
      <c r="B4330" s="77">
        <f t="shared" si="1"/>
        <v>0</v>
      </c>
      <c r="C4330" s="67"/>
      <c r="D4330" s="78"/>
      <c r="E4330" s="101"/>
      <c r="F4330" s="108"/>
      <c r="G4330" s="120"/>
      <c r="H4330" s="101"/>
      <c r="I4330" s="93"/>
      <c r="J4330" s="91"/>
      <c r="L4330" s="94" t="str">
        <f t="shared" si="2"/>
        <v>No infirmation</v>
      </c>
      <c r="M4330" s="94" t="str">
        <f t="shared" si="3"/>
        <v/>
      </c>
    </row>
    <row r="4331" ht="15.75" customHeight="1">
      <c r="B4331" s="77">
        <f t="shared" si="1"/>
        <v>0</v>
      </c>
      <c r="C4331" s="67"/>
      <c r="D4331" s="78"/>
      <c r="E4331" s="101"/>
      <c r="F4331" s="108"/>
      <c r="G4331" s="120"/>
      <c r="H4331" s="101"/>
      <c r="I4331" s="93"/>
      <c r="J4331" s="91"/>
      <c r="L4331" s="94" t="str">
        <f t="shared" si="2"/>
        <v>No infirmation</v>
      </c>
      <c r="M4331" s="94" t="str">
        <f t="shared" si="3"/>
        <v/>
      </c>
    </row>
    <row r="4332" ht="15.75" customHeight="1">
      <c r="B4332" s="77">
        <f t="shared" si="1"/>
        <v>0</v>
      </c>
      <c r="C4332" s="67"/>
      <c r="D4332" s="78"/>
      <c r="E4332" s="101"/>
      <c r="F4332" s="108"/>
      <c r="G4332" s="120"/>
      <c r="H4332" s="101"/>
      <c r="I4332" s="93"/>
      <c r="J4332" s="91"/>
      <c r="L4332" s="94" t="str">
        <f t="shared" si="2"/>
        <v>No infirmation</v>
      </c>
      <c r="M4332" s="94" t="str">
        <f t="shared" si="3"/>
        <v/>
      </c>
    </row>
    <row r="4333" ht="15.75" customHeight="1">
      <c r="B4333" s="77">
        <f t="shared" si="1"/>
        <v>0</v>
      </c>
      <c r="C4333" s="67"/>
      <c r="D4333" s="78"/>
      <c r="E4333" s="101"/>
      <c r="F4333" s="108"/>
      <c r="G4333" s="120"/>
      <c r="H4333" s="101"/>
      <c r="I4333" s="93"/>
      <c r="J4333" s="91"/>
      <c r="L4333" s="94" t="str">
        <f t="shared" si="2"/>
        <v>No infirmation</v>
      </c>
      <c r="M4333" s="94" t="str">
        <f t="shared" si="3"/>
        <v/>
      </c>
    </row>
    <row r="4334" ht="15.75" customHeight="1">
      <c r="B4334" s="77">
        <f t="shared" si="1"/>
        <v>0</v>
      </c>
      <c r="C4334" s="67"/>
      <c r="D4334" s="78"/>
      <c r="E4334" s="101"/>
      <c r="F4334" s="108"/>
      <c r="G4334" s="120"/>
      <c r="H4334" s="101"/>
      <c r="I4334" s="93"/>
      <c r="J4334" s="91"/>
      <c r="L4334" s="94" t="str">
        <f t="shared" si="2"/>
        <v>No infirmation</v>
      </c>
      <c r="M4334" s="94" t="str">
        <f t="shared" si="3"/>
        <v/>
      </c>
    </row>
    <row r="4335" ht="15.75" customHeight="1">
      <c r="B4335" s="77">
        <f t="shared" si="1"/>
        <v>0</v>
      </c>
      <c r="C4335" s="67"/>
      <c r="D4335" s="78"/>
      <c r="E4335" s="101"/>
      <c r="F4335" s="108"/>
      <c r="G4335" s="120"/>
      <c r="H4335" s="101"/>
      <c r="I4335" s="93"/>
      <c r="J4335" s="91"/>
      <c r="L4335" s="94" t="str">
        <f t="shared" si="2"/>
        <v>No infirmation</v>
      </c>
      <c r="M4335" s="94" t="str">
        <f t="shared" si="3"/>
        <v/>
      </c>
    </row>
    <row r="4336" ht="15.75" customHeight="1">
      <c r="B4336" s="77">
        <f t="shared" si="1"/>
        <v>0</v>
      </c>
      <c r="C4336" s="67"/>
      <c r="D4336" s="78"/>
      <c r="E4336" s="101"/>
      <c r="F4336" s="108"/>
      <c r="G4336" s="120"/>
      <c r="H4336" s="101"/>
      <c r="I4336" s="93"/>
      <c r="J4336" s="91"/>
      <c r="L4336" s="94" t="str">
        <f t="shared" si="2"/>
        <v>No infirmation</v>
      </c>
      <c r="M4336" s="94" t="str">
        <f t="shared" si="3"/>
        <v/>
      </c>
    </row>
    <row r="4337" ht="15.75" customHeight="1">
      <c r="B4337" s="77">
        <f t="shared" si="1"/>
        <v>0</v>
      </c>
      <c r="C4337" s="67"/>
      <c r="D4337" s="78"/>
      <c r="E4337" s="101"/>
      <c r="F4337" s="108"/>
      <c r="G4337" s="120"/>
      <c r="H4337" s="101"/>
      <c r="I4337" s="93"/>
      <c r="J4337" s="91"/>
      <c r="L4337" s="94" t="str">
        <f t="shared" si="2"/>
        <v>No infirmation</v>
      </c>
      <c r="M4337" s="94" t="str">
        <f t="shared" si="3"/>
        <v/>
      </c>
    </row>
    <row r="4338" ht="15.75" customHeight="1">
      <c r="B4338" s="77">
        <f t="shared" si="1"/>
        <v>0</v>
      </c>
      <c r="C4338" s="67"/>
      <c r="D4338" s="78"/>
      <c r="E4338" s="101"/>
      <c r="F4338" s="108"/>
      <c r="G4338" s="120"/>
      <c r="H4338" s="101"/>
      <c r="I4338" s="93"/>
      <c r="J4338" s="91"/>
      <c r="L4338" s="94" t="str">
        <f t="shared" si="2"/>
        <v>No infirmation</v>
      </c>
      <c r="M4338" s="94" t="str">
        <f t="shared" si="3"/>
        <v/>
      </c>
    </row>
    <row r="4339" ht="15.75" customHeight="1">
      <c r="B4339" s="77">
        <f t="shared" si="1"/>
        <v>0</v>
      </c>
      <c r="C4339" s="67"/>
      <c r="D4339" s="78"/>
      <c r="E4339" s="101"/>
      <c r="F4339" s="108"/>
      <c r="G4339" s="120"/>
      <c r="H4339" s="101"/>
      <c r="I4339" s="93"/>
      <c r="J4339" s="91"/>
      <c r="L4339" s="94" t="str">
        <f t="shared" si="2"/>
        <v>No infirmation</v>
      </c>
      <c r="M4339" s="94" t="str">
        <f t="shared" si="3"/>
        <v/>
      </c>
    </row>
    <row r="4340" ht="15.75" customHeight="1">
      <c r="B4340" s="77">
        <f t="shared" si="1"/>
        <v>0</v>
      </c>
      <c r="C4340" s="67"/>
      <c r="D4340" s="78"/>
      <c r="E4340" s="101"/>
      <c r="F4340" s="108"/>
      <c r="G4340" s="120"/>
      <c r="H4340" s="101"/>
      <c r="I4340" s="93"/>
      <c r="J4340" s="91"/>
      <c r="L4340" s="94" t="str">
        <f t="shared" si="2"/>
        <v>No infirmation</v>
      </c>
      <c r="M4340" s="94" t="str">
        <f t="shared" si="3"/>
        <v/>
      </c>
    </row>
    <row r="4341" ht="15.75" customHeight="1">
      <c r="B4341" s="77">
        <f t="shared" si="1"/>
        <v>0</v>
      </c>
      <c r="C4341" s="67"/>
      <c r="D4341" s="78"/>
      <c r="E4341" s="101"/>
      <c r="F4341" s="108"/>
      <c r="G4341" s="120"/>
      <c r="H4341" s="101"/>
      <c r="I4341" s="93"/>
      <c r="J4341" s="91"/>
      <c r="L4341" s="94" t="str">
        <f t="shared" si="2"/>
        <v>No infirmation</v>
      </c>
      <c r="M4341" s="94" t="str">
        <f t="shared" si="3"/>
        <v/>
      </c>
    </row>
    <row r="4342" ht="15.75" customHeight="1">
      <c r="B4342" s="77">
        <f t="shared" si="1"/>
        <v>0</v>
      </c>
      <c r="C4342" s="67"/>
      <c r="D4342" s="78"/>
      <c r="E4342" s="101"/>
      <c r="F4342" s="108"/>
      <c r="G4342" s="120"/>
      <c r="H4342" s="101"/>
      <c r="I4342" s="93"/>
      <c r="J4342" s="91"/>
      <c r="L4342" s="94" t="str">
        <f t="shared" si="2"/>
        <v>No infirmation</v>
      </c>
      <c r="M4342" s="94" t="str">
        <f t="shared" si="3"/>
        <v/>
      </c>
    </row>
    <row r="4343" ht="15.75" customHeight="1">
      <c r="B4343" s="77">
        <f t="shared" si="1"/>
        <v>0</v>
      </c>
      <c r="C4343" s="67"/>
      <c r="D4343" s="78"/>
      <c r="E4343" s="101"/>
      <c r="F4343" s="108"/>
      <c r="G4343" s="120"/>
      <c r="H4343" s="101"/>
      <c r="I4343" s="93"/>
      <c r="J4343" s="91"/>
      <c r="L4343" s="94" t="str">
        <f t="shared" si="2"/>
        <v>No infirmation</v>
      </c>
      <c r="M4343" s="94" t="str">
        <f t="shared" si="3"/>
        <v/>
      </c>
    </row>
    <row r="4344" ht="15.75" customHeight="1">
      <c r="B4344" s="77">
        <f t="shared" si="1"/>
        <v>0</v>
      </c>
      <c r="C4344" s="67"/>
      <c r="D4344" s="78"/>
      <c r="E4344" s="101"/>
      <c r="F4344" s="108"/>
      <c r="G4344" s="120"/>
      <c r="H4344" s="101"/>
      <c r="I4344" s="93"/>
      <c r="J4344" s="91"/>
      <c r="L4344" s="94" t="str">
        <f t="shared" si="2"/>
        <v>No infirmation</v>
      </c>
      <c r="M4344" s="94" t="str">
        <f t="shared" si="3"/>
        <v/>
      </c>
    </row>
    <row r="4345" ht="15.75" customHeight="1">
      <c r="B4345" s="77">
        <f t="shared" si="1"/>
        <v>0</v>
      </c>
      <c r="C4345" s="67"/>
      <c r="D4345" s="78"/>
      <c r="E4345" s="101"/>
      <c r="F4345" s="108"/>
      <c r="G4345" s="120"/>
      <c r="H4345" s="101"/>
      <c r="I4345" s="93"/>
      <c r="J4345" s="91"/>
      <c r="L4345" s="94" t="str">
        <f t="shared" si="2"/>
        <v>No infirmation</v>
      </c>
      <c r="M4345" s="94" t="str">
        <f t="shared" si="3"/>
        <v/>
      </c>
    </row>
    <row r="4346" ht="15.75" customHeight="1">
      <c r="B4346" s="77">
        <f t="shared" si="1"/>
        <v>0</v>
      </c>
      <c r="C4346" s="67"/>
      <c r="D4346" s="78"/>
      <c r="E4346" s="101"/>
      <c r="F4346" s="108"/>
      <c r="G4346" s="120"/>
      <c r="H4346" s="101"/>
      <c r="I4346" s="93"/>
      <c r="J4346" s="91"/>
      <c r="L4346" s="94" t="str">
        <f t="shared" si="2"/>
        <v>No infirmation</v>
      </c>
      <c r="M4346" s="94" t="str">
        <f t="shared" si="3"/>
        <v/>
      </c>
    </row>
    <row r="4347" ht="15.75" customHeight="1">
      <c r="B4347" s="77">
        <f t="shared" si="1"/>
        <v>0</v>
      </c>
      <c r="C4347" s="67"/>
      <c r="D4347" s="78"/>
      <c r="E4347" s="101"/>
      <c r="F4347" s="108"/>
      <c r="G4347" s="120"/>
      <c r="H4347" s="101"/>
      <c r="I4347" s="93"/>
      <c r="J4347" s="91"/>
      <c r="L4347" s="94" t="str">
        <f t="shared" si="2"/>
        <v>No infirmation</v>
      </c>
      <c r="M4347" s="94" t="str">
        <f t="shared" si="3"/>
        <v/>
      </c>
    </row>
    <row r="4348" ht="15.75" customHeight="1">
      <c r="B4348" s="77">
        <f t="shared" si="1"/>
        <v>0</v>
      </c>
      <c r="C4348" s="67"/>
      <c r="D4348" s="78"/>
      <c r="E4348" s="101"/>
      <c r="F4348" s="108"/>
      <c r="G4348" s="120"/>
      <c r="H4348" s="101"/>
      <c r="I4348" s="93"/>
      <c r="J4348" s="91"/>
      <c r="L4348" s="94" t="str">
        <f t="shared" si="2"/>
        <v>No infirmation</v>
      </c>
      <c r="M4348" s="94" t="str">
        <f t="shared" si="3"/>
        <v/>
      </c>
    </row>
    <row r="4349" ht="15.75" customHeight="1">
      <c r="B4349" s="77">
        <f t="shared" si="1"/>
        <v>0</v>
      </c>
      <c r="C4349" s="67"/>
      <c r="D4349" s="78"/>
      <c r="E4349" s="101"/>
      <c r="F4349" s="108"/>
      <c r="G4349" s="120"/>
      <c r="H4349" s="101"/>
      <c r="I4349" s="93"/>
      <c r="J4349" s="91"/>
      <c r="L4349" s="94" t="str">
        <f t="shared" si="2"/>
        <v>No infirmation</v>
      </c>
      <c r="M4349" s="94" t="str">
        <f t="shared" si="3"/>
        <v/>
      </c>
    </row>
    <row r="4350" ht="15.75" customHeight="1">
      <c r="B4350" s="77">
        <f t="shared" si="1"/>
        <v>0</v>
      </c>
      <c r="C4350" s="67"/>
      <c r="D4350" s="78"/>
      <c r="E4350" s="101"/>
      <c r="F4350" s="108"/>
      <c r="G4350" s="120"/>
      <c r="H4350" s="101"/>
      <c r="I4350" s="93"/>
      <c r="J4350" s="91"/>
      <c r="L4350" s="94" t="str">
        <f t="shared" si="2"/>
        <v>No infirmation</v>
      </c>
      <c r="M4350" s="94" t="str">
        <f t="shared" si="3"/>
        <v/>
      </c>
    </row>
    <row r="4351" ht="15.75" customHeight="1">
      <c r="B4351" s="77">
        <f t="shared" si="1"/>
        <v>0</v>
      </c>
      <c r="C4351" s="67"/>
      <c r="D4351" s="78"/>
      <c r="E4351" s="101"/>
      <c r="F4351" s="108"/>
      <c r="G4351" s="120"/>
      <c r="H4351" s="101"/>
      <c r="I4351" s="93"/>
      <c r="J4351" s="91"/>
      <c r="L4351" s="94" t="str">
        <f t="shared" si="2"/>
        <v>No infirmation</v>
      </c>
      <c r="M4351" s="94" t="str">
        <f t="shared" si="3"/>
        <v/>
      </c>
    </row>
    <row r="4352" ht="15.75" customHeight="1">
      <c r="B4352" s="77">
        <f t="shared" si="1"/>
        <v>0</v>
      </c>
      <c r="C4352" s="67"/>
      <c r="D4352" s="78"/>
      <c r="E4352" s="101"/>
      <c r="F4352" s="108"/>
      <c r="G4352" s="120"/>
      <c r="H4352" s="101"/>
      <c r="I4352" s="93"/>
      <c r="J4352" s="91"/>
      <c r="L4352" s="94" t="str">
        <f t="shared" si="2"/>
        <v>No infirmation</v>
      </c>
      <c r="M4352" s="94" t="str">
        <f t="shared" si="3"/>
        <v/>
      </c>
    </row>
    <row r="4353" ht="15.75" customHeight="1">
      <c r="B4353" s="77">
        <f t="shared" si="1"/>
        <v>0</v>
      </c>
      <c r="C4353" s="67"/>
      <c r="D4353" s="78"/>
      <c r="E4353" s="101"/>
      <c r="F4353" s="108"/>
      <c r="G4353" s="120"/>
      <c r="H4353" s="101"/>
      <c r="I4353" s="93"/>
      <c r="J4353" s="91"/>
      <c r="L4353" s="94" t="str">
        <f t="shared" si="2"/>
        <v>No infirmation</v>
      </c>
      <c r="M4353" s="94" t="str">
        <f t="shared" si="3"/>
        <v/>
      </c>
    </row>
    <row r="4354" ht="15.75" customHeight="1">
      <c r="B4354" s="77">
        <f t="shared" si="1"/>
        <v>0</v>
      </c>
      <c r="C4354" s="67"/>
      <c r="D4354" s="78"/>
      <c r="E4354" s="101"/>
      <c r="F4354" s="108"/>
      <c r="G4354" s="120"/>
      <c r="H4354" s="101"/>
      <c r="I4354" s="93"/>
      <c r="J4354" s="91"/>
      <c r="L4354" s="94" t="str">
        <f t="shared" si="2"/>
        <v>No infirmation</v>
      </c>
      <c r="M4354" s="94" t="str">
        <f t="shared" si="3"/>
        <v/>
      </c>
    </row>
    <row r="4355" ht="15.75" customHeight="1">
      <c r="B4355" s="77">
        <f t="shared" si="1"/>
        <v>0</v>
      </c>
      <c r="C4355" s="67"/>
      <c r="D4355" s="78"/>
      <c r="E4355" s="101"/>
      <c r="F4355" s="108"/>
      <c r="G4355" s="120"/>
      <c r="H4355" s="101"/>
      <c r="I4355" s="93"/>
      <c r="J4355" s="91"/>
      <c r="L4355" s="94" t="str">
        <f t="shared" si="2"/>
        <v>No infirmation</v>
      </c>
      <c r="M4355" s="94" t="str">
        <f t="shared" si="3"/>
        <v/>
      </c>
    </row>
    <row r="4356" ht="15.75" customHeight="1">
      <c r="B4356" s="77">
        <f t="shared" si="1"/>
        <v>0</v>
      </c>
      <c r="C4356" s="67"/>
      <c r="D4356" s="78"/>
      <c r="E4356" s="101"/>
      <c r="F4356" s="108"/>
      <c r="G4356" s="120"/>
      <c r="H4356" s="101"/>
      <c r="I4356" s="93"/>
      <c r="J4356" s="91"/>
      <c r="L4356" s="94" t="str">
        <f t="shared" si="2"/>
        <v>No infirmation</v>
      </c>
      <c r="M4356" s="94" t="str">
        <f t="shared" si="3"/>
        <v/>
      </c>
    </row>
    <row r="4357" ht="15.75" customHeight="1">
      <c r="B4357" s="77">
        <f t="shared" si="1"/>
        <v>0</v>
      </c>
      <c r="C4357" s="67"/>
      <c r="D4357" s="78"/>
      <c r="E4357" s="101"/>
      <c r="F4357" s="108"/>
      <c r="G4357" s="120"/>
      <c r="H4357" s="101"/>
      <c r="I4357" s="93"/>
      <c r="J4357" s="91"/>
      <c r="L4357" s="94" t="str">
        <f t="shared" si="2"/>
        <v>No infirmation</v>
      </c>
      <c r="M4357" s="94" t="str">
        <f t="shared" si="3"/>
        <v/>
      </c>
    </row>
    <row r="4358" ht="15.75" customHeight="1">
      <c r="B4358" s="77">
        <f t="shared" si="1"/>
        <v>0</v>
      </c>
      <c r="C4358" s="67"/>
      <c r="D4358" s="78"/>
      <c r="E4358" s="101"/>
      <c r="F4358" s="108"/>
      <c r="G4358" s="120"/>
      <c r="H4358" s="101"/>
      <c r="I4358" s="93"/>
      <c r="J4358" s="91"/>
      <c r="L4358" s="94" t="str">
        <f t="shared" si="2"/>
        <v>No infirmation</v>
      </c>
      <c r="M4358" s="94" t="str">
        <f t="shared" si="3"/>
        <v/>
      </c>
    </row>
    <row r="4359" ht="15.75" customHeight="1">
      <c r="B4359" s="77">
        <f t="shared" si="1"/>
        <v>0</v>
      </c>
      <c r="C4359" s="67"/>
      <c r="D4359" s="78"/>
      <c r="E4359" s="101"/>
      <c r="F4359" s="108"/>
      <c r="G4359" s="120"/>
      <c r="H4359" s="101"/>
      <c r="I4359" s="93"/>
      <c r="J4359" s="91"/>
      <c r="L4359" s="94" t="str">
        <f t="shared" si="2"/>
        <v>No infirmation</v>
      </c>
      <c r="M4359" s="94" t="str">
        <f t="shared" si="3"/>
        <v/>
      </c>
    </row>
    <row r="4360" ht="15.75" customHeight="1">
      <c r="B4360" s="77">
        <f t="shared" si="1"/>
        <v>0</v>
      </c>
      <c r="C4360" s="67"/>
      <c r="D4360" s="78"/>
      <c r="E4360" s="101"/>
      <c r="F4360" s="108"/>
      <c r="G4360" s="120"/>
      <c r="H4360" s="101"/>
      <c r="I4360" s="93"/>
      <c r="J4360" s="91"/>
      <c r="L4360" s="94" t="str">
        <f t="shared" si="2"/>
        <v>No infirmation</v>
      </c>
      <c r="M4360" s="94" t="str">
        <f t="shared" si="3"/>
        <v/>
      </c>
    </row>
    <row r="4361" ht="15.75" customHeight="1">
      <c r="B4361" s="77">
        <f t="shared" si="1"/>
        <v>0</v>
      </c>
      <c r="C4361" s="67"/>
      <c r="D4361" s="78"/>
      <c r="E4361" s="101"/>
      <c r="F4361" s="108"/>
      <c r="G4361" s="120"/>
      <c r="H4361" s="101"/>
      <c r="I4361" s="93"/>
      <c r="J4361" s="91"/>
      <c r="L4361" s="94" t="str">
        <f t="shared" si="2"/>
        <v>No infirmation</v>
      </c>
      <c r="M4361" s="94" t="str">
        <f t="shared" si="3"/>
        <v/>
      </c>
    </row>
    <row r="4362" ht="15.75" customHeight="1">
      <c r="B4362" s="77">
        <f t="shared" si="1"/>
        <v>0</v>
      </c>
      <c r="C4362" s="67"/>
      <c r="D4362" s="78"/>
      <c r="E4362" s="101"/>
      <c r="F4362" s="108"/>
      <c r="G4362" s="120"/>
      <c r="H4362" s="101"/>
      <c r="I4362" s="93"/>
      <c r="J4362" s="91"/>
      <c r="L4362" s="94" t="str">
        <f t="shared" si="2"/>
        <v>No infirmation</v>
      </c>
      <c r="M4362" s="94" t="str">
        <f t="shared" si="3"/>
        <v/>
      </c>
    </row>
    <row r="4363" ht="15.75" customHeight="1">
      <c r="B4363" s="77">
        <f t="shared" si="1"/>
        <v>0</v>
      </c>
      <c r="C4363" s="67"/>
      <c r="D4363" s="78"/>
      <c r="E4363" s="101"/>
      <c r="F4363" s="108"/>
      <c r="G4363" s="120"/>
      <c r="H4363" s="101"/>
      <c r="I4363" s="93"/>
      <c r="J4363" s="91"/>
      <c r="L4363" s="94" t="str">
        <f t="shared" si="2"/>
        <v>No infirmation</v>
      </c>
      <c r="M4363" s="94" t="str">
        <f t="shared" si="3"/>
        <v/>
      </c>
    </row>
    <row r="4364" ht="15.75" customHeight="1">
      <c r="B4364" s="77">
        <f t="shared" si="1"/>
        <v>0</v>
      </c>
      <c r="C4364" s="67"/>
      <c r="D4364" s="78"/>
      <c r="E4364" s="101"/>
      <c r="F4364" s="108"/>
      <c r="G4364" s="120"/>
      <c r="H4364" s="101"/>
      <c r="I4364" s="93"/>
      <c r="J4364" s="91"/>
      <c r="L4364" s="94" t="str">
        <f t="shared" si="2"/>
        <v>No infirmation</v>
      </c>
      <c r="M4364" s="94" t="str">
        <f t="shared" si="3"/>
        <v/>
      </c>
    </row>
    <row r="4365" ht="15.75" customHeight="1">
      <c r="B4365" s="77">
        <f t="shared" si="1"/>
        <v>0</v>
      </c>
      <c r="C4365" s="67"/>
      <c r="D4365" s="78"/>
      <c r="E4365" s="101"/>
      <c r="F4365" s="108"/>
      <c r="G4365" s="120"/>
      <c r="H4365" s="101"/>
      <c r="I4365" s="93"/>
      <c r="J4365" s="91"/>
      <c r="L4365" s="94" t="str">
        <f t="shared" si="2"/>
        <v>No infirmation</v>
      </c>
      <c r="M4365" s="94" t="str">
        <f t="shared" si="3"/>
        <v/>
      </c>
    </row>
    <row r="4366" ht="15.75" customHeight="1">
      <c r="B4366" s="77">
        <f t="shared" si="1"/>
        <v>0</v>
      </c>
      <c r="C4366" s="67"/>
      <c r="D4366" s="78"/>
      <c r="E4366" s="101"/>
      <c r="F4366" s="108"/>
      <c r="G4366" s="120"/>
      <c r="H4366" s="101"/>
      <c r="I4366" s="93"/>
      <c r="J4366" s="91"/>
      <c r="L4366" s="94" t="str">
        <f t="shared" si="2"/>
        <v>No infirmation</v>
      </c>
      <c r="M4366" s="94" t="str">
        <f t="shared" si="3"/>
        <v/>
      </c>
    </row>
    <row r="4367" ht="15.75" customHeight="1">
      <c r="B4367" s="77">
        <f t="shared" si="1"/>
        <v>0</v>
      </c>
      <c r="C4367" s="67"/>
      <c r="D4367" s="78"/>
      <c r="E4367" s="101"/>
      <c r="F4367" s="108"/>
      <c r="G4367" s="120"/>
      <c r="H4367" s="101"/>
      <c r="I4367" s="93"/>
      <c r="J4367" s="91"/>
      <c r="L4367" s="94" t="str">
        <f t="shared" si="2"/>
        <v>No infirmation</v>
      </c>
      <c r="M4367" s="94" t="str">
        <f t="shared" si="3"/>
        <v/>
      </c>
    </row>
    <row r="4368" ht="15.75" customHeight="1">
      <c r="B4368" s="77">
        <f t="shared" si="1"/>
        <v>0</v>
      </c>
      <c r="C4368" s="67"/>
      <c r="D4368" s="78"/>
      <c r="E4368" s="101"/>
      <c r="F4368" s="108"/>
      <c r="G4368" s="120"/>
      <c r="H4368" s="101"/>
      <c r="I4368" s="93"/>
      <c r="J4368" s="91"/>
      <c r="L4368" s="94" t="str">
        <f t="shared" si="2"/>
        <v>No infirmation</v>
      </c>
      <c r="M4368" s="94" t="str">
        <f t="shared" si="3"/>
        <v/>
      </c>
    </row>
    <row r="4369" ht="15.75" customHeight="1">
      <c r="B4369" s="77">
        <f t="shared" si="1"/>
        <v>0</v>
      </c>
      <c r="C4369" s="67"/>
      <c r="D4369" s="78"/>
      <c r="E4369" s="101"/>
      <c r="F4369" s="108"/>
      <c r="G4369" s="120"/>
      <c r="H4369" s="101"/>
      <c r="I4369" s="93"/>
      <c r="J4369" s="91"/>
      <c r="L4369" s="94" t="str">
        <f t="shared" si="2"/>
        <v>No infirmation</v>
      </c>
      <c r="M4369" s="94" t="str">
        <f t="shared" si="3"/>
        <v/>
      </c>
    </row>
    <row r="4370" ht="15.75" customHeight="1">
      <c r="B4370" s="77">
        <f t="shared" si="1"/>
        <v>0</v>
      </c>
      <c r="C4370" s="67"/>
      <c r="D4370" s="78"/>
      <c r="E4370" s="101"/>
      <c r="F4370" s="108"/>
      <c r="G4370" s="120"/>
      <c r="H4370" s="101"/>
      <c r="I4370" s="93"/>
      <c r="J4370" s="91"/>
      <c r="L4370" s="94" t="str">
        <f t="shared" si="2"/>
        <v>No infirmation</v>
      </c>
      <c r="M4370" s="94" t="str">
        <f t="shared" si="3"/>
        <v/>
      </c>
    </row>
    <row r="4371" ht="15.75" customHeight="1">
      <c r="B4371" s="77">
        <f t="shared" si="1"/>
        <v>0</v>
      </c>
      <c r="C4371" s="67"/>
      <c r="D4371" s="78"/>
      <c r="E4371" s="101"/>
      <c r="F4371" s="108"/>
      <c r="G4371" s="120"/>
      <c r="H4371" s="101"/>
      <c r="I4371" s="93"/>
      <c r="J4371" s="91"/>
      <c r="L4371" s="94" t="str">
        <f t="shared" si="2"/>
        <v>No infirmation</v>
      </c>
      <c r="M4371" s="94" t="str">
        <f t="shared" si="3"/>
        <v/>
      </c>
    </row>
    <row r="4372" ht="15.75" customHeight="1">
      <c r="B4372" s="77">
        <f t="shared" si="1"/>
        <v>0</v>
      </c>
      <c r="C4372" s="67"/>
      <c r="D4372" s="78"/>
      <c r="E4372" s="101"/>
      <c r="F4372" s="108"/>
      <c r="G4372" s="120"/>
      <c r="H4372" s="101"/>
      <c r="I4372" s="93"/>
      <c r="J4372" s="91"/>
      <c r="L4372" s="94" t="str">
        <f t="shared" si="2"/>
        <v>No infirmation</v>
      </c>
      <c r="M4372" s="94" t="str">
        <f t="shared" si="3"/>
        <v/>
      </c>
    </row>
    <row r="4373" ht="15.75" customHeight="1">
      <c r="B4373" s="77">
        <f t="shared" si="1"/>
        <v>0</v>
      </c>
      <c r="C4373" s="67"/>
      <c r="D4373" s="78"/>
      <c r="E4373" s="101"/>
      <c r="F4373" s="108"/>
      <c r="G4373" s="120"/>
      <c r="H4373" s="101"/>
      <c r="I4373" s="93"/>
      <c r="J4373" s="91"/>
      <c r="L4373" s="94" t="str">
        <f t="shared" si="2"/>
        <v>No infirmation</v>
      </c>
      <c r="M4373" s="94" t="str">
        <f t="shared" si="3"/>
        <v/>
      </c>
    </row>
    <row r="4374" ht="15.75" customHeight="1">
      <c r="B4374" s="77">
        <f t="shared" si="1"/>
        <v>0</v>
      </c>
      <c r="C4374" s="67"/>
      <c r="D4374" s="78"/>
      <c r="E4374" s="101"/>
      <c r="F4374" s="108"/>
      <c r="G4374" s="120"/>
      <c r="H4374" s="101"/>
      <c r="I4374" s="93"/>
      <c r="J4374" s="91"/>
      <c r="L4374" s="94" t="str">
        <f t="shared" si="2"/>
        <v>No infirmation</v>
      </c>
      <c r="M4374" s="94" t="str">
        <f t="shared" si="3"/>
        <v/>
      </c>
    </row>
    <row r="4375" ht="15.75" customHeight="1">
      <c r="B4375" s="77">
        <f t="shared" si="1"/>
        <v>0</v>
      </c>
      <c r="C4375" s="67"/>
      <c r="D4375" s="78"/>
      <c r="E4375" s="101"/>
      <c r="F4375" s="108"/>
      <c r="G4375" s="120"/>
      <c r="H4375" s="101"/>
      <c r="I4375" s="93"/>
      <c r="J4375" s="91"/>
      <c r="L4375" s="94" t="str">
        <f t="shared" si="2"/>
        <v>No infirmation</v>
      </c>
      <c r="M4375" s="94" t="str">
        <f t="shared" si="3"/>
        <v/>
      </c>
    </row>
    <row r="4376" ht="15.75" customHeight="1">
      <c r="B4376" s="77">
        <f t="shared" si="1"/>
        <v>0</v>
      </c>
      <c r="C4376" s="67"/>
      <c r="D4376" s="78"/>
      <c r="E4376" s="101"/>
      <c r="F4376" s="108"/>
      <c r="G4376" s="120"/>
      <c r="H4376" s="101"/>
      <c r="I4376" s="93"/>
      <c r="J4376" s="91"/>
      <c r="L4376" s="94" t="str">
        <f t="shared" si="2"/>
        <v>No infirmation</v>
      </c>
      <c r="M4376" s="94" t="str">
        <f t="shared" si="3"/>
        <v/>
      </c>
    </row>
    <row r="4377" ht="15.75" customHeight="1">
      <c r="B4377" s="77">
        <f t="shared" si="1"/>
        <v>0</v>
      </c>
      <c r="C4377" s="67"/>
      <c r="D4377" s="78"/>
      <c r="E4377" s="101"/>
      <c r="F4377" s="108"/>
      <c r="G4377" s="120"/>
      <c r="H4377" s="101"/>
      <c r="I4377" s="93"/>
      <c r="J4377" s="91"/>
      <c r="L4377" s="94" t="str">
        <f t="shared" si="2"/>
        <v>No infirmation</v>
      </c>
      <c r="M4377" s="94" t="str">
        <f t="shared" si="3"/>
        <v/>
      </c>
    </row>
    <row r="4378" ht="15.75" customHeight="1">
      <c r="B4378" s="77">
        <f t="shared" si="1"/>
        <v>0</v>
      </c>
      <c r="C4378" s="67"/>
      <c r="D4378" s="78"/>
      <c r="E4378" s="101"/>
      <c r="F4378" s="108"/>
      <c r="G4378" s="120"/>
      <c r="H4378" s="101"/>
      <c r="I4378" s="93"/>
      <c r="J4378" s="91"/>
      <c r="L4378" s="94" t="str">
        <f t="shared" si="2"/>
        <v>No infirmation</v>
      </c>
      <c r="M4378" s="94" t="str">
        <f t="shared" si="3"/>
        <v/>
      </c>
    </row>
  </sheetData>
  <autoFilter ref="$B$2:$K$4378"/>
  <conditionalFormatting sqref="A2:K2 N2:AB2">
    <cfRule type="notContainsBlanks" dxfId="5" priority="1">
      <formula>LEN(TRIM(A2))&gt;0</formula>
    </cfRule>
  </conditionalFormatting>
  <dataValidations>
    <dataValidation type="list" allowBlank="1" showErrorMessage="1" sqref="E3:E289 E292:E659 E661:E4378">
      <formula1>"SN01,SN02,SN03"</formula1>
    </dataValidation>
    <dataValidation type="list" allowBlank="1" showErrorMessage="1" sqref="F3:F368 F370:F659 F661:F4378">
      <formula1>"25/12,26/12,27/12,28/12,29/12,30/12,31/12,10/01,11/01,12/01,13/01,14/01,15/01,16/01,17/01,18/01,19/01,20/1,22/1"</formula1>
    </dataValidation>
    <dataValidation type="list" allowBlank="1" showErrorMessage="1" sqref="I3:I534">
      <formula1>"Submission,Reviewed,Adjudication,Skip,Rework"</formula1>
    </dataValidation>
    <dataValidation type="list" allowBlank="1" showErrorMessage="1" sqref="I535:I652 I658:I693 I704:I4378">
      <formula1>"Submission,Reviewed,Adjudication,Skip"</formula1>
    </dataValidation>
    <dataValidation type="list" allowBlank="1" showErrorMessage="1" sqref="F369">
      <formula1>"25/12,26/12,27/12,28/12,29/12,30/12,31/12,1/01,06/01,08/01"</formula1>
    </dataValidation>
  </dataValidations>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0"/>
    <hyperlink r:id="rId39" ref="H41"/>
    <hyperlink r:id="rId40" ref="H42"/>
    <hyperlink r:id="rId41" ref="H43"/>
    <hyperlink r:id="rId42" ref="H44"/>
    <hyperlink r:id="rId43" ref="H45"/>
    <hyperlink r:id="rId44" ref="H46"/>
    <hyperlink r:id="rId45" ref="H47"/>
    <hyperlink r:id="rId46" ref="H48"/>
    <hyperlink r:id="rId47" ref="H49"/>
    <hyperlink r:id="rId48" ref="H50"/>
    <hyperlink r:id="rId49" ref="H51"/>
    <hyperlink r:id="rId50" ref="H52"/>
    <hyperlink r:id="rId51" ref="H53"/>
    <hyperlink r:id="rId52" ref="H54"/>
    <hyperlink r:id="rId53" ref="H55"/>
    <hyperlink r:id="rId54" ref="H56"/>
    <hyperlink r:id="rId55" ref="H57"/>
    <hyperlink r:id="rId56" ref="H58"/>
    <hyperlink r:id="rId57" ref="H59"/>
    <hyperlink r:id="rId58" ref="H60"/>
    <hyperlink r:id="rId59" ref="H61"/>
    <hyperlink r:id="rId60" ref="H62"/>
    <hyperlink r:id="rId61" ref="H63"/>
    <hyperlink r:id="rId62" ref="H64"/>
    <hyperlink r:id="rId63" ref="H65"/>
    <hyperlink r:id="rId64" ref="H66"/>
    <hyperlink r:id="rId65" ref="H67"/>
    <hyperlink r:id="rId66" ref="H68"/>
    <hyperlink r:id="rId67" ref="H69"/>
    <hyperlink r:id="rId68" ref="H70"/>
    <hyperlink r:id="rId69" ref="H71"/>
    <hyperlink r:id="rId70" ref="H72"/>
    <hyperlink r:id="rId71" ref="H73"/>
    <hyperlink r:id="rId72" ref="H74"/>
    <hyperlink r:id="rId73" ref="H75"/>
    <hyperlink r:id="rId74" ref="H76"/>
    <hyperlink r:id="rId75" ref="H77"/>
    <hyperlink r:id="rId76" ref="H78"/>
    <hyperlink r:id="rId77" ref="H79"/>
    <hyperlink r:id="rId78" ref="H80"/>
    <hyperlink r:id="rId79" ref="H81"/>
    <hyperlink r:id="rId80" ref="H82"/>
    <hyperlink r:id="rId81" ref="H83"/>
    <hyperlink r:id="rId82" ref="H84"/>
    <hyperlink r:id="rId83" ref="H85"/>
    <hyperlink r:id="rId84" ref="H86"/>
    <hyperlink r:id="rId85" ref="H87"/>
    <hyperlink r:id="rId86" ref="H88"/>
    <hyperlink r:id="rId87" ref="H89"/>
    <hyperlink r:id="rId88" ref="H90"/>
    <hyperlink r:id="rId89" ref="H91"/>
    <hyperlink r:id="rId90" ref="H92"/>
    <hyperlink r:id="rId91" ref="H93"/>
    <hyperlink r:id="rId92" ref="H94"/>
    <hyperlink r:id="rId93" ref="H95"/>
    <hyperlink r:id="rId94" ref="H96"/>
    <hyperlink r:id="rId95" ref="H97"/>
    <hyperlink r:id="rId96" ref="H98"/>
    <hyperlink r:id="rId97" ref="H99"/>
    <hyperlink r:id="rId98" ref="H100"/>
    <hyperlink r:id="rId99" ref="H101"/>
    <hyperlink r:id="rId100" ref="H102"/>
    <hyperlink r:id="rId101" ref="H103"/>
    <hyperlink r:id="rId102" ref="H104"/>
    <hyperlink r:id="rId103" ref="H105"/>
    <hyperlink r:id="rId104" ref="H106"/>
    <hyperlink r:id="rId105" ref="H107"/>
    <hyperlink r:id="rId106" ref="H108"/>
    <hyperlink r:id="rId107" ref="H109"/>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ref="H141"/>
    <hyperlink r:id="rId140" ref="H142"/>
    <hyperlink r:id="rId141" ref="H143"/>
    <hyperlink r:id="rId142" ref="H144"/>
    <hyperlink r:id="rId143" ref="H145"/>
    <hyperlink r:id="rId144" ref="H146"/>
    <hyperlink r:id="rId145" ref="H147"/>
    <hyperlink r:id="rId146" ref="H148"/>
    <hyperlink r:id="rId147" ref="H149"/>
    <hyperlink r:id="rId148" ref="H150"/>
    <hyperlink r:id="rId149" ref="H151"/>
    <hyperlink r:id="rId150" ref="H152"/>
    <hyperlink r:id="rId151" ref="H153"/>
    <hyperlink r:id="rId152" ref="H154"/>
    <hyperlink r:id="rId153" ref="H155"/>
    <hyperlink r:id="rId154" ref="H156"/>
    <hyperlink r:id="rId155" ref="H157"/>
    <hyperlink r:id="rId156" ref="H158"/>
    <hyperlink r:id="rId157" ref="H159"/>
    <hyperlink r:id="rId158" ref="H160"/>
    <hyperlink r:id="rId159" ref="H161"/>
    <hyperlink r:id="rId160" ref="H162"/>
    <hyperlink r:id="rId161" ref="H163"/>
    <hyperlink r:id="rId162" ref="H164"/>
    <hyperlink r:id="rId163" ref="H165"/>
    <hyperlink r:id="rId164" ref="H166"/>
    <hyperlink r:id="rId165" ref="H167"/>
    <hyperlink r:id="rId166" ref="H168"/>
    <hyperlink r:id="rId167" ref="H169"/>
    <hyperlink r:id="rId168" ref="H170"/>
    <hyperlink r:id="rId169" ref="H171"/>
    <hyperlink r:id="rId170" ref="H172"/>
    <hyperlink r:id="rId171" ref="H173"/>
    <hyperlink r:id="rId172" ref="H174"/>
    <hyperlink r:id="rId173" ref="H175"/>
    <hyperlink r:id="rId174" ref="H176"/>
    <hyperlink r:id="rId175" ref="H177"/>
    <hyperlink r:id="rId176" ref="H178"/>
    <hyperlink r:id="rId177" ref="H179"/>
    <hyperlink r:id="rId178" ref="H180"/>
    <hyperlink r:id="rId179" ref="H181"/>
    <hyperlink r:id="rId180" ref="H182"/>
    <hyperlink r:id="rId181" ref="H183"/>
    <hyperlink r:id="rId182" ref="H184"/>
    <hyperlink r:id="rId183" ref="H185"/>
    <hyperlink r:id="rId184" ref="H186"/>
    <hyperlink r:id="rId185" ref="H187"/>
    <hyperlink r:id="rId186" ref="H188"/>
    <hyperlink r:id="rId187" ref="H189"/>
    <hyperlink r:id="rId188" ref="H190"/>
    <hyperlink r:id="rId189" ref="H191"/>
    <hyperlink r:id="rId190" ref="H192"/>
    <hyperlink r:id="rId191" ref="H193"/>
    <hyperlink r:id="rId192" ref="H194"/>
    <hyperlink r:id="rId193" ref="H195"/>
    <hyperlink r:id="rId194" ref="H196"/>
    <hyperlink r:id="rId195" ref="H197"/>
    <hyperlink r:id="rId196" ref="H198"/>
    <hyperlink r:id="rId197" ref="H199"/>
    <hyperlink r:id="rId198" ref="H200"/>
    <hyperlink r:id="rId199" ref="H201"/>
    <hyperlink r:id="rId200" ref="H202"/>
    <hyperlink r:id="rId201" ref="H203"/>
    <hyperlink r:id="rId202" ref="H204"/>
    <hyperlink r:id="rId203" ref="H205"/>
    <hyperlink r:id="rId204" ref="H206"/>
    <hyperlink r:id="rId205" ref="H207"/>
    <hyperlink r:id="rId206" ref="H208"/>
    <hyperlink r:id="rId207" ref="H209"/>
    <hyperlink r:id="rId208" ref="H210"/>
    <hyperlink r:id="rId209" ref="H211"/>
    <hyperlink r:id="rId210" ref="H212"/>
    <hyperlink r:id="rId211" ref="H213"/>
    <hyperlink r:id="rId212" ref="H214"/>
    <hyperlink r:id="rId213" ref="H215"/>
    <hyperlink r:id="rId214" ref="H216"/>
    <hyperlink r:id="rId215" ref="H217"/>
    <hyperlink r:id="rId216" ref="H218"/>
    <hyperlink r:id="rId217" ref="H219"/>
    <hyperlink r:id="rId218" ref="H220"/>
    <hyperlink r:id="rId219" ref="H221"/>
    <hyperlink r:id="rId220" ref="H222"/>
    <hyperlink r:id="rId221" ref="H223"/>
    <hyperlink r:id="rId222" ref="H224"/>
    <hyperlink r:id="rId223" ref="H225"/>
    <hyperlink r:id="rId224" ref="H226"/>
    <hyperlink r:id="rId225" ref="H227"/>
    <hyperlink r:id="rId226" ref="H228"/>
    <hyperlink r:id="rId227" ref="H229"/>
    <hyperlink r:id="rId228" ref="H230"/>
    <hyperlink r:id="rId229" ref="H231"/>
    <hyperlink r:id="rId230" ref="H232"/>
    <hyperlink r:id="rId231" ref="H233"/>
    <hyperlink r:id="rId232" ref="H234"/>
    <hyperlink r:id="rId233" ref="H235"/>
    <hyperlink r:id="rId234" ref="H236"/>
    <hyperlink r:id="rId235" ref="H237"/>
    <hyperlink r:id="rId236" ref="H238"/>
    <hyperlink r:id="rId237" ref="H239"/>
    <hyperlink r:id="rId238" ref="H240"/>
    <hyperlink r:id="rId239" ref="H241"/>
    <hyperlink r:id="rId240" ref="H242"/>
    <hyperlink r:id="rId241" ref="H243"/>
    <hyperlink r:id="rId242" ref="H244"/>
    <hyperlink r:id="rId243" ref="H245"/>
    <hyperlink r:id="rId244" ref="H246"/>
    <hyperlink r:id="rId245" ref="H247"/>
    <hyperlink r:id="rId246" ref="H248"/>
    <hyperlink r:id="rId247" ref="H249"/>
    <hyperlink r:id="rId248" ref="H250"/>
    <hyperlink r:id="rId249" ref="H251"/>
    <hyperlink r:id="rId250" ref="H252"/>
    <hyperlink r:id="rId251" ref="H253"/>
    <hyperlink r:id="rId252" ref="H254"/>
    <hyperlink r:id="rId253" ref="H255"/>
    <hyperlink r:id="rId254" ref="H256"/>
    <hyperlink r:id="rId255" ref="H257"/>
    <hyperlink r:id="rId256" ref="H258"/>
    <hyperlink r:id="rId257" ref="H259"/>
    <hyperlink r:id="rId258" ref="H260"/>
    <hyperlink r:id="rId259" ref="H261"/>
    <hyperlink r:id="rId260" ref="H262"/>
    <hyperlink r:id="rId261" ref="H263"/>
    <hyperlink r:id="rId262" ref="H264"/>
    <hyperlink r:id="rId263" ref="H265"/>
    <hyperlink r:id="rId264" ref="H266"/>
    <hyperlink r:id="rId265" ref="H267"/>
    <hyperlink r:id="rId266" ref="H268"/>
    <hyperlink r:id="rId267" ref="H269"/>
    <hyperlink r:id="rId268" ref="H270"/>
    <hyperlink r:id="rId269" ref="H271"/>
    <hyperlink r:id="rId270" ref="H272"/>
    <hyperlink r:id="rId271" ref="H273"/>
    <hyperlink r:id="rId272" ref="H274"/>
    <hyperlink r:id="rId273" ref="H275"/>
    <hyperlink r:id="rId274" ref="H276"/>
    <hyperlink r:id="rId275" ref="H277"/>
    <hyperlink r:id="rId276" ref="H278"/>
    <hyperlink r:id="rId277" ref="H279"/>
    <hyperlink r:id="rId278" ref="H280"/>
    <hyperlink r:id="rId279" ref="H281"/>
    <hyperlink r:id="rId280" ref="H282"/>
    <hyperlink r:id="rId281" ref="H283"/>
    <hyperlink r:id="rId282" ref="H284"/>
    <hyperlink r:id="rId283" ref="H285"/>
    <hyperlink r:id="rId284" ref="H286"/>
    <hyperlink r:id="rId285" ref="H287"/>
    <hyperlink r:id="rId286" ref="H288"/>
    <hyperlink r:id="rId287" ref="H289"/>
    <hyperlink r:id="rId288" ref="H290"/>
    <hyperlink r:id="rId289" ref="H291"/>
    <hyperlink r:id="rId290" ref="H292"/>
    <hyperlink r:id="rId291" ref="H293"/>
    <hyperlink r:id="rId292" ref="H294"/>
    <hyperlink r:id="rId293" ref="H295"/>
    <hyperlink r:id="rId294" ref="H296"/>
    <hyperlink r:id="rId295" ref="H297"/>
    <hyperlink r:id="rId296" ref="H298"/>
    <hyperlink r:id="rId297" ref="H299"/>
    <hyperlink r:id="rId298" ref="H300"/>
    <hyperlink r:id="rId299" ref="H301"/>
    <hyperlink r:id="rId300" ref="H302"/>
    <hyperlink r:id="rId301" ref="H303"/>
    <hyperlink r:id="rId302" ref="H304"/>
    <hyperlink r:id="rId303" ref="H305"/>
    <hyperlink r:id="rId304" ref="H306"/>
    <hyperlink r:id="rId305" ref="H307"/>
    <hyperlink r:id="rId306" ref="H308"/>
    <hyperlink r:id="rId307" ref="H309"/>
    <hyperlink r:id="rId308" ref="H310"/>
    <hyperlink r:id="rId309" ref="H311"/>
    <hyperlink r:id="rId310" ref="H312"/>
    <hyperlink r:id="rId311" ref="H313"/>
    <hyperlink r:id="rId312" ref="H314"/>
    <hyperlink r:id="rId313" ref="H315"/>
    <hyperlink r:id="rId314" ref="H316"/>
    <hyperlink r:id="rId315" ref="H317"/>
    <hyperlink r:id="rId316" ref="H318"/>
    <hyperlink r:id="rId317" ref="H319"/>
    <hyperlink r:id="rId318" ref="H320"/>
    <hyperlink r:id="rId319" ref="H321"/>
    <hyperlink r:id="rId320" ref="H322"/>
    <hyperlink r:id="rId321" ref="H323"/>
    <hyperlink r:id="rId322" ref="H324"/>
    <hyperlink r:id="rId323" ref="H325"/>
    <hyperlink r:id="rId324" ref="H326"/>
    <hyperlink r:id="rId325" ref="H327"/>
    <hyperlink r:id="rId326" ref="H328"/>
    <hyperlink r:id="rId327" ref="H329"/>
    <hyperlink r:id="rId328" ref="H330"/>
    <hyperlink r:id="rId329" ref="H331"/>
    <hyperlink r:id="rId330" ref="H332"/>
    <hyperlink r:id="rId331" ref="H333"/>
    <hyperlink r:id="rId332" ref="H334"/>
    <hyperlink r:id="rId333" ref="H335"/>
    <hyperlink r:id="rId334" ref="H336"/>
    <hyperlink r:id="rId335" ref="H337"/>
    <hyperlink r:id="rId336" ref="H338"/>
    <hyperlink r:id="rId337" ref="H339"/>
    <hyperlink r:id="rId338" ref="H340"/>
    <hyperlink r:id="rId339" ref="H341"/>
    <hyperlink r:id="rId340" ref="H342"/>
    <hyperlink r:id="rId341" ref="H343"/>
    <hyperlink r:id="rId342" ref="H344"/>
    <hyperlink r:id="rId343" ref="H345"/>
    <hyperlink r:id="rId344" ref="H346"/>
    <hyperlink r:id="rId345" ref="H347"/>
    <hyperlink r:id="rId346" ref="H348"/>
    <hyperlink r:id="rId347" ref="H349"/>
    <hyperlink r:id="rId348" ref="H350"/>
    <hyperlink r:id="rId349" ref="H351"/>
    <hyperlink r:id="rId350" ref="H352"/>
    <hyperlink r:id="rId351" ref="H353"/>
    <hyperlink r:id="rId352" ref="H354"/>
    <hyperlink r:id="rId353" ref="H355"/>
    <hyperlink r:id="rId354" ref="H356"/>
    <hyperlink r:id="rId355" ref="H357"/>
    <hyperlink r:id="rId356" ref="H358"/>
    <hyperlink r:id="rId357" ref="H359"/>
    <hyperlink r:id="rId358" ref="H360"/>
    <hyperlink r:id="rId359" ref="H361"/>
    <hyperlink r:id="rId360" ref="H362"/>
    <hyperlink r:id="rId361" ref="H363"/>
    <hyperlink r:id="rId362" ref="H364"/>
    <hyperlink r:id="rId363" ref="H365"/>
    <hyperlink r:id="rId364" ref="H366"/>
    <hyperlink r:id="rId365" ref="H367"/>
    <hyperlink r:id="rId366" ref="H368"/>
    <hyperlink r:id="rId367" ref="H369"/>
    <hyperlink r:id="rId368" ref="H370"/>
    <hyperlink r:id="rId369" ref="H371"/>
    <hyperlink r:id="rId370" ref="H372"/>
    <hyperlink r:id="rId371" ref="H373"/>
    <hyperlink r:id="rId372" ref="H374"/>
    <hyperlink r:id="rId373" ref="H375"/>
    <hyperlink r:id="rId374" ref="H376"/>
    <hyperlink r:id="rId375" ref="H377"/>
    <hyperlink r:id="rId376" ref="H378"/>
    <hyperlink r:id="rId377" ref="H379"/>
    <hyperlink r:id="rId378" ref="H380"/>
    <hyperlink r:id="rId379" ref="H381"/>
    <hyperlink r:id="rId380" ref="H382"/>
    <hyperlink r:id="rId381" ref="H383"/>
    <hyperlink r:id="rId382" ref="H384"/>
    <hyperlink r:id="rId383" ref="H385"/>
    <hyperlink r:id="rId384" ref="H386"/>
    <hyperlink r:id="rId385" ref="H387"/>
    <hyperlink r:id="rId386" ref="H388"/>
    <hyperlink r:id="rId387" ref="H389"/>
    <hyperlink r:id="rId388" ref="H390"/>
    <hyperlink r:id="rId389" ref="H391"/>
    <hyperlink r:id="rId390" ref="H392"/>
    <hyperlink r:id="rId391" ref="H393"/>
    <hyperlink r:id="rId392" ref="H394"/>
    <hyperlink r:id="rId393" ref="H395"/>
    <hyperlink r:id="rId394" ref="H396"/>
    <hyperlink r:id="rId395" ref="H397"/>
    <hyperlink r:id="rId396" ref="H398"/>
    <hyperlink r:id="rId397" ref="H399"/>
    <hyperlink r:id="rId398" ref="H400"/>
    <hyperlink r:id="rId399" ref="H401"/>
    <hyperlink r:id="rId400" ref="H402"/>
    <hyperlink r:id="rId401" ref="H403"/>
    <hyperlink r:id="rId402" ref="H404"/>
    <hyperlink r:id="rId403" ref="H405"/>
    <hyperlink r:id="rId404" ref="H406"/>
    <hyperlink r:id="rId405" ref="H407"/>
    <hyperlink r:id="rId406" ref="H408"/>
    <hyperlink r:id="rId407" ref="H409"/>
    <hyperlink r:id="rId408" ref="H410"/>
    <hyperlink r:id="rId409" ref="H411"/>
    <hyperlink r:id="rId410" ref="H412"/>
    <hyperlink r:id="rId411" ref="H413"/>
    <hyperlink r:id="rId412" ref="H414"/>
    <hyperlink r:id="rId413" ref="H415"/>
    <hyperlink r:id="rId414" ref="H417"/>
    <hyperlink r:id="rId415" ref="H418"/>
    <hyperlink r:id="rId416" ref="H419"/>
    <hyperlink r:id="rId417" ref="H420"/>
    <hyperlink r:id="rId418" ref="H421"/>
    <hyperlink r:id="rId419" ref="H422"/>
    <hyperlink r:id="rId420" ref="H423"/>
    <hyperlink r:id="rId421" ref="H424"/>
    <hyperlink r:id="rId422" ref="H425"/>
    <hyperlink r:id="rId423" ref="H426"/>
    <hyperlink r:id="rId424" ref="H427"/>
    <hyperlink r:id="rId425" ref="H428"/>
    <hyperlink r:id="rId426" ref="H429"/>
    <hyperlink r:id="rId427" ref="H430"/>
    <hyperlink r:id="rId428" ref="H431"/>
    <hyperlink r:id="rId429" ref="H432"/>
    <hyperlink r:id="rId430" ref="H433"/>
    <hyperlink r:id="rId431" ref="H434"/>
    <hyperlink r:id="rId432" ref="H435"/>
    <hyperlink r:id="rId433" ref="H436"/>
    <hyperlink r:id="rId434" ref="H437"/>
    <hyperlink r:id="rId435" ref="H438"/>
    <hyperlink r:id="rId436" ref="H439"/>
    <hyperlink r:id="rId437" ref="H440"/>
    <hyperlink r:id="rId438" ref="H441"/>
    <hyperlink r:id="rId439" ref="H442"/>
    <hyperlink r:id="rId440" ref="H443"/>
    <hyperlink r:id="rId441" ref="H444"/>
    <hyperlink r:id="rId442" ref="H445"/>
    <hyperlink r:id="rId443" ref="H446"/>
    <hyperlink r:id="rId444" ref="H447"/>
    <hyperlink r:id="rId445" ref="H448"/>
    <hyperlink r:id="rId446" ref="H449"/>
    <hyperlink r:id="rId447" ref="H450"/>
    <hyperlink r:id="rId448" ref="H451"/>
    <hyperlink r:id="rId449" ref="H452"/>
    <hyperlink r:id="rId450" ref="H453"/>
    <hyperlink r:id="rId451" ref="H454"/>
    <hyperlink r:id="rId452" ref="H455"/>
    <hyperlink r:id="rId453" ref="H456"/>
    <hyperlink r:id="rId454" ref="H457"/>
    <hyperlink r:id="rId455" ref="H458"/>
    <hyperlink r:id="rId456" ref="H459"/>
    <hyperlink r:id="rId457" ref="H460"/>
    <hyperlink r:id="rId458" ref="H461"/>
    <hyperlink r:id="rId459" ref="H462"/>
    <hyperlink r:id="rId460" ref="H463"/>
    <hyperlink r:id="rId461" ref="H464"/>
    <hyperlink r:id="rId462" ref="H465"/>
    <hyperlink r:id="rId463" ref="H466"/>
    <hyperlink r:id="rId464" ref="H467"/>
    <hyperlink r:id="rId465" ref="H468"/>
    <hyperlink r:id="rId466" ref="H469"/>
    <hyperlink r:id="rId467" ref="H470"/>
    <hyperlink r:id="rId468" ref="H471"/>
    <hyperlink r:id="rId469" ref="H472"/>
    <hyperlink r:id="rId470" ref="H473"/>
    <hyperlink r:id="rId471" ref="H474"/>
    <hyperlink r:id="rId472" ref="H475"/>
    <hyperlink r:id="rId473" ref="H476"/>
    <hyperlink r:id="rId474" ref="H477"/>
    <hyperlink r:id="rId475" ref="H478"/>
    <hyperlink r:id="rId476" ref="H479"/>
    <hyperlink r:id="rId477" ref="H480"/>
    <hyperlink r:id="rId478" ref="H481"/>
    <hyperlink r:id="rId479" ref="H482"/>
    <hyperlink r:id="rId480" ref="H483"/>
    <hyperlink r:id="rId481" ref="H484"/>
    <hyperlink r:id="rId482" ref="H485"/>
    <hyperlink r:id="rId483" ref="H486"/>
    <hyperlink r:id="rId484" ref="H487"/>
    <hyperlink r:id="rId485" ref="H488"/>
    <hyperlink r:id="rId486" ref="H489"/>
    <hyperlink r:id="rId487" ref="H490"/>
    <hyperlink r:id="rId488" ref="H491"/>
    <hyperlink r:id="rId489" ref="H492"/>
    <hyperlink r:id="rId490" ref="H493"/>
    <hyperlink r:id="rId491" ref="H494"/>
    <hyperlink r:id="rId492" ref="H495"/>
    <hyperlink r:id="rId493" ref="H496"/>
    <hyperlink r:id="rId494" ref="H497"/>
    <hyperlink r:id="rId495" ref="H498"/>
    <hyperlink r:id="rId496" ref="H499"/>
    <hyperlink r:id="rId497" ref="H500"/>
    <hyperlink r:id="rId498" ref="H501"/>
    <hyperlink r:id="rId499" ref="H502"/>
    <hyperlink r:id="rId500" ref="H503"/>
    <hyperlink r:id="rId501" ref="H504"/>
    <hyperlink r:id="rId502" ref="H505"/>
    <hyperlink r:id="rId503" ref="H506"/>
    <hyperlink r:id="rId504" ref="H507"/>
    <hyperlink r:id="rId505" ref="H508"/>
    <hyperlink r:id="rId506" ref="H509"/>
    <hyperlink r:id="rId507" ref="H510"/>
    <hyperlink r:id="rId508" ref="H511"/>
    <hyperlink r:id="rId509" ref="H512"/>
    <hyperlink r:id="rId510" ref="H513"/>
    <hyperlink r:id="rId511" ref="H514"/>
    <hyperlink r:id="rId512" ref="H515"/>
    <hyperlink r:id="rId513" ref="H516"/>
    <hyperlink r:id="rId514" ref="H517"/>
    <hyperlink r:id="rId515" ref="H518"/>
    <hyperlink r:id="rId516" ref="H519"/>
    <hyperlink r:id="rId517" ref="H520"/>
    <hyperlink r:id="rId518" ref="H521"/>
    <hyperlink r:id="rId519" ref="H522"/>
    <hyperlink r:id="rId520" ref="H523"/>
    <hyperlink r:id="rId521" ref="H524"/>
    <hyperlink r:id="rId522" ref="H525"/>
    <hyperlink r:id="rId523" ref="H526"/>
    <hyperlink r:id="rId524" ref="H527"/>
    <hyperlink r:id="rId525" ref="H528"/>
    <hyperlink r:id="rId526" ref="H529"/>
    <hyperlink r:id="rId527" ref="H530"/>
    <hyperlink r:id="rId528" ref="H531"/>
    <hyperlink r:id="rId529" ref="H532"/>
    <hyperlink r:id="rId530" ref="H533"/>
    <hyperlink r:id="rId531" ref="H534"/>
    <hyperlink r:id="rId532" ref="H535"/>
    <hyperlink r:id="rId533" ref="H536"/>
    <hyperlink r:id="rId534" ref="H537"/>
    <hyperlink r:id="rId535" ref="H538"/>
    <hyperlink r:id="rId536" ref="H539"/>
    <hyperlink r:id="rId537" ref="H540"/>
    <hyperlink r:id="rId538" ref="H541"/>
    <hyperlink r:id="rId539" ref="H542"/>
    <hyperlink r:id="rId540" ref="H543"/>
    <hyperlink r:id="rId541" ref="H544"/>
    <hyperlink r:id="rId542" ref="H545"/>
    <hyperlink r:id="rId543" ref="H546"/>
    <hyperlink r:id="rId544" ref="H547"/>
    <hyperlink r:id="rId545" ref="H548"/>
    <hyperlink r:id="rId546" ref="H549"/>
    <hyperlink r:id="rId547" ref="H550"/>
    <hyperlink r:id="rId548" ref="H551"/>
    <hyperlink r:id="rId549" ref="H552"/>
    <hyperlink r:id="rId550" ref="H553"/>
    <hyperlink r:id="rId551" ref="H554"/>
    <hyperlink r:id="rId552" ref="H555"/>
    <hyperlink r:id="rId553" ref="H556"/>
    <hyperlink r:id="rId554" ref="H557"/>
    <hyperlink r:id="rId555" ref="H558"/>
    <hyperlink r:id="rId556" ref="H559"/>
    <hyperlink r:id="rId557" ref="H560"/>
    <hyperlink r:id="rId558" ref="H561"/>
    <hyperlink r:id="rId559" ref="H562"/>
    <hyperlink r:id="rId560" ref="H563"/>
    <hyperlink r:id="rId561" ref="H564"/>
    <hyperlink r:id="rId562" ref="H565"/>
    <hyperlink r:id="rId563" ref="H566"/>
    <hyperlink r:id="rId564" ref="H567"/>
    <hyperlink r:id="rId565" ref="H568"/>
    <hyperlink r:id="rId566" ref="H569"/>
    <hyperlink r:id="rId567" ref="H570"/>
    <hyperlink r:id="rId568" ref="H571"/>
    <hyperlink r:id="rId569" ref="H572"/>
    <hyperlink r:id="rId570" ref="H573"/>
    <hyperlink r:id="rId571" ref="H574"/>
    <hyperlink r:id="rId572" ref="H575"/>
    <hyperlink r:id="rId573" ref="H576"/>
    <hyperlink r:id="rId574" ref="H577"/>
    <hyperlink r:id="rId575" ref="H578"/>
    <hyperlink r:id="rId576" ref="H579"/>
    <hyperlink r:id="rId577" ref="H580"/>
    <hyperlink r:id="rId578" ref="H581"/>
    <hyperlink r:id="rId579" ref="H582"/>
    <hyperlink r:id="rId580" ref="H583"/>
    <hyperlink r:id="rId581" ref="H584"/>
    <hyperlink r:id="rId582" ref="H585"/>
    <hyperlink r:id="rId583" ref="H586"/>
    <hyperlink r:id="rId584" ref="H587"/>
    <hyperlink r:id="rId585" ref="H588"/>
    <hyperlink r:id="rId586" ref="H589"/>
    <hyperlink r:id="rId587" ref="H590"/>
    <hyperlink r:id="rId588" ref="H591"/>
    <hyperlink r:id="rId589" ref="H592"/>
    <hyperlink r:id="rId590" ref="H593"/>
    <hyperlink r:id="rId591" ref="H594"/>
    <hyperlink r:id="rId592" ref="H595"/>
    <hyperlink r:id="rId593" ref="H596"/>
    <hyperlink r:id="rId594" ref="H597"/>
    <hyperlink r:id="rId595" ref="H598"/>
    <hyperlink r:id="rId596" ref="H599"/>
    <hyperlink r:id="rId597" ref="H600"/>
    <hyperlink r:id="rId598" ref="H601"/>
    <hyperlink r:id="rId599" ref="H602"/>
    <hyperlink r:id="rId600" ref="H603"/>
    <hyperlink r:id="rId601" ref="H604"/>
    <hyperlink r:id="rId602" ref="H605"/>
    <hyperlink r:id="rId603" ref="H606"/>
    <hyperlink r:id="rId604" ref="H607"/>
    <hyperlink r:id="rId605" ref="H608"/>
    <hyperlink r:id="rId606" ref="H609"/>
    <hyperlink r:id="rId607" ref="H610"/>
    <hyperlink r:id="rId608" ref="H611"/>
    <hyperlink r:id="rId609" ref="H612"/>
    <hyperlink r:id="rId610" ref="H613"/>
    <hyperlink r:id="rId611" ref="H614"/>
    <hyperlink r:id="rId612" ref="H615"/>
    <hyperlink r:id="rId613" ref="H616"/>
    <hyperlink r:id="rId614" ref="H617"/>
    <hyperlink r:id="rId615" ref="H618"/>
    <hyperlink r:id="rId616" ref="H619"/>
    <hyperlink r:id="rId617" ref="H620"/>
    <hyperlink r:id="rId618" ref="H621"/>
    <hyperlink r:id="rId619" ref="H622"/>
    <hyperlink r:id="rId620" ref="H623"/>
    <hyperlink r:id="rId621" ref="H624"/>
    <hyperlink r:id="rId622" ref="H625"/>
    <hyperlink r:id="rId623" ref="H626"/>
    <hyperlink r:id="rId624" ref="H627"/>
    <hyperlink r:id="rId625" ref="H628"/>
    <hyperlink r:id="rId626" ref="H629"/>
    <hyperlink r:id="rId627" ref="H630"/>
    <hyperlink r:id="rId628" ref="H631"/>
    <hyperlink r:id="rId629" ref="H632"/>
    <hyperlink r:id="rId630" ref="H633"/>
    <hyperlink r:id="rId631" ref="H634"/>
    <hyperlink r:id="rId632" ref="H635"/>
    <hyperlink r:id="rId633" ref="H636"/>
    <hyperlink r:id="rId634" ref="H637"/>
    <hyperlink r:id="rId635" ref="H638"/>
    <hyperlink r:id="rId636" ref="H639"/>
    <hyperlink r:id="rId637" ref="H640"/>
    <hyperlink r:id="rId638" ref="H641"/>
    <hyperlink r:id="rId639" ref="H642"/>
    <hyperlink r:id="rId640" ref="H643"/>
    <hyperlink r:id="rId641" ref="H644"/>
    <hyperlink r:id="rId642" ref="H645"/>
    <hyperlink r:id="rId643" ref="H646"/>
    <hyperlink r:id="rId644" ref="H647"/>
    <hyperlink r:id="rId645" ref="H648"/>
    <hyperlink r:id="rId646" ref="H649"/>
    <hyperlink r:id="rId647" ref="H650"/>
    <hyperlink r:id="rId648" ref="H651"/>
    <hyperlink r:id="rId649" ref="H652"/>
    <hyperlink r:id="rId650" ref="H653"/>
    <hyperlink r:id="rId651" ref="H654"/>
    <hyperlink r:id="rId652" ref="H655"/>
    <hyperlink r:id="rId653" ref="H656"/>
    <hyperlink r:id="rId654" ref="H657"/>
    <hyperlink r:id="rId655" ref="H658"/>
    <hyperlink r:id="rId656" ref="H659"/>
    <hyperlink r:id="rId657" ref="H661"/>
    <hyperlink r:id="rId658" ref="H673"/>
    <hyperlink r:id="rId659" ref="H674"/>
    <hyperlink r:id="rId660" ref="H675"/>
    <hyperlink r:id="rId661" ref="H676"/>
    <hyperlink r:id="rId662" ref="H677"/>
    <hyperlink r:id="rId663" ref="H678"/>
    <hyperlink r:id="rId664" ref="H679"/>
    <hyperlink r:id="rId665" ref="H680"/>
    <hyperlink r:id="rId666" ref="H681"/>
    <hyperlink r:id="rId667" ref="H682"/>
    <hyperlink r:id="rId668" ref="H683"/>
    <hyperlink r:id="rId669" ref="H684"/>
    <hyperlink r:id="rId670" ref="H685"/>
    <hyperlink r:id="rId671" ref="H686"/>
    <hyperlink r:id="rId672" ref="H687"/>
    <hyperlink r:id="rId673" ref="H688"/>
    <hyperlink r:id="rId674" ref="H689"/>
    <hyperlink r:id="rId675" ref="H690"/>
    <hyperlink r:id="rId676" ref="H691"/>
    <hyperlink r:id="rId677" ref="H692"/>
    <hyperlink r:id="rId678" ref="H693"/>
    <hyperlink r:id="rId679" ref="H694"/>
    <hyperlink r:id="rId680" ref="H695"/>
    <hyperlink r:id="rId681" ref="H696"/>
    <hyperlink r:id="rId682" ref="H697"/>
    <hyperlink r:id="rId683" ref="H698"/>
    <hyperlink r:id="rId684" ref="H699"/>
    <hyperlink r:id="rId685" ref="H700"/>
    <hyperlink r:id="rId686" ref="H701"/>
    <hyperlink r:id="rId687" ref="H702"/>
    <hyperlink r:id="rId688" ref="H703"/>
    <hyperlink r:id="rId689" ref="H704"/>
    <hyperlink r:id="rId690" ref="H705"/>
    <hyperlink r:id="rId691" ref="H706"/>
    <hyperlink r:id="rId692" ref="H707"/>
    <hyperlink r:id="rId693" ref="H708"/>
    <hyperlink r:id="rId694" ref="H709"/>
    <hyperlink r:id="rId695" ref="H710"/>
    <hyperlink r:id="rId696" ref="H711"/>
    <hyperlink r:id="rId697" ref="H712"/>
    <hyperlink r:id="rId698" ref="H713"/>
    <hyperlink r:id="rId699" ref="H714"/>
    <hyperlink r:id="rId700" ref="H715"/>
    <hyperlink r:id="rId701" ref="H716"/>
    <hyperlink r:id="rId702" ref="H717"/>
    <hyperlink r:id="rId703" ref="H718"/>
    <hyperlink r:id="rId704" ref="H719"/>
    <hyperlink r:id="rId705" ref="H720"/>
    <hyperlink r:id="rId706" ref="H721"/>
    <hyperlink r:id="rId707" ref="H722"/>
    <hyperlink r:id="rId708" ref="H723"/>
    <hyperlink r:id="rId709" ref="H724"/>
    <hyperlink r:id="rId710" ref="H725"/>
    <hyperlink r:id="rId711" ref="H726"/>
    <hyperlink r:id="rId712" ref="H727"/>
    <hyperlink r:id="rId713" ref="H728"/>
    <hyperlink r:id="rId714" ref="H729"/>
    <hyperlink r:id="rId715" ref="H730"/>
    <hyperlink r:id="rId716" ref="H731"/>
    <hyperlink r:id="rId717" ref="H732"/>
    <hyperlink r:id="rId718" ref="H733"/>
    <hyperlink r:id="rId719" ref="H734"/>
    <hyperlink r:id="rId720" ref="H735"/>
    <hyperlink r:id="rId721" ref="H736"/>
    <hyperlink r:id="rId722" ref="H737"/>
    <hyperlink r:id="rId723" ref="H738"/>
    <hyperlink r:id="rId724" ref="H739"/>
    <hyperlink r:id="rId725" ref="H740"/>
    <hyperlink r:id="rId726" ref="H741"/>
    <hyperlink r:id="rId727" ref="H742"/>
    <hyperlink r:id="rId728" ref="H743"/>
    <hyperlink r:id="rId729" ref="H744"/>
    <hyperlink r:id="rId730" ref="H745"/>
    <hyperlink r:id="rId731" ref="H746"/>
    <hyperlink r:id="rId732" ref="H747"/>
    <hyperlink r:id="rId733" ref="H748"/>
    <hyperlink r:id="rId734" ref="H749"/>
    <hyperlink r:id="rId735" ref="H750"/>
    <hyperlink r:id="rId736" ref="H751"/>
    <hyperlink r:id="rId737" ref="H752"/>
    <hyperlink r:id="rId738" ref="H753"/>
    <hyperlink r:id="rId739" ref="H754"/>
    <hyperlink r:id="rId740" ref="H755"/>
    <hyperlink r:id="rId741" ref="H756"/>
    <hyperlink r:id="rId742" ref="H757"/>
    <hyperlink r:id="rId743" ref="H758"/>
    <hyperlink r:id="rId744" ref="H759"/>
    <hyperlink r:id="rId745" ref="H760"/>
    <hyperlink r:id="rId746" ref="H761"/>
    <hyperlink r:id="rId747" ref="H762"/>
    <hyperlink r:id="rId748" ref="H763"/>
    <hyperlink r:id="rId749" ref="H764"/>
    <hyperlink r:id="rId750" ref="H766"/>
    <hyperlink r:id="rId751" ref="H767"/>
    <hyperlink r:id="rId752" ref="H768"/>
    <hyperlink r:id="rId753" ref="H769"/>
    <hyperlink r:id="rId754" ref="H770"/>
    <hyperlink r:id="rId755" ref="H771"/>
    <hyperlink r:id="rId756" ref="H772"/>
    <hyperlink r:id="rId757" ref="H773"/>
    <hyperlink r:id="rId758" ref="H774"/>
    <hyperlink r:id="rId759" ref="H775"/>
    <hyperlink r:id="rId760" ref="H776"/>
    <hyperlink r:id="rId761" ref="H777"/>
    <hyperlink r:id="rId762" ref="H778"/>
    <hyperlink r:id="rId763" ref="H779"/>
    <hyperlink r:id="rId764" ref="H780"/>
    <hyperlink r:id="rId765" ref="H781"/>
    <hyperlink r:id="rId766" ref="H782"/>
    <hyperlink r:id="rId767" ref="H783"/>
    <hyperlink r:id="rId768" ref="H784"/>
    <hyperlink r:id="rId769" ref="H785"/>
    <hyperlink r:id="rId770" ref="H786"/>
    <hyperlink r:id="rId771" ref="H787"/>
    <hyperlink r:id="rId772" ref="G788"/>
    <hyperlink r:id="rId773" ref="H788"/>
    <hyperlink r:id="rId774" ref="G789"/>
    <hyperlink r:id="rId775" ref="H789"/>
    <hyperlink r:id="rId776" ref="G790"/>
    <hyperlink r:id="rId777" ref="H790"/>
    <hyperlink r:id="rId778" ref="G791"/>
    <hyperlink r:id="rId779" ref="H791"/>
    <hyperlink r:id="rId780" ref="G792"/>
    <hyperlink r:id="rId781" ref="H792"/>
    <hyperlink r:id="rId782" ref="G793"/>
    <hyperlink r:id="rId783" ref="H793"/>
    <hyperlink r:id="rId784" ref="G794"/>
    <hyperlink r:id="rId785" ref="H794"/>
    <hyperlink r:id="rId786" ref="G795"/>
    <hyperlink r:id="rId787" ref="H795"/>
    <hyperlink r:id="rId788" ref="G796"/>
    <hyperlink r:id="rId789" ref="H796"/>
    <hyperlink r:id="rId790" ref="G797"/>
    <hyperlink r:id="rId791" ref="H797"/>
    <hyperlink r:id="rId792" ref="H798"/>
    <hyperlink r:id="rId793" ref="H799"/>
    <hyperlink r:id="rId794" ref="H800"/>
    <hyperlink r:id="rId795" ref="H801"/>
    <hyperlink r:id="rId796" ref="H802"/>
    <hyperlink r:id="rId797" ref="H803"/>
    <hyperlink r:id="rId798" ref="H804"/>
  </hyperlinks>
  <printOptions/>
  <pageMargins bottom="0.75" footer="0.0" header="0.0" left="0.7" right="0.7" top="0.75"/>
  <pageSetup orientation="landscape"/>
  <drawing r:id="rId799"/>
  <tableParts count="5">
    <tablePart r:id="rId805"/>
    <tablePart r:id="rId806"/>
    <tablePart r:id="rId807"/>
    <tablePart r:id="rId808"/>
    <tablePart r:id="rId809"/>
  </tableParts>
</worksheet>
</file>